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5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6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7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8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15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16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17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3 설계(SD)\"/>
    </mc:Choice>
  </mc:AlternateContent>
  <bookViews>
    <workbookView xWindow="0" yWindow="0" windowWidth="38400" windowHeight="12135" tabRatio="800" activeTab="14"/>
  </bookViews>
  <sheets>
    <sheet name="표지" sheetId="171" r:id="rId1"/>
    <sheet name="개정이력" sheetId="172" r:id="rId2"/>
    <sheet name="센터정보" sheetId="224" r:id="rId3"/>
    <sheet name="ERP_인터페이스목록" sheetId="155" r:id="rId4"/>
    <sheet name="공통_API_KEY 발행" sheetId="174" r:id="rId5"/>
    <sheet name="기준_품목 등록_bak" sheetId="175" state="hidden" r:id="rId6"/>
    <sheet name="기준_품목_등록" sheetId="251" r:id="rId7"/>
    <sheet name="기준_거래처 등록_bak" sheetId="177" state="hidden" r:id="rId8"/>
    <sheet name="기준_거래처_등록" sheetId="252" r:id="rId9"/>
    <sheet name="기준_사번체크" sheetId="253" r:id="rId10"/>
    <sheet name="기준_사번체크_bak" sheetId="212" state="hidden" r:id="rId11"/>
    <sheet name="입고_입고예정_등록" sheetId="254" r:id="rId12"/>
    <sheet name="입고_예외입고_등록" sheetId="255" r:id="rId13"/>
    <sheet name="입고_마감" sheetId="256" r:id="rId14"/>
    <sheet name="반품_반품예정 등록" sheetId="215" r:id="rId15"/>
    <sheet name="반품_반품마감_ERP" sheetId="257" r:id="rId16"/>
    <sheet name="반품_반품마감_OMS" sheetId="241" r:id="rId17"/>
    <sheet name="예외출고_등록" sheetId="258" r:id="rId18"/>
    <sheet name="예외출고_마감" sheetId="259" r:id="rId19"/>
    <sheet name="출하_출하예정 등록(판매출하)" sheetId="228" r:id="rId20"/>
    <sheet name="출하_출하예정 등록(마감후출하)" sheetId="243" r:id="rId21"/>
    <sheet name="출하_출하예정 등록(삭제오더)" sheetId="242" r:id="rId22"/>
    <sheet name="출하_출하예정 취소(판매출하)" sheetId="244" r:id="rId23"/>
    <sheet name="출하_출하예정 취소(마감후출하)" sheetId="245" r:id="rId24"/>
    <sheet name="출하_출하예정 취소(삭제오더)" sheetId="229" r:id="rId25"/>
    <sheet name="출하_출하상태변경" sheetId="230" r:id="rId26"/>
    <sheet name="출하_마감후출하 승인결과" sheetId="231" r:id="rId27"/>
    <sheet name="출하_미출처리 처리결과" sheetId="232" r:id="rId28"/>
    <sheet name="출하_삭제오더 처리결과" sheetId="233" r:id="rId29"/>
    <sheet name="출하_주문 품목단가수정" sheetId="264" r:id="rId30"/>
    <sheet name="출하_T_배차요청" sheetId="235" r:id="rId31"/>
    <sheet name="출하_T_배차요청 수정" sheetId="236" r:id="rId32"/>
    <sheet name="출하_T_배차 및 상하차 결과" sheetId="237" r:id="rId33"/>
    <sheet name="출하_T_공통 데이터 모델" sheetId="238" r:id="rId34"/>
    <sheet name="출하_마감" sheetId="260" r:id="rId35"/>
    <sheet name="공통 코드" sheetId="261" r:id="rId36"/>
    <sheet name="품목군" sheetId="262" r:id="rId37"/>
    <sheet name="창고정보" sheetId="263" r:id="rId38"/>
  </sheets>
  <definedNames>
    <definedName name="_xlnm._FilterDatabase" localSheetId="3" hidden="1">ERP_인터페이스목록!$A$2:$L$28</definedName>
    <definedName name="baseline">NA()</definedName>
    <definedName name="DD">"#REF!"</definedName>
    <definedName name="_xlnm.Print_Area" localSheetId="1">개정이력!$A$1:$E$30</definedName>
    <definedName name="_xlnm.Print_Area" localSheetId="4">'공통_API_KEY 발행'!$A$1:$AD$24</definedName>
    <definedName name="_xlnm.Print_Area" localSheetId="7">'기준_거래처 등록_bak'!$A$1:$AD$40</definedName>
    <definedName name="_xlnm.Print_Area" localSheetId="10">기준_사번체크_bak!$A$1:$AD$29</definedName>
    <definedName name="_xlnm.Print_Area" localSheetId="5">'기준_품목 등록_bak'!$A$1:$AD$44</definedName>
    <definedName name="_xlnm.Print_Area" localSheetId="16">반품_반품마감_OMS!$A$1:$AD$34</definedName>
    <definedName name="_xlnm.Print_Area" localSheetId="14">'반품_반품예정 등록'!$A$1:$AD$31</definedName>
    <definedName name="_xlnm.Print_Area" localSheetId="26">'출하_마감후출하 승인결과'!$A$1:$AD$33</definedName>
    <definedName name="_xlnm.Print_Area" localSheetId="27">'출하_미출처리 처리결과'!$A$1:$AD$22</definedName>
    <definedName name="_xlnm.Print_Area" localSheetId="28">'출하_삭제오더 처리결과'!$A$1:$AD$18</definedName>
    <definedName name="_xlnm.Print_Area" localSheetId="29">'출하_주문 품목단가수정'!$A$1:$AD$19</definedName>
    <definedName name="_xlnm.Print_Area" localSheetId="25">출하_출하상태변경!$A$1:$AD$16</definedName>
    <definedName name="_xlnm.Print_Area" localSheetId="20">'출하_출하예정 등록(마감후출하)'!$A$1:$AD$11</definedName>
    <definedName name="_xlnm.Print_Area" localSheetId="21">'출하_출하예정 등록(삭제오더)'!$A$1:$AD$27</definedName>
    <definedName name="_xlnm.Print_Area" localSheetId="19">'출하_출하예정 등록(판매출하)'!$A$1:$AD$30</definedName>
    <definedName name="_xlnm.Print_Area" localSheetId="23">'출하_출하예정 취소(마감후출하)'!$A$1:$AD$12</definedName>
    <definedName name="_xlnm.Print_Area" localSheetId="24">'출하_출하예정 취소(삭제오더)'!$A$1:$AD$12</definedName>
    <definedName name="_xlnm.Print_Area" localSheetId="22">'출하_출하예정 취소(판매출하)'!$A$1:$AD$12</definedName>
    <definedName name="_xlnm.Print_Area" localSheetId="0">표지!$A$1:$M$24</definedName>
    <definedName name="rpt_date">NA()</definedName>
    <definedName name="T01_컬럼정보_Query">"#REF!"</definedName>
    <definedName name="tol">NA()</definedName>
    <definedName name="ㄴ">"#REF!"</definedName>
    <definedName name="ㅇㅇ">NA()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64" l="1"/>
  <c r="R5" i="264"/>
  <c r="E5" i="264"/>
  <c r="E4" i="264"/>
  <c r="E3" i="264"/>
  <c r="I24" i="155"/>
  <c r="G24" i="155"/>
  <c r="R2" i="264" s="1"/>
  <c r="G32" i="155" l="1"/>
  <c r="G33" i="155"/>
  <c r="G34" i="155"/>
  <c r="I34" i="155"/>
  <c r="I33" i="155"/>
  <c r="I32" i="155"/>
  <c r="I8" i="155" l="1"/>
  <c r="G8" i="155"/>
  <c r="R5" i="177" l="1"/>
  <c r="E5" i="175"/>
  <c r="A1" i="155" l="1"/>
  <c r="R5" i="233"/>
  <c r="E5" i="233"/>
  <c r="R5" i="232"/>
  <c r="E5" i="232"/>
  <c r="R5" i="231"/>
  <c r="E5" i="231"/>
  <c r="R5" i="230"/>
  <c r="E5" i="230"/>
  <c r="R5" i="229"/>
  <c r="E5" i="229"/>
  <c r="R5" i="245"/>
  <c r="E5" i="245"/>
  <c r="R5" i="244"/>
  <c r="E5" i="244"/>
  <c r="R5" i="242"/>
  <c r="E5" i="242"/>
  <c r="R5" i="243"/>
  <c r="E5" i="243"/>
  <c r="R5" i="228"/>
  <c r="E5" i="228"/>
  <c r="R5" i="241"/>
  <c r="E5" i="241"/>
  <c r="R5" i="215"/>
  <c r="E5" i="215"/>
  <c r="E5" i="212"/>
  <c r="E5" i="177"/>
  <c r="R5" i="175"/>
  <c r="G11" i="155" l="1"/>
  <c r="G26" i="155"/>
  <c r="G23" i="155"/>
  <c r="E4" i="229" l="1"/>
  <c r="E3" i="229"/>
  <c r="E2" i="229"/>
  <c r="E4" i="245"/>
  <c r="E3" i="245"/>
  <c r="E2" i="245"/>
  <c r="E4" i="242"/>
  <c r="E3" i="242"/>
  <c r="E2" i="242"/>
  <c r="E4" i="243"/>
  <c r="E3" i="243"/>
  <c r="E2" i="243"/>
  <c r="E4" i="244"/>
  <c r="E3" i="244"/>
  <c r="E2" i="244"/>
  <c r="I19" i="155" l="1"/>
  <c r="G19" i="155"/>
  <c r="R2" i="229" s="1"/>
  <c r="R2" i="245"/>
  <c r="I17" i="155"/>
  <c r="G17" i="155"/>
  <c r="R2" i="242" s="1"/>
  <c r="I16" i="155"/>
  <c r="G16" i="155"/>
  <c r="R2" i="243" s="1"/>
  <c r="E4" i="241" l="1"/>
  <c r="E3" i="241"/>
  <c r="E2" i="241"/>
  <c r="I12" i="155"/>
  <c r="G12" i="155"/>
  <c r="R2" i="241" s="1"/>
  <c r="E4" i="233" l="1"/>
  <c r="E3" i="233"/>
  <c r="E2" i="233"/>
  <c r="E4" i="232"/>
  <c r="E3" i="232"/>
  <c r="E2" i="232"/>
  <c r="E4" i="231"/>
  <c r="E3" i="231"/>
  <c r="E4" i="230"/>
  <c r="E3" i="230"/>
  <c r="E2" i="231"/>
  <c r="E2" i="230"/>
  <c r="I18" i="155"/>
  <c r="G18" i="155"/>
  <c r="R2" i="244" s="1"/>
  <c r="E4" i="228"/>
  <c r="E3" i="228"/>
  <c r="E2" i="228"/>
  <c r="E4" i="215" l="1"/>
  <c r="E4" i="212"/>
  <c r="B16" i="224" l="1"/>
  <c r="E2" i="215" l="1"/>
  <c r="E2" i="212"/>
  <c r="E3" i="215" l="1"/>
  <c r="I21" i="155" l="1"/>
  <c r="I22" i="155"/>
  <c r="I23" i="155"/>
  <c r="G21" i="155"/>
  <c r="R2" i="231" s="1"/>
  <c r="G22" i="155"/>
  <c r="R2" i="232" s="1"/>
  <c r="R2" i="233"/>
  <c r="E3" i="212" l="1"/>
  <c r="I20" i="155"/>
  <c r="I25" i="155"/>
  <c r="I26" i="155"/>
  <c r="I27" i="155"/>
  <c r="I28" i="155"/>
  <c r="I15" i="155"/>
  <c r="I14" i="155"/>
  <c r="I13" i="155"/>
  <c r="I9" i="155"/>
  <c r="I10" i="155"/>
  <c r="I11" i="155"/>
  <c r="I4" i="155"/>
  <c r="I5" i="155"/>
  <c r="I6" i="155"/>
  <c r="G27" i="155" l="1"/>
  <c r="G14" i="155"/>
  <c r="G13" i="155" l="1"/>
  <c r="G6" i="155"/>
  <c r="R2" i="212" s="1"/>
  <c r="G25" i="155"/>
  <c r="G20" i="155"/>
  <c r="R2" i="230" s="1"/>
  <c r="G3" i="155" l="1"/>
  <c r="I3" i="155"/>
  <c r="G4" i="155"/>
  <c r="G5" i="155"/>
  <c r="G7" i="155"/>
  <c r="I7" i="155"/>
  <c r="G9" i="155"/>
  <c r="G10" i="155"/>
  <c r="R2" i="215" s="1"/>
  <c r="G15" i="155"/>
  <c r="R2" i="228" s="1"/>
  <c r="G28" i="155"/>
  <c r="E4" i="177" l="1"/>
  <c r="E3" i="177"/>
  <c r="E4" i="175"/>
  <c r="E4" i="174"/>
  <c r="E2" i="177" l="1"/>
  <c r="E2" i="175"/>
  <c r="E3" i="174" l="1"/>
  <c r="E3" i="175" l="1"/>
  <c r="E2" i="174"/>
  <c r="R2" i="175" l="1"/>
  <c r="R2" i="177"/>
  <c r="R2" i="174"/>
</calcChain>
</file>

<file path=xl/comments1.xml><?xml version="1.0" encoding="utf-8"?>
<comments xmlns="http://schemas.openxmlformats.org/spreadsheetml/2006/main">
  <authors>
    <author>LG</author>
  </authors>
  <commentList>
    <comment ref="K31" authorId="0" shapeId="0">
      <text>
        <r>
          <rPr>
            <b/>
            <sz val="9"/>
            <color indexed="81"/>
            <rFont val="돋움"/>
            <family val="3"/>
            <charset val="129"/>
          </rPr>
          <t>사이즈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(30 -&gt; 50)</t>
        </r>
      </text>
    </comment>
    <comment ref="K32" authorId="0" shapeId="0">
      <text>
        <r>
          <rPr>
            <b/>
            <sz val="9"/>
            <color indexed="81"/>
            <rFont val="돋움"/>
            <family val="3"/>
            <charset val="129"/>
          </rPr>
          <t>사이즈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(100 -&gt; 200)</t>
        </r>
      </text>
    </comment>
    <comment ref="K37" authorId="0" shapeId="0">
      <text>
        <r>
          <rPr>
            <b/>
            <sz val="9"/>
            <color indexed="81"/>
            <rFont val="돋움"/>
            <family val="3"/>
            <charset val="129"/>
          </rPr>
          <t>사이즈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(100 -&gt; 200)</t>
        </r>
      </text>
    </comment>
    <comment ref="K49" authorId="0" shapeId="0">
      <text>
        <r>
          <rPr>
            <b/>
            <sz val="9"/>
            <color indexed="81"/>
            <rFont val="돋움"/>
            <family val="3"/>
            <charset val="129"/>
          </rPr>
          <t>컬럼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(VARCHAR(1000) -&gt; TEXT)</t>
        </r>
      </text>
    </comment>
  </commentList>
</comments>
</file>

<file path=xl/comments2.xml><?xml version="1.0" encoding="utf-8"?>
<comments xmlns="http://schemas.openxmlformats.org/spreadsheetml/2006/main">
  <authors>
    <author>jhkim</author>
    <author>hsshin</author>
  </authors>
  <commentList>
    <comment ref="W12" authorId="0" shapeId="0">
      <text>
        <r>
          <rPr>
            <b/>
            <sz val="9"/>
            <color indexed="81"/>
            <rFont val="Tahoma"/>
            <family val="2"/>
          </rPr>
          <t>jhkim:</t>
        </r>
        <r>
          <rPr>
            <sz val="9"/>
            <color indexed="81"/>
            <rFont val="Tahoma"/>
            <family val="2"/>
          </rPr>
          <t xml:space="preserve">
IF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일자시간
</t>
        </r>
      </text>
    </comment>
    <comment ref="W15" authorId="1" shapeId="0">
      <text>
        <r>
          <rPr>
            <b/>
            <sz val="9"/>
            <color indexed="81"/>
            <rFont val="Tahoma"/>
            <family val="2"/>
          </rPr>
          <t>hgyu: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>ifKey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OMS </t>
        </r>
        <r>
          <rPr>
            <sz val="9"/>
            <color indexed="81"/>
            <rFont val="돋움"/>
            <family val="3"/>
            <charset val="129"/>
          </rPr>
          <t>연동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
</t>
        </r>
        <r>
          <rPr>
            <sz val="9"/>
            <color indexed="81"/>
            <rFont val="Tahoma"/>
            <family val="2"/>
          </rPr>
          <t>1) ERP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소통가능하게</t>
        </r>
        <r>
          <rPr>
            <sz val="9"/>
            <color indexed="81"/>
            <rFont val="Tahoma"/>
            <family val="2"/>
          </rPr>
          <t xml:space="preserve"> OMS key </t>
        </r>
        <r>
          <rPr>
            <sz val="9"/>
            <color indexed="81"/>
            <rFont val="돋움"/>
            <family val="3"/>
            <charset val="129"/>
          </rPr>
          <t>그대로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>2) outbizSeq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ifKey </t>
        </r>
        <r>
          <rPr>
            <sz val="9"/>
            <color indexed="81"/>
            <rFont val="돋움"/>
            <family val="3"/>
            <charset val="129"/>
          </rPr>
          <t>자리에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두기</t>
        </r>
      </text>
    </comment>
    <comment ref="W18" authorId="0" shapeId="0">
      <text>
        <r>
          <rPr>
            <b/>
            <sz val="9"/>
            <color indexed="81"/>
            <rFont val="Tahoma"/>
            <family val="2"/>
          </rPr>
          <t>jhkim: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반품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일자시간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돋움"/>
            <family val="3"/>
            <charset val="129"/>
          </rPr>
          <t>뎁스의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시분초는</t>
        </r>
        <r>
          <rPr>
            <sz val="9"/>
            <color indexed="81"/>
            <rFont val="Tahoma"/>
            <family val="2"/>
          </rPr>
          <t xml:space="preserve"> IF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시간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뎁스의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처리일자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시분초는</t>
        </r>
        <r>
          <rPr>
            <sz val="9"/>
            <color indexed="81"/>
            <rFont val="Tahoma"/>
            <family val="2"/>
          </rPr>
          <t xml:space="preserve"> WMS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반품처리한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</t>
        </r>
      </text>
    </comment>
  </commentList>
</comments>
</file>

<file path=xl/comments3.xml><?xml version="1.0" encoding="utf-8"?>
<comments xmlns="http://schemas.openxmlformats.org/spreadsheetml/2006/main">
  <authors>
    <author>LG</author>
  </authors>
  <commentList>
    <comment ref="H40" authorId="0" shapeId="0">
      <text>
        <r>
          <rPr>
            <b/>
            <sz val="9"/>
            <color indexed="81"/>
            <rFont val="돋움"/>
            <family val="3"/>
            <charset val="129"/>
          </rPr>
          <t>수불구분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WMS </t>
        </r>
        <r>
          <rPr>
            <b/>
            <sz val="9"/>
            <color indexed="81"/>
            <rFont val="돋움"/>
            <family val="3"/>
            <charset val="129"/>
          </rPr>
          <t>요청유형코드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</text>
    </comment>
  </commentList>
</comments>
</file>

<file path=xl/comments4.xml><?xml version="1.0" encoding="utf-8"?>
<comments xmlns="http://schemas.openxmlformats.org/spreadsheetml/2006/main">
  <authors>
    <author>jhkim</author>
  </authors>
  <commentList>
    <comment ref="W13" authorId="0" shapeId="0">
      <text>
        <r>
          <rPr>
            <b/>
            <sz val="9"/>
            <color indexed="81"/>
            <rFont val="Tahoma"/>
            <family val="2"/>
          </rPr>
          <t>jhkim:</t>
        </r>
        <r>
          <rPr>
            <sz val="9"/>
            <color indexed="81"/>
            <rFont val="Tahoma"/>
            <family val="2"/>
          </rPr>
          <t xml:space="preserve">
reqList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NULL : WMS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넘겨주지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전송
</t>
        </r>
        <r>
          <rPr>
            <sz val="9"/>
            <color indexed="81"/>
            <rFont val="Tahoma"/>
            <family val="2"/>
          </rPr>
          <t xml:space="preserve">reqList 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</t>
        </r>
        <r>
          <rPr>
            <sz val="9"/>
            <color indexed="81"/>
            <rFont val="Tahoma"/>
            <family val="2"/>
          </rPr>
          <t xml:space="preserve"> : WMS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줬든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안줬든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전송</t>
        </r>
      </text>
    </comment>
  </commentList>
</comments>
</file>

<file path=xl/comments5.xml><?xml version="1.0" encoding="utf-8"?>
<comments xmlns="http://schemas.openxmlformats.org/spreadsheetml/2006/main">
  <authors>
    <author>jhkim</author>
  </authors>
  <commentList>
    <comment ref="W20" authorId="0" shapeId="0">
      <text>
        <r>
          <rPr>
            <b/>
            <sz val="9"/>
            <color indexed="81"/>
            <rFont val="Tahoma"/>
            <family val="2"/>
          </rPr>
          <t>jhkim:</t>
        </r>
        <r>
          <rPr>
            <sz val="9"/>
            <color indexed="81"/>
            <rFont val="Tahoma"/>
            <family val="2"/>
          </rPr>
          <t xml:space="preserve">
WMS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미출수량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가능함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만약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요청수량이</t>
        </r>
        <r>
          <rPr>
            <sz val="9"/>
            <color indexed="81"/>
            <rFont val="Tahoma"/>
            <family val="2"/>
          </rPr>
          <t xml:space="preserve"> 10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7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되었으면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컬럼에</t>
        </r>
        <r>
          <rPr>
            <sz val="9"/>
            <color indexed="81"/>
            <rFont val="Tahoma"/>
            <family val="2"/>
          </rPr>
          <t xml:space="preserve"> 7 </t>
        </r>
        <r>
          <rPr>
            <sz val="9"/>
            <color indexed="81"/>
            <rFont val="돋움"/>
            <family val="3"/>
            <charset val="129"/>
          </rPr>
          <t>보낼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
이후</t>
        </r>
        <r>
          <rPr>
            <sz val="9"/>
            <color indexed="81"/>
            <rFont val="Tahoma"/>
            <family val="2"/>
          </rPr>
          <t xml:space="preserve"> 7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되었으면</t>
        </r>
        <r>
          <rPr>
            <sz val="9"/>
            <color indexed="81"/>
            <rFont val="Tahoma"/>
            <family val="2"/>
          </rPr>
          <t xml:space="preserve"> 9 </t>
        </r>
        <r>
          <rPr>
            <sz val="9"/>
            <color indexed="81"/>
            <rFont val="돋움"/>
            <family val="3"/>
            <charset val="129"/>
          </rPr>
          <t>보낼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OMS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W21" authorId="0" shapeId="0">
      <text>
        <r>
          <rPr>
            <b/>
            <sz val="9"/>
            <color indexed="81"/>
            <rFont val="Tahoma"/>
            <family val="2"/>
          </rPr>
          <t>jhkim: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미출유형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기준정보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참조
대체품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100
</t>
        </r>
        <r>
          <rPr>
            <sz val="9"/>
            <color indexed="81"/>
            <rFont val="돋움"/>
            <family val="3"/>
            <charset val="129"/>
          </rPr>
          <t>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 xml:space="preserve"> 200
</t>
        </r>
        <r>
          <rPr>
            <sz val="9"/>
            <color indexed="81"/>
            <rFont val="돋움"/>
            <family val="3"/>
            <charset val="129"/>
          </rPr>
          <t>업체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</t>
        </r>
        <r>
          <rPr>
            <sz val="9"/>
            <color indexed="81"/>
            <rFont val="Tahoma"/>
            <family val="2"/>
          </rPr>
          <t xml:space="preserve"> 300
</t>
        </r>
        <r>
          <rPr>
            <sz val="9"/>
            <color indexed="81"/>
            <rFont val="돋움"/>
            <family val="3"/>
            <charset val="129"/>
          </rPr>
          <t>품질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</t>
        </r>
        <r>
          <rPr>
            <sz val="9"/>
            <color indexed="81"/>
            <rFont val="Tahoma"/>
            <family val="2"/>
          </rPr>
          <t xml:space="preserve"> 400
</t>
        </r>
        <r>
          <rPr>
            <sz val="9"/>
            <color indexed="81"/>
            <rFont val="돋움"/>
            <family val="3"/>
            <charset val="129"/>
          </rPr>
          <t>재고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부족</t>
        </r>
        <r>
          <rPr>
            <sz val="9"/>
            <color indexed="81"/>
            <rFont val="Tahoma"/>
            <family val="2"/>
          </rPr>
          <t xml:space="preserve"> 500
</t>
        </r>
        <r>
          <rPr>
            <sz val="9"/>
            <color indexed="81"/>
            <rFont val="돋움"/>
            <family val="3"/>
            <charset val="129"/>
          </rPr>
          <t>오발주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600</t>
        </r>
      </text>
    </comment>
  </commentList>
</comments>
</file>

<file path=xl/sharedStrings.xml><?xml version="1.0" encoding="utf-8"?>
<sst xmlns="http://schemas.openxmlformats.org/spreadsheetml/2006/main" count="7331" uniqueCount="3398">
  <si>
    <t>WMS</t>
    <phoneticPr fontId="1" type="noConversion"/>
  </si>
  <si>
    <t>업무</t>
    <phoneticPr fontId="1" type="noConversion"/>
  </si>
  <si>
    <t>No</t>
    <phoneticPr fontId="1" type="noConversion"/>
  </si>
  <si>
    <t>WMS IF명</t>
    <phoneticPr fontId="1" type="noConversion"/>
  </si>
  <si>
    <t>IF URL
(운영서버)</t>
    <phoneticPr fontId="1" type="noConversion"/>
  </si>
  <si>
    <t>IF URL
(테스트서버)</t>
    <phoneticPr fontId="1" type="noConversion"/>
  </si>
  <si>
    <t>입고</t>
    <phoneticPr fontId="1" type="noConversion"/>
  </si>
  <si>
    <t>ERP</t>
    <phoneticPr fontId="1" type="noConversion"/>
  </si>
  <si>
    <t>개 정 이 력</t>
    <phoneticPr fontId="5" type="noConversion"/>
  </si>
  <si>
    <t>버전</t>
  </si>
  <si>
    <t>개정범위</t>
    <phoneticPr fontId="1" type="noConversion"/>
  </si>
  <si>
    <t>내용</t>
    <phoneticPr fontId="5" type="noConversion"/>
  </si>
  <si>
    <t>작성자</t>
  </si>
  <si>
    <t>일자</t>
    <phoneticPr fontId="1" type="noConversion"/>
  </si>
  <si>
    <t>전체</t>
    <phoneticPr fontId="1" type="noConversion"/>
  </si>
  <si>
    <t>최초 작성</t>
    <phoneticPr fontId="5" type="noConversion"/>
  </si>
  <si>
    <t>기준정보</t>
    <phoneticPr fontId="1" type="noConversion"/>
  </si>
  <si>
    <t xml:space="preserve"> </t>
    <phoneticPr fontId="1" type="noConversion"/>
  </si>
  <si>
    <t>공통</t>
    <phoneticPr fontId="1" type="noConversion"/>
  </si>
  <si>
    <t>API KEY 발행</t>
    <phoneticPr fontId="1" type="noConversion"/>
  </si>
  <si>
    <t>APK_KEY</t>
    <phoneticPr fontId="1" type="noConversion"/>
  </si>
  <si>
    <t>IF 시 필요한 API KEY 발급</t>
    <phoneticPr fontId="1" type="noConversion"/>
  </si>
  <si>
    <t>품목 등록</t>
    <phoneticPr fontId="1" type="noConversion"/>
  </si>
  <si>
    <t>PROD_REG</t>
    <phoneticPr fontId="1" type="noConversion"/>
  </si>
  <si>
    <t>CONT_REG</t>
    <phoneticPr fontId="1" type="noConversion"/>
  </si>
  <si>
    <t>품목 신규 등록 및 품목 데이터 수정</t>
    <phoneticPr fontId="1" type="noConversion"/>
  </si>
  <si>
    <t>반품</t>
    <phoneticPr fontId="1" type="noConversion"/>
  </si>
  <si>
    <t>반품예정 신규 등록 및 반품예정 데이터 수정</t>
    <phoneticPr fontId="1" type="noConversion"/>
  </si>
  <si>
    <t>출하</t>
    <phoneticPr fontId="1" type="noConversion"/>
  </si>
  <si>
    <t>입고예정 신규 등록 및 입고예정 데이터 수정</t>
    <phoneticPr fontId="1" type="noConversion"/>
  </si>
  <si>
    <t>입고예정 등록</t>
    <phoneticPr fontId="1" type="noConversion"/>
  </si>
  <si>
    <t>반품예정 등록</t>
    <phoneticPr fontId="1" type="noConversion"/>
  </si>
  <si>
    <t>송신
시스템</t>
    <phoneticPr fontId="1" type="noConversion"/>
  </si>
  <si>
    <t>IF 코드</t>
    <phoneticPr fontId="1" type="noConversion"/>
  </si>
  <si>
    <t>IF 처리내용</t>
    <phoneticPr fontId="1" type="noConversion"/>
  </si>
  <si>
    <t>수신
시스템</t>
    <phoneticPr fontId="1" type="noConversion"/>
  </si>
  <si>
    <t>항목</t>
    <phoneticPr fontId="1" type="noConversion"/>
  </si>
  <si>
    <t>WMS IF ID</t>
    <phoneticPr fontId="1" type="noConversion"/>
  </si>
  <si>
    <t>목록</t>
    <phoneticPr fontId="1" type="noConversion"/>
  </si>
  <si>
    <t>IF명</t>
    <phoneticPr fontId="1" type="noConversion"/>
  </si>
  <si>
    <t>ifId</t>
  </si>
  <si>
    <t>URI</t>
    <phoneticPr fontId="1" type="noConversion"/>
  </si>
  <si>
    <t>HTTP Method</t>
    <phoneticPr fontId="1" type="noConversion"/>
  </si>
  <si>
    <t>Data Type</t>
    <phoneticPr fontId="1" type="noConversion"/>
  </si>
  <si>
    <t>JSON</t>
    <phoneticPr fontId="1" type="noConversion"/>
  </si>
  <si>
    <t>Request</t>
    <phoneticPr fontId="1" type="noConversion"/>
  </si>
  <si>
    <t>LV</t>
    <phoneticPr fontId="1" type="noConversion"/>
  </si>
  <si>
    <t>항목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</si>
  <si>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</si>
  <si>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</si>
  <si>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</si>
  <si>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</si>
  <si>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</si>
  <si>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설명</t>
    <phoneticPr fontId="1" type="noConversion"/>
  </si>
  <si>
    <t>bizSeq</t>
    <phoneticPr fontId="1" type="noConversion"/>
  </si>
  <si>
    <t>사업장SEQ</t>
    <phoneticPr fontId="1" type="noConversion"/>
  </si>
  <si>
    <t>number</t>
    <phoneticPr fontId="1" type="noConversion"/>
  </si>
  <si>
    <t>NN</t>
    <phoneticPr fontId="1" type="noConversion"/>
  </si>
  <si>
    <t>reqList</t>
    <phoneticPr fontId="1" type="noConversion"/>
  </si>
  <si>
    <t>품목리스트</t>
  </si>
  <si>
    <t>ifProdId</t>
    <phoneticPr fontId="1" type="noConversion"/>
  </si>
  <si>
    <t>IF_품목_ID</t>
    <phoneticPr fontId="1" type="noConversion"/>
  </si>
  <si>
    <t>varchar</t>
    <phoneticPr fontId="1" type="noConversion"/>
  </si>
  <si>
    <t>O</t>
    <phoneticPr fontId="1" type="noConversion"/>
  </si>
  <si>
    <t>NN</t>
    <phoneticPr fontId="1" type="noConversion"/>
  </si>
  <si>
    <t>품목번호</t>
    <phoneticPr fontId="1" type="noConversion"/>
  </si>
  <si>
    <t>품목_규격</t>
    <phoneticPr fontId="1" type="noConversion"/>
  </si>
  <si>
    <t>prodDivCd</t>
    <phoneticPr fontId="1" type="noConversion"/>
  </si>
  <si>
    <t>품목_분류_코드</t>
    <phoneticPr fontId="1" type="noConversion"/>
  </si>
  <si>
    <t>대분류_코드</t>
    <phoneticPr fontId="1" type="noConversion"/>
  </si>
  <si>
    <t>소분류_코드</t>
    <phoneticPr fontId="1" type="noConversion"/>
  </si>
  <si>
    <t>note</t>
  </si>
  <si>
    <t>비고</t>
    <phoneticPr fontId="1" type="noConversion"/>
  </si>
  <si>
    <t>Response</t>
    <phoneticPr fontId="1" type="noConversion"/>
  </si>
  <si>
    <t>Null</t>
    <phoneticPr fontId="1" type="noConversion"/>
  </si>
  <si>
    <t>메세지</t>
    <phoneticPr fontId="1" type="noConversion"/>
  </si>
  <si>
    <t>에러메세지</t>
    <phoneticPr fontId="1" type="noConversion"/>
  </si>
  <si>
    <t>result</t>
    <phoneticPr fontId="1" type="noConversion"/>
  </si>
  <si>
    <t>처리 여부</t>
    <phoneticPr fontId="1" type="noConversion"/>
  </si>
  <si>
    <t>message</t>
    <phoneticPr fontId="1" type="noConversion"/>
  </si>
  <si>
    <t>처리 실패시 실패 사유</t>
    <phoneticPr fontId="1" type="noConversion"/>
  </si>
  <si>
    <t>userId</t>
  </si>
  <si>
    <t>등록자ID</t>
    <phoneticPr fontId="1" type="noConversion"/>
  </si>
  <si>
    <t>타시스템ID/WMS사용자 ID</t>
    <phoneticPr fontId="1" type="noConversion"/>
  </si>
  <si>
    <t>userNm</t>
  </si>
  <si>
    <t xml:space="preserve">등록자명 </t>
    <phoneticPr fontId="1" type="noConversion"/>
  </si>
  <si>
    <t>wmsResult</t>
  </si>
  <si>
    <t>WMS 처리 결과</t>
  </si>
  <si>
    <t>OK : 성공, NG : 실패</t>
    <phoneticPr fontId="1" type="noConversion"/>
  </si>
  <si>
    <t>wmsMessage</t>
  </si>
  <si>
    <t>resList</t>
  </si>
  <si>
    <t>응답리스트</t>
    <phoneticPr fontId="1" type="noConversion"/>
  </si>
  <si>
    <t>apiKey</t>
    <phoneticPr fontId="1" type="noConversion"/>
  </si>
  <si>
    <t>항목명</t>
    <phoneticPr fontId="1" type="noConversion"/>
  </si>
  <si>
    <t>NN</t>
    <phoneticPr fontId="1" type="noConversion"/>
  </si>
  <si>
    <t>varchar</t>
    <phoneticPr fontId="1" type="noConversion"/>
  </si>
  <si>
    <t>메세지</t>
    <phoneticPr fontId="1" type="noConversion"/>
  </si>
  <si>
    <t>OK : 성공, NG : 실패</t>
    <phoneticPr fontId="1" type="noConversion"/>
  </si>
  <si>
    <t>API KEY</t>
    <phoneticPr fontId="1" type="noConversion"/>
  </si>
  <si>
    <t>apiKeyExpYmd</t>
    <phoneticPr fontId="1" type="noConversion"/>
  </si>
  <si>
    <t>KEY 유효기한</t>
    <phoneticPr fontId="1" type="noConversion"/>
  </si>
  <si>
    <t>양식: yyyyMMdd</t>
    <phoneticPr fontId="1" type="noConversion"/>
  </si>
  <si>
    <t>비고</t>
    <phoneticPr fontId="1" type="noConversion"/>
  </si>
  <si>
    <t>IF_거래처_ID</t>
    <phoneticPr fontId="1" type="noConversion"/>
  </si>
  <si>
    <t>거래처_번호</t>
  </si>
  <si>
    <t>거래처_명</t>
  </si>
  <si>
    <t>대표자_명</t>
  </si>
  <si>
    <t>bizNo</t>
    <phoneticPr fontId="1" type="noConversion"/>
  </si>
  <si>
    <t>사업자_번호</t>
  </si>
  <si>
    <t>contType</t>
    <phoneticPr fontId="1" type="noConversion"/>
  </si>
  <si>
    <t>업태</t>
  </si>
  <si>
    <t>contItem</t>
    <phoneticPr fontId="1" type="noConversion"/>
  </si>
  <si>
    <t>종목</t>
    <phoneticPr fontId="1" type="noConversion"/>
  </si>
  <si>
    <t>종목</t>
  </si>
  <si>
    <t>이메일</t>
  </si>
  <si>
    <t>tel</t>
    <phoneticPr fontId="1" type="noConversion"/>
  </si>
  <si>
    <t>전화</t>
  </si>
  <si>
    <t>fax</t>
    <phoneticPr fontId="1" type="noConversion"/>
  </si>
  <si>
    <t>팩스</t>
  </si>
  <si>
    <t>우편_변호</t>
  </si>
  <si>
    <t>addr</t>
    <phoneticPr fontId="1" type="noConversion"/>
  </si>
  <si>
    <t>주소</t>
  </si>
  <si>
    <t>비고</t>
  </si>
  <si>
    <t>ERP사용자명/WMS사용자명</t>
    <phoneticPr fontId="1" type="noConversion"/>
  </si>
  <si>
    <t>ifContId</t>
    <phoneticPr fontId="1" type="noConversion"/>
  </si>
  <si>
    <t>Response</t>
    <phoneticPr fontId="1" type="noConversion"/>
  </si>
  <si>
    <t>result</t>
    <phoneticPr fontId="1" type="noConversion"/>
  </si>
  <si>
    <t>처리 여부</t>
    <phoneticPr fontId="1" type="noConversion"/>
  </si>
  <si>
    <t>비고</t>
    <phoneticPr fontId="1" type="noConversion"/>
  </si>
  <si>
    <t>reqList</t>
  </si>
  <si>
    <t>ifKey</t>
  </si>
  <si>
    <t>ifIdx</t>
  </si>
  <si>
    <t>reqQty</t>
  </si>
  <si>
    <t>요청수량</t>
  </si>
  <si>
    <t>expYmd</t>
  </si>
  <si>
    <t>prodList</t>
  </si>
  <si>
    <t>결과리스트</t>
  </si>
  <si>
    <t>API 방식</t>
    <phoneticPr fontId="1" type="noConversion"/>
  </si>
  <si>
    <t>POST</t>
    <phoneticPr fontId="1" type="noConversion"/>
  </si>
  <si>
    <t>메세지</t>
    <phoneticPr fontId="1" type="noConversion"/>
  </si>
  <si>
    <t>처리 메시지</t>
    <phoneticPr fontId="1" type="noConversion"/>
  </si>
  <si>
    <t>요청리스트</t>
    <phoneticPr fontId="1" type="noConversion"/>
  </si>
  <si>
    <t>입고마감</t>
    <phoneticPr fontId="1" type="noConversion"/>
  </si>
  <si>
    <t>입고 마감 결과 전송</t>
    <phoneticPr fontId="1" type="noConversion"/>
  </si>
  <si>
    <t>코드</t>
    <phoneticPr fontId="1" type="noConversion"/>
  </si>
  <si>
    <t>v1.0</t>
    <phoneticPr fontId="5" type="noConversion"/>
  </si>
  <si>
    <t>거래처 등록</t>
    <phoneticPr fontId="1" type="noConversion"/>
  </si>
  <si>
    <t>사번체크</t>
    <phoneticPr fontId="1" type="noConversion"/>
  </si>
  <si>
    <t>WMS</t>
    <phoneticPr fontId="1" type="noConversion"/>
  </si>
  <si>
    <t>WMS</t>
    <phoneticPr fontId="1" type="noConversion"/>
  </si>
  <si>
    <t>WMS</t>
    <phoneticPr fontId="1" type="noConversion"/>
  </si>
  <si>
    <t>ERP</t>
  </si>
  <si>
    <t>OMS</t>
    <phoneticPr fontId="1" type="noConversion"/>
  </si>
  <si>
    <t>WMS</t>
    <phoneticPr fontId="1" type="noConversion"/>
  </si>
  <si>
    <t>출고지시_배차요청</t>
    <phoneticPr fontId="1" type="noConversion"/>
  </si>
  <si>
    <t>TMS</t>
    <phoneticPr fontId="1" type="noConversion"/>
  </si>
  <si>
    <t>EMP_CHK</t>
    <phoneticPr fontId="1" type="noConversion"/>
  </si>
  <si>
    <t>ERP 사번 유/무 체크</t>
    <phoneticPr fontId="1" type="noConversion"/>
  </si>
  <si>
    <t>출하예정 상태변경 사항 전송</t>
    <phoneticPr fontId="1" type="noConversion"/>
  </si>
  <si>
    <t>OB_PROC_LOD</t>
    <phoneticPr fontId="1" type="noConversion"/>
  </si>
  <si>
    <t>거래처 신규 등록 및 거래처 데이터 수정</t>
    <phoneticPr fontId="1" type="noConversion"/>
  </si>
  <si>
    <t>예외</t>
    <phoneticPr fontId="1" type="noConversion"/>
  </si>
  <si>
    <t>출하처리_마감</t>
    <phoneticPr fontId="1" type="noConversion"/>
  </si>
  <si>
    <t>1: 교촌에프엔비</t>
    <phoneticPr fontId="1" type="noConversion"/>
  </si>
  <si>
    <t>항목</t>
    <phoneticPr fontId="1" type="noConversion"/>
  </si>
  <si>
    <t>Null</t>
    <phoneticPr fontId="1" type="noConversion"/>
  </si>
  <si>
    <t>bizSeq</t>
    <phoneticPr fontId="1" type="noConversion"/>
  </si>
  <si>
    <t>number</t>
    <phoneticPr fontId="1" type="noConversion"/>
  </si>
  <si>
    <t>NN</t>
    <phoneticPr fontId="1" type="noConversion"/>
  </si>
  <si>
    <t>WMS 회원 가입시 발행된 BIZ_SEQ</t>
    <phoneticPr fontId="1" type="noConversion"/>
  </si>
  <si>
    <t>등록자ID</t>
    <phoneticPr fontId="1" type="noConversion"/>
  </si>
  <si>
    <t>varchar</t>
    <phoneticPr fontId="1" type="noConversion"/>
  </si>
  <si>
    <t>타시스템ID/WMS사용자 ID</t>
    <phoneticPr fontId="1" type="noConversion"/>
  </si>
  <si>
    <t>ifProdId</t>
    <phoneticPr fontId="1" type="noConversion"/>
  </si>
  <si>
    <t>O</t>
    <phoneticPr fontId="1" type="noConversion"/>
  </si>
  <si>
    <t>사업장 내에서 유니크한 값</t>
    <phoneticPr fontId="1" type="noConversion"/>
  </si>
  <si>
    <t>품목명</t>
    <phoneticPr fontId="1" type="noConversion"/>
  </si>
  <si>
    <t>코드화: '사용자코드'의 '품목_대분류' 참조</t>
    <phoneticPr fontId="1" type="noConversion"/>
  </si>
  <si>
    <t>중분류_코드</t>
    <phoneticPr fontId="1" type="noConversion"/>
  </si>
  <si>
    <t>varchar</t>
    <phoneticPr fontId="1" type="noConversion"/>
  </si>
  <si>
    <t>NN</t>
    <phoneticPr fontId="1" type="noConversion"/>
  </si>
  <si>
    <t>코드화: '사용자코드'의 '품목_중분류' 참조</t>
    <phoneticPr fontId="1" type="noConversion"/>
  </si>
  <si>
    <t>코드화: '사용자코드'의 '품목_소분류' 참조</t>
    <phoneticPr fontId="1" type="noConversion"/>
  </si>
  <si>
    <t>품온구분</t>
    <phoneticPr fontId="1" type="noConversion"/>
  </si>
  <si>
    <t>단위_코드</t>
    <phoneticPr fontId="1" type="noConversion"/>
  </si>
  <si>
    <t>코드</t>
    <phoneticPr fontId="1" type="noConversion"/>
  </si>
  <si>
    <t>inQty</t>
    <phoneticPr fontId="1" type="noConversion"/>
  </si>
  <si>
    <t>입수량</t>
    <phoneticPr fontId="1" type="noConversion"/>
  </si>
  <si>
    <t>number</t>
    <phoneticPr fontId="1" type="noConversion"/>
  </si>
  <si>
    <t>netWeight</t>
    <phoneticPr fontId="1" type="noConversion"/>
  </si>
  <si>
    <t>순중량</t>
    <phoneticPr fontId="1" type="noConversion"/>
  </si>
  <si>
    <t>비고</t>
    <phoneticPr fontId="1" type="noConversion"/>
  </si>
  <si>
    <t>useYn</t>
    <phoneticPr fontId="1" type="noConversion"/>
  </si>
  <si>
    <t>useYn</t>
    <phoneticPr fontId="1" type="noConversion"/>
  </si>
  <si>
    <t>사용여부</t>
    <phoneticPr fontId="1" type="noConversion"/>
  </si>
  <si>
    <t>char</t>
    <phoneticPr fontId="1" type="noConversion"/>
  </si>
  <si>
    <t>코드화 : 'N' / 'Y' (기본'Y')</t>
    <phoneticPr fontId="1" type="noConversion"/>
  </si>
  <si>
    <t>SIZE</t>
    <phoneticPr fontId="1" type="noConversion"/>
  </si>
  <si>
    <t>Null</t>
    <phoneticPr fontId="1" type="noConversion"/>
  </si>
  <si>
    <t>에러메세지</t>
    <phoneticPr fontId="1" type="noConversion"/>
  </si>
  <si>
    <t>WMS와 외부 프로그램의 유니크 키</t>
    <phoneticPr fontId="1" type="noConversion"/>
  </si>
  <si>
    <t>message</t>
    <phoneticPr fontId="1" type="noConversion"/>
  </si>
  <si>
    <t>비고</t>
    <phoneticPr fontId="1" type="noConversion"/>
  </si>
  <si>
    <t>- 품목명-상품명은 동일하게 셋팅 =&gt; 상품명 변경 필요 시 WMS에서 변경
- ERP IF 항목 : 품목번호, 품목명, 품목분류, 대/중/소분류, 규격, 단위
- WMS 관리 항목 : 중량, 입수량, 유효기준일수, 임박기준일수, 상품식별코드, 물류식별코드,
                       묶음수량, 묶음단위명, 가로/세로/높이, 원산지, 브랜드, 품목SKU
- 송부용 상품정보에 포함된 데이터: 품목번호, 품목명, 재고단위, 규격, 품목분류(품목군명), 중량, 중량단위,
                                           사용유무, 안전재고, 대/중/소분류코드, 대/중/소분류명, 출하단위,
                                           품온구분, 육계시세적용구분, 부피, 환산중량</t>
    <phoneticPr fontId="1" type="noConversion"/>
  </si>
  <si>
    <t>Request</t>
    <phoneticPr fontId="1" type="noConversion"/>
  </si>
  <si>
    <t>설명</t>
    <phoneticPr fontId="1" type="noConversion"/>
  </si>
  <si>
    <t>사업장SEQ</t>
    <phoneticPr fontId="1" type="noConversion"/>
  </si>
  <si>
    <t>NN</t>
    <phoneticPr fontId="1" type="noConversion"/>
  </si>
  <si>
    <t>등록자ID</t>
    <phoneticPr fontId="1" type="noConversion"/>
  </si>
  <si>
    <t>varchar</t>
    <phoneticPr fontId="1" type="noConversion"/>
  </si>
  <si>
    <t>NN</t>
    <phoneticPr fontId="1" type="noConversion"/>
  </si>
  <si>
    <t>타시스템ID/WMS사용자 ID</t>
    <phoneticPr fontId="1" type="noConversion"/>
  </si>
  <si>
    <t>reqList</t>
    <phoneticPr fontId="1" type="noConversion"/>
  </si>
  <si>
    <t>거래처 목록</t>
    <phoneticPr fontId="1" type="noConversion"/>
  </si>
  <si>
    <t>O</t>
    <phoneticPr fontId="1" type="noConversion"/>
  </si>
  <si>
    <t>NN</t>
    <phoneticPr fontId="1" type="noConversion"/>
  </si>
  <si>
    <t>contNo</t>
    <phoneticPr fontId="1" type="noConversion"/>
  </si>
  <si>
    <t>거래처_번호</t>
    <phoneticPr fontId="1" type="noConversion"/>
  </si>
  <si>
    <t>contNm</t>
    <phoneticPr fontId="1" type="noConversion"/>
  </si>
  <si>
    <t>거래처_명</t>
    <phoneticPr fontId="1" type="noConversion"/>
  </si>
  <si>
    <t>contDivCd</t>
    <phoneticPr fontId="1" type="noConversion"/>
  </si>
  <si>
    <t>거래처_구분코드</t>
    <phoneticPr fontId="1" type="noConversion"/>
  </si>
  <si>
    <t>코드화: 1(매입) / 2(매출)
         /3(매입/매출)
         /9(기타)</t>
    <phoneticPr fontId="1" type="noConversion"/>
  </si>
  <si>
    <t>ceoNm</t>
    <phoneticPr fontId="1" type="noConversion"/>
  </si>
  <si>
    <t>대표자_명</t>
    <phoneticPr fontId="1" type="noConversion"/>
  </si>
  <si>
    <t>사업자_번호</t>
    <phoneticPr fontId="1" type="noConversion"/>
  </si>
  <si>
    <t>업태</t>
    <phoneticPr fontId="1" type="noConversion"/>
  </si>
  <si>
    <t>명칭</t>
    <phoneticPr fontId="1" type="noConversion"/>
  </si>
  <si>
    <t>varchar</t>
    <phoneticPr fontId="1" type="noConversion"/>
  </si>
  <si>
    <t>명칭</t>
    <phoneticPr fontId="1" type="noConversion"/>
  </si>
  <si>
    <t>center</t>
    <phoneticPr fontId="1" type="noConversion"/>
  </si>
  <si>
    <t>센터</t>
    <phoneticPr fontId="1" type="noConversion"/>
  </si>
  <si>
    <t xml:space="preserve">코드화: </t>
    <phoneticPr fontId="1" type="noConversion"/>
  </si>
  <si>
    <t xml:space="preserve">코드화: </t>
    <phoneticPr fontId="1" type="noConversion"/>
  </si>
  <si>
    <t>region</t>
    <phoneticPr fontId="1" type="noConversion"/>
  </si>
  <si>
    <t>권역</t>
    <phoneticPr fontId="1" type="noConversion"/>
  </si>
  <si>
    <t>varchar</t>
    <phoneticPr fontId="1" type="noConversion"/>
  </si>
  <si>
    <t>car</t>
    <phoneticPr fontId="1" type="noConversion"/>
  </si>
  <si>
    <t>호차</t>
    <phoneticPr fontId="1" type="noConversion"/>
  </si>
  <si>
    <t>warehouse</t>
    <phoneticPr fontId="1" type="noConversion"/>
  </si>
  <si>
    <t>외주창고</t>
    <phoneticPr fontId="1" type="noConversion"/>
  </si>
  <si>
    <t>pickTypeCd</t>
    <phoneticPr fontId="1" type="noConversion"/>
  </si>
  <si>
    <t>피킹방식</t>
    <phoneticPr fontId="1" type="noConversion"/>
  </si>
  <si>
    <t>varchar</t>
    <phoneticPr fontId="1" type="noConversion"/>
  </si>
  <si>
    <t>총량피킹: 센터내 모든 지사를 총량으로 피킹
권역피킹: 지사별 총량으로 피킹
호차피킹: 차량단위 총량으로 피킹
점별피킹: 점포단위로 피킹</t>
    <phoneticPr fontId="1" type="noConversion"/>
  </si>
  <si>
    <t>email</t>
    <phoneticPr fontId="1" type="noConversion"/>
  </si>
  <si>
    <t>이메일</t>
    <phoneticPr fontId="1" type="noConversion"/>
  </si>
  <si>
    <t>40(100)</t>
    <phoneticPr fontId="1" type="noConversion"/>
  </si>
  <si>
    <t>전화</t>
    <phoneticPr fontId="1" type="noConversion"/>
  </si>
  <si>
    <t>팩스</t>
    <phoneticPr fontId="1" type="noConversion"/>
  </si>
  <si>
    <t>postNo</t>
    <phoneticPr fontId="1" type="noConversion"/>
  </si>
  <si>
    <t>우편_변호</t>
    <phoneticPr fontId="1" type="noConversion"/>
  </si>
  <si>
    <t>주소</t>
    <phoneticPr fontId="1" type="noConversion"/>
  </si>
  <si>
    <t>addrDtl</t>
    <phoneticPr fontId="1" type="noConversion"/>
  </si>
  <si>
    <t>주소_상세</t>
    <phoneticPr fontId="1" type="noConversion"/>
  </si>
  <si>
    <t>note</t>
    <phoneticPr fontId="1" type="noConversion"/>
  </si>
  <si>
    <t>비고</t>
    <phoneticPr fontId="1" type="noConversion"/>
  </si>
  <si>
    <t>사용여부</t>
    <phoneticPr fontId="1" type="noConversion"/>
  </si>
  <si>
    <t>코드화 : 'N' / 'Y' (기본'Y')</t>
    <phoneticPr fontId="1" type="noConversion"/>
  </si>
  <si>
    <t>Response</t>
    <phoneticPr fontId="1" type="noConversion"/>
  </si>
  <si>
    <t>항목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</si>
  <si>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</si>
  <si>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</si>
  <si>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</si>
  <si>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메세지</t>
    <phoneticPr fontId="1" type="noConversion"/>
  </si>
  <si>
    <t>에러메세지</t>
    <phoneticPr fontId="1" type="noConversion"/>
  </si>
  <si>
    <t>요청리스트</t>
    <phoneticPr fontId="1" type="noConversion"/>
  </si>
  <si>
    <t>ifContId</t>
    <phoneticPr fontId="1" type="noConversion"/>
  </si>
  <si>
    <t>IF_거래처_ID</t>
    <phoneticPr fontId="1" type="noConversion"/>
  </si>
  <si>
    <t>varchar</t>
    <phoneticPr fontId="1" type="noConversion"/>
  </si>
  <si>
    <t>WMS와 외부 프로그램의 유니크 키</t>
    <phoneticPr fontId="1" type="noConversion"/>
  </si>
  <si>
    <t>result</t>
    <phoneticPr fontId="1" type="noConversion"/>
  </si>
  <si>
    <t>처리 여부</t>
    <phoneticPr fontId="1" type="noConversion"/>
  </si>
  <si>
    <t>NN</t>
    <phoneticPr fontId="1" type="noConversion"/>
  </si>
  <si>
    <t>처리 실패시 실패 사유</t>
    <phoneticPr fontId="1" type="noConversion"/>
  </si>
  <si>
    <t>목록</t>
    <phoneticPr fontId="1" type="noConversion"/>
  </si>
  <si>
    <t>IF명</t>
    <phoneticPr fontId="1" type="noConversion"/>
  </si>
  <si>
    <t>URI</t>
    <phoneticPr fontId="1" type="noConversion"/>
  </si>
  <si>
    <t>HTTP Method</t>
    <phoneticPr fontId="1" type="noConversion"/>
  </si>
  <si>
    <t>Data Type</t>
    <phoneticPr fontId="1" type="noConversion"/>
  </si>
  <si>
    <t>JSON</t>
    <phoneticPr fontId="1" type="noConversion"/>
  </si>
  <si>
    <t>Request</t>
    <phoneticPr fontId="1" type="noConversion"/>
  </si>
  <si>
    <t>LV</t>
    <phoneticPr fontId="1" type="noConversion"/>
  </si>
  <si>
    <t>항목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</si>
  <si>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</si>
  <si>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</si>
  <si>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</si>
  <si>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</si>
  <si>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</si>
  <si>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설명</t>
    <phoneticPr fontId="1" type="noConversion"/>
  </si>
  <si>
    <t>userNm</t>
    <phoneticPr fontId="1" type="noConversion"/>
  </si>
  <si>
    <t>사용자명</t>
    <phoneticPr fontId="1" type="noConversion"/>
  </si>
  <si>
    <t>empNo</t>
    <phoneticPr fontId="1" type="noConversion"/>
  </si>
  <si>
    <t>사번</t>
    <phoneticPr fontId="1" type="noConversion"/>
  </si>
  <si>
    <t>Response</t>
    <phoneticPr fontId="1" type="noConversion"/>
  </si>
  <si>
    <t>LV</t>
    <phoneticPr fontId="1" type="noConversion"/>
  </si>
  <si>
    <t>항목명</t>
    <phoneticPr fontId="1" type="noConversion"/>
  </si>
  <si>
    <t>설명</t>
    <phoneticPr fontId="1" type="noConversion"/>
  </si>
  <si>
    <t>처리 메시지</t>
    <phoneticPr fontId="1" type="noConversion"/>
  </si>
  <si>
    <t>비고</t>
    <phoneticPr fontId="1" type="noConversion"/>
  </si>
  <si>
    <t>마감 후 출하승인 결과</t>
    <phoneticPr fontId="1" type="noConversion"/>
  </si>
  <si>
    <t>미출처리 처리결과</t>
    <phoneticPr fontId="1" type="noConversion"/>
  </si>
  <si>
    <t>삭제오더 처리결과</t>
    <phoneticPr fontId="1" type="noConversion"/>
  </si>
  <si>
    <t>추가 발주 주문건을 승인/거절 처리 결과 전송</t>
    <phoneticPr fontId="1" type="noConversion"/>
  </si>
  <si>
    <t>미출처리 된 품목 처리 결과 전송</t>
    <phoneticPr fontId="1" type="noConversion"/>
  </si>
  <si>
    <t>삭제오더 처리 결과 전송</t>
    <phoneticPr fontId="1" type="noConversion"/>
  </si>
  <si>
    <t>OB_CLO_ODR</t>
    <phoneticPr fontId="1" type="noConversion"/>
  </si>
  <si>
    <t>OB_CLE_ODR</t>
    <phoneticPr fontId="1" type="noConversion"/>
  </si>
  <si>
    <t>OB_NOB_ODR</t>
    <phoneticPr fontId="1" type="noConversion"/>
  </si>
  <si>
    <t>WMS 회원 가입시 발행된 BIZ_SEQ</t>
    <phoneticPr fontId="1" type="noConversion"/>
  </si>
  <si>
    <t>등록자ID</t>
    <phoneticPr fontId="1" type="noConversion"/>
  </si>
  <si>
    <t>varchar</t>
    <phoneticPr fontId="1" type="noConversion"/>
  </si>
  <si>
    <t>NN</t>
    <phoneticPr fontId="1" type="noConversion"/>
  </si>
  <si>
    <t>타시스템ID/WMS사용자 ID</t>
    <phoneticPr fontId="1" type="noConversion"/>
  </si>
  <si>
    <t xml:space="preserve">등록자명 </t>
    <phoneticPr fontId="1" type="noConversion"/>
  </si>
  <si>
    <t>타시스템사용자명/WMS사용자명</t>
    <phoneticPr fontId="1" type="noConversion"/>
  </si>
  <si>
    <t>userNm</t>
    <phoneticPr fontId="1" type="noConversion"/>
  </si>
  <si>
    <t>O</t>
    <phoneticPr fontId="1" type="noConversion"/>
  </si>
  <si>
    <t>varchar</t>
    <phoneticPr fontId="1" type="noConversion"/>
  </si>
  <si>
    <t>varchar</t>
    <phoneticPr fontId="1" type="noConversion"/>
  </si>
  <si>
    <t>O</t>
    <phoneticPr fontId="1" type="noConversion"/>
  </si>
  <si>
    <t>NN</t>
    <phoneticPr fontId="1" type="noConversion"/>
  </si>
  <si>
    <t>IF명</t>
    <phoneticPr fontId="1" type="noConversion"/>
  </si>
  <si>
    <t>URI</t>
    <phoneticPr fontId="1" type="noConversion"/>
  </si>
  <si>
    <t>HTTP Method</t>
    <phoneticPr fontId="1" type="noConversion"/>
  </si>
  <si>
    <t>Data Type</t>
    <phoneticPr fontId="1" type="noConversion"/>
  </si>
  <si>
    <t>LV</t>
    <phoneticPr fontId="1" type="noConversion"/>
  </si>
  <si>
    <t>Null</t>
    <phoneticPr fontId="1" type="noConversion"/>
  </si>
  <si>
    <t>1: 교촌에프앤비</t>
    <phoneticPr fontId="1" type="noConversion"/>
  </si>
  <si>
    <t>IF 키</t>
    <phoneticPr fontId="1" type="noConversion"/>
  </si>
  <si>
    <t>WMS와 ERP의 유니크 키</t>
    <phoneticPr fontId="1" type="noConversion"/>
  </si>
  <si>
    <t>reqUserNm</t>
    <phoneticPr fontId="1" type="noConversion"/>
  </si>
  <si>
    <t>I/F 서브키</t>
    <phoneticPr fontId="1" type="noConversion"/>
  </si>
  <si>
    <t>해당 요청건의 유니크 키</t>
    <phoneticPr fontId="1" type="noConversion"/>
  </si>
  <si>
    <t>ifProdId</t>
    <phoneticPr fontId="1" type="noConversion"/>
  </si>
  <si>
    <t>LV</t>
    <phoneticPr fontId="1" type="noConversion"/>
  </si>
  <si>
    <t>Request</t>
    <phoneticPr fontId="1" type="noConversion"/>
  </si>
  <si>
    <t>항목명</t>
    <phoneticPr fontId="1" type="noConversion"/>
  </si>
  <si>
    <t>Type</t>
    <phoneticPr fontId="1" type="noConversion"/>
  </si>
  <si>
    <t>설명</t>
    <phoneticPr fontId="1" type="noConversion"/>
  </si>
  <si>
    <t>number</t>
    <phoneticPr fontId="1" type="noConversion"/>
  </si>
  <si>
    <t>처리메세지</t>
    <phoneticPr fontId="1" type="noConversion"/>
  </si>
  <si>
    <t>LV</t>
    <phoneticPr fontId="1" type="noConversion"/>
  </si>
  <si>
    <t>Null</t>
    <phoneticPr fontId="1" type="noConversion"/>
  </si>
  <si>
    <t>WMS와 OMS의 유니크 키</t>
    <phoneticPr fontId="1" type="noConversion"/>
  </si>
  <si>
    <t>비고</t>
    <phoneticPr fontId="1" type="noConversion"/>
  </si>
  <si>
    <t>처리 실패시 실패 사유</t>
    <phoneticPr fontId="1" type="noConversion"/>
  </si>
  <si>
    <t>Data Type</t>
    <phoneticPr fontId="1" type="noConversion"/>
  </si>
  <si>
    <t>항목</t>
    <phoneticPr fontId="1" type="noConversion"/>
  </si>
  <si>
    <t>reqYmd</t>
    <phoneticPr fontId="1" type="noConversion"/>
  </si>
  <si>
    <t>양식: yyyymmdd</t>
    <phoneticPr fontId="1" type="noConversion"/>
  </si>
  <si>
    <t>reqUserNm</t>
    <phoneticPr fontId="1" type="noConversion"/>
  </si>
  <si>
    <t>OK : 성공, NG : 실패</t>
    <phoneticPr fontId="1" type="noConversion"/>
  </si>
  <si>
    <t>WMS사용자 ID</t>
    <phoneticPr fontId="1" type="noConversion"/>
  </si>
  <si>
    <t>등록자명</t>
    <phoneticPr fontId="1" type="noConversion"/>
  </si>
  <si>
    <t>WMS사용자명</t>
    <phoneticPr fontId="1" type="noConversion"/>
  </si>
  <si>
    <t>처리일자</t>
    <phoneticPr fontId="1" type="noConversion"/>
  </si>
  <si>
    <t>양식: yyyyMMdd</t>
    <phoneticPr fontId="1" type="noConversion"/>
  </si>
  <si>
    <t>OB_REG_DELV</t>
    <phoneticPr fontId="1" type="noConversion"/>
  </si>
  <si>
    <t>* 센터정보</t>
    <phoneticPr fontId="1" type="noConversion"/>
  </si>
  <si>
    <t>NO</t>
    <phoneticPr fontId="5" type="noConversion"/>
  </si>
  <si>
    <t>WMS 센터</t>
    <phoneticPr fontId="5" type="noConversion"/>
  </si>
  <si>
    <t>ERP창고</t>
    <phoneticPr fontId="1" type="noConversion"/>
  </si>
  <si>
    <t>비고</t>
    <phoneticPr fontId="5" type="noConversion"/>
  </si>
  <si>
    <t>센터명</t>
    <phoneticPr fontId="1" type="noConversion"/>
  </si>
  <si>
    <t>코드</t>
    <phoneticPr fontId="1" type="noConversion"/>
  </si>
  <si>
    <t>창고명</t>
    <phoneticPr fontId="1" type="noConversion"/>
  </si>
  <si>
    <t>수도권센터</t>
    <phoneticPr fontId="1" type="noConversion"/>
  </si>
  <si>
    <t>수도권창고</t>
    <phoneticPr fontId="1" type="noConversion"/>
  </si>
  <si>
    <t>A1000</t>
  </si>
  <si>
    <t>김포센터</t>
    <phoneticPr fontId="1" type="noConversion"/>
  </si>
  <si>
    <t>김포창고</t>
    <phoneticPr fontId="1" type="noConversion"/>
  </si>
  <si>
    <t>E1000</t>
  </si>
  <si>
    <t>동부센터</t>
    <phoneticPr fontId="1" type="noConversion"/>
  </si>
  <si>
    <t>동부창고</t>
    <phoneticPr fontId="1" type="noConversion"/>
  </si>
  <si>
    <t>B1000</t>
  </si>
  <si>
    <t>남부센터</t>
    <phoneticPr fontId="1" type="noConversion"/>
  </si>
  <si>
    <t>남부창고</t>
    <phoneticPr fontId="1" type="noConversion"/>
  </si>
  <si>
    <t>D1000</t>
  </si>
  <si>
    <t>서부센터</t>
    <phoneticPr fontId="1" type="noConversion"/>
  </si>
  <si>
    <t>서부창고</t>
    <phoneticPr fontId="1" type="noConversion"/>
  </si>
  <si>
    <t>C1000</t>
  </si>
  <si>
    <t>강원클러스터</t>
    <phoneticPr fontId="1" type="noConversion"/>
  </si>
  <si>
    <t>강원창고(직영)</t>
    <phoneticPr fontId="1" type="noConversion"/>
  </si>
  <si>
    <t>G2004</t>
  </si>
  <si>
    <t>익산클러스터</t>
    <phoneticPr fontId="1" type="noConversion"/>
  </si>
  <si>
    <t>익산창고</t>
    <phoneticPr fontId="1" type="noConversion"/>
  </si>
  <si>
    <t>F1000</t>
  </si>
  <si>
    <t>제주클러스터</t>
    <phoneticPr fontId="1" type="noConversion"/>
  </si>
  <si>
    <t>제주창고</t>
    <phoneticPr fontId="1" type="noConversion"/>
  </si>
  <si>
    <t>G4003</t>
  </si>
  <si>
    <t>외주센터1</t>
    <phoneticPr fontId="1" type="noConversion"/>
  </si>
  <si>
    <t>H1001</t>
    <phoneticPr fontId="1" type="noConversion"/>
  </si>
  <si>
    <t>지오컴퍼니</t>
    <phoneticPr fontId="1" type="noConversion"/>
  </si>
  <si>
    <t>외주센터2</t>
    <phoneticPr fontId="1" type="noConversion"/>
  </si>
  <si>
    <t>이지그린</t>
    <phoneticPr fontId="1" type="noConversion"/>
  </si>
  <si>
    <t>외주센터3</t>
    <phoneticPr fontId="1" type="noConversion"/>
  </si>
  <si>
    <t>업체 3원화시 사용</t>
    <phoneticPr fontId="1" type="noConversion"/>
  </si>
  <si>
    <t>외주센터4</t>
    <phoneticPr fontId="1" type="noConversion"/>
  </si>
  <si>
    <t>에스엠피엔씨</t>
    <phoneticPr fontId="1" type="noConversion"/>
  </si>
  <si>
    <t>합계</t>
    <phoneticPr fontId="5" type="noConversion"/>
  </si>
  <si>
    <t>NN</t>
    <phoneticPr fontId="1" type="noConversion"/>
  </si>
  <si>
    <t>반품유형코드
RT01(출하반품)</t>
    <phoneticPr fontId="1" type="noConversion"/>
  </si>
  <si>
    <t>varchar</t>
    <phoneticPr fontId="1" type="noConversion"/>
  </si>
  <si>
    <t>에러메세지</t>
    <phoneticPr fontId="1" type="noConversion"/>
  </si>
  <si>
    <t>message</t>
    <phoneticPr fontId="1" type="noConversion"/>
  </si>
  <si>
    <t>비고</t>
    <phoneticPr fontId="1" type="noConversion"/>
  </si>
  <si>
    <t>Response</t>
    <phoneticPr fontId="1" type="noConversion"/>
  </si>
  <si>
    <t>LV</t>
    <phoneticPr fontId="1" type="noConversion"/>
  </si>
  <si>
    <t>처리 실패시 실패 사유</t>
    <phoneticPr fontId="1" type="noConversion"/>
  </si>
  <si>
    <t>1: 교촌에프앤비</t>
    <phoneticPr fontId="1" type="noConversion"/>
  </si>
  <si>
    <t>O</t>
    <phoneticPr fontId="1" type="noConversion"/>
  </si>
  <si>
    <t>centerSeq</t>
    <phoneticPr fontId="1" type="noConversion"/>
  </si>
  <si>
    <t>항목</t>
    <phoneticPr fontId="1" type="noConversion"/>
  </si>
  <si>
    <t>SIZE</t>
    <phoneticPr fontId="1" type="noConversion"/>
  </si>
  <si>
    <t>Null</t>
    <phoneticPr fontId="1" type="noConversion"/>
  </si>
  <si>
    <t>메세지</t>
    <phoneticPr fontId="1" type="noConversion"/>
  </si>
  <si>
    <t>처리 여부</t>
    <phoneticPr fontId="1" type="noConversion"/>
  </si>
  <si>
    <t>처리 메시지</t>
    <phoneticPr fontId="1" type="noConversion"/>
  </si>
  <si>
    <t>varchar</t>
    <phoneticPr fontId="1" type="noConversion"/>
  </si>
  <si>
    <t>procHms</t>
    <phoneticPr fontId="1" type="noConversion"/>
  </si>
  <si>
    <t>NN</t>
    <phoneticPr fontId="1" type="noConversion"/>
  </si>
  <si>
    <t>해당 요청건의 유니크 키</t>
    <phoneticPr fontId="1" type="noConversion"/>
  </si>
  <si>
    <t>IF 키</t>
    <phoneticPr fontId="1" type="noConversion"/>
  </si>
  <si>
    <t>varchar</t>
    <phoneticPr fontId="1" type="noConversion"/>
  </si>
  <si>
    <t>varchar</t>
    <phoneticPr fontId="1" type="noConversion"/>
  </si>
  <si>
    <t>설명</t>
    <phoneticPr fontId="1" type="noConversion"/>
  </si>
  <si>
    <t>요청리스트</t>
    <phoneticPr fontId="1" type="noConversion"/>
  </si>
  <si>
    <t>WMS와 OMS의 유니크 키</t>
    <phoneticPr fontId="1" type="noConversion"/>
  </si>
  <si>
    <t>result</t>
    <phoneticPr fontId="1" type="noConversion"/>
  </si>
  <si>
    <t>message</t>
    <phoneticPr fontId="1" type="noConversion"/>
  </si>
  <si>
    <t>품목번호</t>
    <phoneticPr fontId="1" type="noConversion"/>
  </si>
  <si>
    <t>출하예정일</t>
    <phoneticPr fontId="1" type="noConversion"/>
  </si>
  <si>
    <t>출하요청자명</t>
    <phoneticPr fontId="1" type="noConversion"/>
  </si>
  <si>
    <t>주문번호</t>
    <phoneticPr fontId="1" type="noConversion"/>
  </si>
  <si>
    <t>WMS와 OMS의 유니크 키</t>
    <phoneticPr fontId="1" type="noConversion"/>
  </si>
  <si>
    <t>IF명</t>
    <phoneticPr fontId="1" type="noConversion"/>
  </si>
  <si>
    <t>URI</t>
    <phoneticPr fontId="1" type="noConversion"/>
  </si>
  <si>
    <t>HTTP Method</t>
    <phoneticPr fontId="1" type="noConversion"/>
  </si>
  <si>
    <t>Data Type</t>
    <phoneticPr fontId="1" type="noConversion"/>
  </si>
  <si>
    <t>JSON</t>
    <phoneticPr fontId="1" type="noConversion"/>
  </si>
  <si>
    <t>Request</t>
    <phoneticPr fontId="1" type="noConversion"/>
  </si>
  <si>
    <t>LV</t>
    <phoneticPr fontId="1" type="noConversion"/>
  </si>
  <si>
    <t>항목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</si>
  <si>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</si>
  <si>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</si>
  <si>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</si>
  <si>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</si>
  <si>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</si>
  <si>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설명</t>
    <phoneticPr fontId="1" type="noConversion"/>
  </si>
  <si>
    <t>bizSeq</t>
    <phoneticPr fontId="1" type="noConversion"/>
  </si>
  <si>
    <t>사업장SEQ</t>
    <phoneticPr fontId="1" type="noConversion"/>
  </si>
  <si>
    <t>NN</t>
    <phoneticPr fontId="1" type="noConversion"/>
  </si>
  <si>
    <t>IF 키</t>
    <phoneticPr fontId="1" type="noConversion"/>
  </si>
  <si>
    <t>varchar</t>
    <phoneticPr fontId="1" type="noConversion"/>
  </si>
  <si>
    <t>NN</t>
    <phoneticPr fontId="1" type="noConversion"/>
  </si>
  <si>
    <t>WMS와 OMS의 유니크 키</t>
    <phoneticPr fontId="1" type="noConversion"/>
  </si>
  <si>
    <t>reqYmd</t>
    <phoneticPr fontId="1" type="noConversion"/>
  </si>
  <si>
    <t>양식: yyyymmdd</t>
    <phoneticPr fontId="1" type="noConversion"/>
  </si>
  <si>
    <t>varchar</t>
    <phoneticPr fontId="1" type="noConversion"/>
  </si>
  <si>
    <t>reqUserNm</t>
    <phoneticPr fontId="1" type="noConversion"/>
  </si>
  <si>
    <t>soNo</t>
    <phoneticPr fontId="1" type="noConversion"/>
  </si>
  <si>
    <t>30(50)</t>
    <phoneticPr fontId="1" type="noConversion"/>
  </si>
  <si>
    <t>주문처ID</t>
    <phoneticPr fontId="1" type="noConversion"/>
  </si>
  <si>
    <t>거래처_ID</t>
    <phoneticPr fontId="1" type="noConversion"/>
  </si>
  <si>
    <t>note</t>
    <phoneticPr fontId="1" type="noConversion"/>
  </si>
  <si>
    <t>비고</t>
    <phoneticPr fontId="1" type="noConversion"/>
  </si>
  <si>
    <t>I/F 서브키</t>
    <phoneticPr fontId="1" type="noConversion"/>
  </si>
  <si>
    <t>해당 요청건의 유니크 키</t>
    <phoneticPr fontId="1" type="noConversion"/>
  </si>
  <si>
    <t>주문수량</t>
    <phoneticPr fontId="1" type="noConversion"/>
  </si>
  <si>
    <t>메세지</t>
    <phoneticPr fontId="1" type="noConversion"/>
  </si>
  <si>
    <t>에러메세지</t>
    <phoneticPr fontId="1" type="noConversion"/>
  </si>
  <si>
    <t>요청리스트</t>
    <phoneticPr fontId="1" type="noConversion"/>
  </si>
  <si>
    <t>IF 키</t>
    <phoneticPr fontId="1" type="noConversion"/>
  </si>
  <si>
    <t>result</t>
    <phoneticPr fontId="1" type="noConversion"/>
  </si>
  <si>
    <t>처리 여부</t>
    <phoneticPr fontId="1" type="noConversion"/>
  </si>
  <si>
    <t>목록</t>
    <phoneticPr fontId="1" type="noConversion"/>
  </si>
  <si>
    <t>IF명</t>
    <phoneticPr fontId="1" type="noConversion"/>
  </si>
  <si>
    <t>URI</t>
    <phoneticPr fontId="1" type="noConversion"/>
  </si>
  <si>
    <t>HTTP Method</t>
    <phoneticPr fontId="1" type="noConversion"/>
  </si>
  <si>
    <t>JSON</t>
    <phoneticPr fontId="1" type="noConversion"/>
  </si>
  <si>
    <t>Request</t>
    <phoneticPr fontId="1" type="noConversion"/>
  </si>
  <si>
    <t>LV</t>
    <phoneticPr fontId="1" type="noConversion"/>
  </si>
  <si>
    <t>항목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</si>
  <si>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</si>
  <si>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</si>
  <si>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</si>
  <si>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</si>
  <si>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</si>
  <si>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설명</t>
    <phoneticPr fontId="1" type="noConversion"/>
  </si>
  <si>
    <t>bizSeq</t>
    <phoneticPr fontId="1" type="noConversion"/>
  </si>
  <si>
    <t>사업장SEQ</t>
    <phoneticPr fontId="1" type="noConversion"/>
  </si>
  <si>
    <t>1: 교촌에프앤비</t>
    <phoneticPr fontId="1" type="noConversion"/>
  </si>
  <si>
    <t>IF 키</t>
    <phoneticPr fontId="1" type="noConversion"/>
  </si>
  <si>
    <t>varchar</t>
    <phoneticPr fontId="1" type="noConversion"/>
  </si>
  <si>
    <t>O</t>
    <phoneticPr fontId="1" type="noConversion"/>
  </si>
  <si>
    <t>NN</t>
    <phoneticPr fontId="1" type="noConversion"/>
  </si>
  <si>
    <t>WMS와 OMS의 유니크 키</t>
    <phoneticPr fontId="1" type="noConversion"/>
  </si>
  <si>
    <t>varchar</t>
    <phoneticPr fontId="1" type="noConversion"/>
  </si>
  <si>
    <t>Response</t>
    <phoneticPr fontId="1" type="noConversion"/>
  </si>
  <si>
    <t>항목</t>
    <phoneticPr fontId="1" type="noConversion"/>
  </si>
  <si>
    <t>항목명</t>
    <phoneticPr fontId="1" type="noConversion"/>
  </si>
  <si>
    <t>메세지</t>
    <phoneticPr fontId="1" type="noConversion"/>
  </si>
  <si>
    <t>에러메세지</t>
    <phoneticPr fontId="1" type="noConversion"/>
  </si>
  <si>
    <t>요청리스트</t>
    <phoneticPr fontId="1" type="noConversion"/>
  </si>
  <si>
    <t>IF 키</t>
    <phoneticPr fontId="1" type="noConversion"/>
  </si>
  <si>
    <t>처리 메시지</t>
    <phoneticPr fontId="1" type="noConversion"/>
  </si>
  <si>
    <t>처리 실패시 실패 사유</t>
    <phoneticPr fontId="1" type="noConversion"/>
  </si>
  <si>
    <t>목록</t>
    <phoneticPr fontId="1" type="noConversion"/>
  </si>
  <si>
    <t>IF명</t>
    <phoneticPr fontId="1" type="noConversion"/>
  </si>
  <si>
    <t>Data Type</t>
    <phoneticPr fontId="1" type="noConversion"/>
  </si>
  <si>
    <t>JSON</t>
    <phoneticPr fontId="1" type="noConversion"/>
  </si>
  <si>
    <t>procType</t>
  </si>
  <si>
    <t>처리유형</t>
    <phoneticPr fontId="1" type="noConversion"/>
  </si>
  <si>
    <t>varchar</t>
  </si>
  <si>
    <t>NN</t>
  </si>
  <si>
    <t>result</t>
    <phoneticPr fontId="1" type="noConversion"/>
  </si>
  <si>
    <t>처리 여부</t>
    <phoneticPr fontId="1" type="noConversion"/>
  </si>
  <si>
    <t>message</t>
    <phoneticPr fontId="1" type="noConversion"/>
  </si>
  <si>
    <t>HTTP Method</t>
    <phoneticPr fontId="1" type="noConversion"/>
  </si>
  <si>
    <t>Null</t>
    <phoneticPr fontId="1" type="noConversion"/>
  </si>
  <si>
    <t>bizSeq</t>
    <phoneticPr fontId="1" type="noConversion"/>
  </si>
  <si>
    <t>number</t>
    <phoneticPr fontId="1" type="noConversion"/>
  </si>
  <si>
    <t>처리유형</t>
  </si>
  <si>
    <t>I/F 서브키</t>
    <phoneticPr fontId="1" type="noConversion"/>
  </si>
  <si>
    <t>해당 요청건의 유니크 키</t>
    <phoneticPr fontId="1" type="noConversion"/>
  </si>
  <si>
    <t>O</t>
    <phoneticPr fontId="1" type="noConversion"/>
  </si>
  <si>
    <t>비고</t>
    <phoneticPr fontId="1" type="noConversion"/>
  </si>
  <si>
    <t>원 주문수량</t>
    <phoneticPr fontId="1" type="noConversion"/>
  </si>
  <si>
    <t>procQty</t>
    <phoneticPr fontId="1" type="noConversion"/>
  </si>
  <si>
    <t>처리수량</t>
    <phoneticPr fontId="1" type="noConversion"/>
  </si>
  <si>
    <t>차감수량</t>
    <phoneticPr fontId="1" type="noConversion"/>
  </si>
  <si>
    <t>미출유형</t>
    <phoneticPr fontId="1" type="noConversion"/>
  </si>
  <si>
    <t>미출사유</t>
    <phoneticPr fontId="1" type="noConversion"/>
  </si>
  <si>
    <t>목록</t>
    <phoneticPr fontId="1" type="noConversion"/>
  </si>
  <si>
    <t>IF명</t>
    <phoneticPr fontId="1" type="noConversion"/>
  </si>
  <si>
    <t>HTTP Method</t>
    <phoneticPr fontId="1" type="noConversion"/>
  </si>
  <si>
    <t>LV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</si>
  <si>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</si>
  <si>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</si>
  <si>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</si>
  <si>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</si>
  <si>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</si>
  <si>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bizSeq</t>
    <phoneticPr fontId="1" type="noConversion"/>
  </si>
  <si>
    <t>사업장SEQ</t>
    <phoneticPr fontId="1" type="noConversion"/>
  </si>
  <si>
    <t>number</t>
    <phoneticPr fontId="1" type="noConversion"/>
  </si>
  <si>
    <t>NN</t>
    <phoneticPr fontId="1" type="noConversion"/>
  </si>
  <si>
    <t>IF 키</t>
    <phoneticPr fontId="1" type="noConversion"/>
  </si>
  <si>
    <t>O</t>
    <phoneticPr fontId="1" type="noConversion"/>
  </si>
  <si>
    <t>varchar</t>
    <phoneticPr fontId="1" type="noConversion"/>
  </si>
  <si>
    <t>NN</t>
    <phoneticPr fontId="1" type="noConversion"/>
  </si>
  <si>
    <t>I/F 서브키</t>
    <phoneticPr fontId="1" type="noConversion"/>
  </si>
  <si>
    <t>해당 요청건의 유니크 키</t>
    <phoneticPr fontId="1" type="noConversion"/>
  </si>
  <si>
    <t>NN</t>
    <phoneticPr fontId="1" type="noConversion"/>
  </si>
  <si>
    <t>Response</t>
    <phoneticPr fontId="1" type="noConversion"/>
  </si>
  <si>
    <t>Type</t>
    <phoneticPr fontId="1" type="noConversion"/>
  </si>
  <si>
    <t>KEY</t>
    <phoneticPr fontId="1" type="noConversion"/>
  </si>
  <si>
    <t>메세지</t>
    <phoneticPr fontId="1" type="noConversion"/>
  </si>
  <si>
    <t>varchar</t>
    <phoneticPr fontId="1" type="noConversion"/>
  </si>
  <si>
    <t>요청리스트</t>
    <phoneticPr fontId="1" type="noConversion"/>
  </si>
  <si>
    <t>IF 키</t>
    <phoneticPr fontId="1" type="noConversion"/>
  </si>
  <si>
    <t>WMS와 OMS의 유니크 키</t>
    <phoneticPr fontId="1" type="noConversion"/>
  </si>
  <si>
    <t>Field Name</t>
    <phoneticPr fontId="1" type="noConversion"/>
  </si>
  <si>
    <t>응답 상태 코드</t>
    <phoneticPr fontId="1" type="noConversion"/>
  </si>
  <si>
    <t>resultMsg</t>
    <phoneticPr fontId="1" type="noConversion"/>
  </si>
  <si>
    <t>String</t>
    <phoneticPr fontId="1" type="noConversion"/>
  </si>
  <si>
    <t>권역이름</t>
    <phoneticPr fontId="1" type="noConversion"/>
  </si>
  <si>
    <t>출하단위</t>
    <phoneticPr fontId="1" type="noConversion"/>
  </si>
  <si>
    <t>인터페이스 방식</t>
    <phoneticPr fontId="1" type="noConversion"/>
  </si>
  <si>
    <t>Restful API</t>
    <phoneticPr fontId="1" type="noConversion"/>
  </si>
  <si>
    <t>Http Method</t>
    <phoneticPr fontId="1" type="noConversion"/>
  </si>
  <si>
    <t>URL</t>
    <phoneticPr fontId="1" type="noConversion"/>
  </si>
  <si>
    <t>설명</t>
  </si>
  <si>
    <t>NO</t>
    <phoneticPr fontId="1" type="noConversion"/>
  </si>
  <si>
    <t>필수</t>
    <phoneticPr fontId="1" type="noConversion"/>
  </si>
  <si>
    <t>Field</t>
    <phoneticPr fontId="1" type="noConversion"/>
  </si>
  <si>
    <t>출고요청일</t>
    <phoneticPr fontId="1" type="noConversion"/>
  </si>
  <si>
    <t>YYYY-MM-DD</t>
    <phoneticPr fontId="1" type="noConversion"/>
  </si>
  <si>
    <t>centerCode</t>
    <phoneticPr fontId="1" type="noConversion"/>
  </si>
  <si>
    <t>센터코드</t>
    <phoneticPr fontId="1" type="noConversion"/>
  </si>
  <si>
    <t>partnerCode</t>
    <phoneticPr fontId="1" type="noConversion"/>
  </si>
  <si>
    <t>거래처코드</t>
    <phoneticPr fontId="1" type="noConversion"/>
  </si>
  <si>
    <t>거래처이름</t>
    <phoneticPr fontId="1" type="noConversion"/>
  </si>
  <si>
    <t>address</t>
    <phoneticPr fontId="1" type="noConversion"/>
  </si>
  <si>
    <t>거래처주소</t>
    <phoneticPr fontId="1" type="noConversion"/>
  </si>
  <si>
    <t>itemCode</t>
    <phoneticPr fontId="1" type="noConversion"/>
  </si>
  <si>
    <t>원자재(계육)</t>
    <phoneticPr fontId="1" type="noConversion"/>
  </si>
  <si>
    <t>PACK</t>
    <phoneticPr fontId="1" type="noConversion"/>
  </si>
  <si>
    <t>double</t>
    <phoneticPr fontId="1" type="noConversion"/>
  </si>
  <si>
    <t>invoiceNo</t>
    <phoneticPr fontId="1" type="noConversion"/>
  </si>
  <si>
    <t>TMS 접수 번호</t>
    <phoneticPr fontId="1" type="noConversion"/>
  </si>
  <si>
    <t>TMS발번</t>
    <phoneticPr fontId="1" type="noConversion"/>
  </si>
  <si>
    <t>인터페이스 명</t>
    <phoneticPr fontId="1" type="noConversion"/>
  </si>
  <si>
    <t>응답 시스템</t>
    <phoneticPr fontId="1" type="noConversion"/>
  </si>
  <si>
    <t>Request Body</t>
    <phoneticPr fontId="1" type="noConversion"/>
  </si>
  <si>
    <t>자리수</t>
    <phoneticPr fontId="1" type="noConversion"/>
  </si>
  <si>
    <t>샘플</t>
    <phoneticPr fontId="1" type="noConversion"/>
  </si>
  <si>
    <t>Array</t>
    <phoneticPr fontId="1" type="noConversion"/>
  </si>
  <si>
    <t>data</t>
    <phoneticPr fontId="1" type="noConversion"/>
  </si>
  <si>
    <t>Response Body</t>
    <phoneticPr fontId="1" type="noConversion"/>
  </si>
  <si>
    <t>resultCode</t>
    <phoneticPr fontId="1" type="noConversion"/>
  </si>
  <si>
    <t>응답상태코드</t>
    <phoneticPr fontId="1" type="noConversion"/>
  </si>
  <si>
    <t>SUCCESS</t>
    <phoneticPr fontId="1" type="noConversion"/>
  </si>
  <si>
    <t>orderNo</t>
    <phoneticPr fontId="1" type="noConversion"/>
  </si>
  <si>
    <t>shippingReqNo</t>
    <phoneticPr fontId="1" type="noConversion"/>
  </si>
  <si>
    <t>출고요청번호</t>
    <phoneticPr fontId="1" type="noConversion"/>
  </si>
  <si>
    <t>비고</t>
    <phoneticPr fontId="1" type="noConversion"/>
  </si>
  <si>
    <t>배차시 필수(ALLOCATED)</t>
    <phoneticPr fontId="1" type="noConversion"/>
  </si>
  <si>
    <t>routeRegionName</t>
    <phoneticPr fontId="1" type="noConversion"/>
  </si>
  <si>
    <t>배차권역</t>
    <phoneticPr fontId="1" type="noConversion"/>
  </si>
  <si>
    <t>routeNo</t>
    <phoneticPr fontId="1" type="noConversion"/>
  </si>
  <si>
    <t>TMS노선번호</t>
    <phoneticPr fontId="1" type="noConversion"/>
  </si>
  <si>
    <t>loadingSeq</t>
  </si>
  <si>
    <t>차수</t>
    <phoneticPr fontId="1" type="noConversion"/>
  </si>
  <si>
    <t>입차시간</t>
    <phoneticPr fontId="1" type="noConversion"/>
  </si>
  <si>
    <t>dockNo</t>
    <phoneticPr fontId="1" type="noConversion"/>
  </si>
  <si>
    <t>출하장명</t>
    <phoneticPr fontId="1" type="noConversion"/>
  </si>
  <si>
    <t>driverName</t>
    <phoneticPr fontId="1" type="noConversion"/>
  </si>
  <si>
    <t>기사이름</t>
    <phoneticPr fontId="1" type="noConversion"/>
  </si>
  <si>
    <t>driverPhone</t>
    <phoneticPr fontId="1" type="noConversion"/>
  </si>
  <si>
    <t>기사연락처</t>
    <phoneticPr fontId="1" type="noConversion"/>
  </si>
  <si>
    <t>차량번호</t>
    <phoneticPr fontId="1" type="noConversion"/>
  </si>
  <si>
    <t>float</t>
    <phoneticPr fontId="1" type="noConversion"/>
  </si>
  <si>
    <t>차량톤</t>
    <phoneticPr fontId="1" type="noConversion"/>
  </si>
  <si>
    <t>기사 상차수량</t>
    <phoneticPr fontId="1" type="noConversion"/>
  </si>
  <si>
    <t>상차시 필수(ITEM_LOADED)</t>
    <phoneticPr fontId="1" type="noConversion"/>
  </si>
  <si>
    <t>담당자 확정 상차수량</t>
    <phoneticPr fontId="1" type="noConversion"/>
  </si>
  <si>
    <t>opdtAllocatedAt</t>
    <phoneticPr fontId="1" type="noConversion"/>
  </si>
  <si>
    <t>상차일시</t>
    <phoneticPr fontId="1" type="noConversion"/>
  </si>
  <si>
    <t>기사 하차 일시</t>
    <phoneticPr fontId="1" type="noConversion"/>
  </si>
  <si>
    <t>공통 데이터 모델</t>
    <phoneticPr fontId="1" type="noConversion"/>
  </si>
  <si>
    <t>상차처리_배차및상하차결과</t>
    <phoneticPr fontId="1" type="noConversion"/>
  </si>
  <si>
    <t>OB_UDP_DELV</t>
    <phoneticPr fontId="1" type="noConversion"/>
  </si>
  <si>
    <t>배차 요청사항 폴링</t>
    <phoneticPr fontId="1" type="noConversion"/>
  </si>
  <si>
    <t>배차 수정사항 폴링</t>
    <phoneticPr fontId="1" type="noConversion"/>
  </si>
  <si>
    <t>상차 처리결과 폴링</t>
    <phoneticPr fontId="1" type="noConversion"/>
  </si>
  <si>
    <t>예외출고(계정대체출고) 처리 결과 전송</t>
    <phoneticPr fontId="1" type="noConversion"/>
  </si>
  <si>
    <t>예외출고(계정대체출고) 신규 등록 및 예외출고(계정대체출고) 데이터 수정</t>
    <phoneticPr fontId="1" type="noConversion"/>
  </si>
  <si>
    <t>TARGET</t>
    <phoneticPr fontId="1" type="noConversion"/>
  </si>
  <si>
    <t>ERP용 비고와 WMS용 비고 분리</t>
    <phoneticPr fontId="1" type="noConversion"/>
  </si>
  <si>
    <t>prodNo</t>
    <phoneticPr fontId="1" type="noConversion"/>
  </si>
  <si>
    <t>prodNm</t>
    <phoneticPr fontId="1" type="noConversion"/>
  </si>
  <si>
    <t>prodSize</t>
    <phoneticPr fontId="1" type="noConversion"/>
  </si>
  <si>
    <t>largeCd</t>
    <phoneticPr fontId="1" type="noConversion"/>
  </si>
  <si>
    <t>middleCd</t>
    <phoneticPr fontId="1" type="noConversion"/>
  </si>
  <si>
    <t>smallCd</t>
    <phoneticPr fontId="1" type="noConversion"/>
  </si>
  <si>
    <t>cfd_cd</t>
    <phoneticPr fontId="1" type="noConversion"/>
  </si>
  <si>
    <t>unitCd</t>
    <phoneticPr fontId="1" type="noConversion"/>
  </si>
  <si>
    <t xml:space="preserve"> 퇴사자의 경우 ERP Response 실패(E)로 전달.
 처리 메시지에 '퇴직자 입니다.' 등으로 리턴.</t>
    <phoneticPr fontId="1" type="noConversion"/>
  </si>
  <si>
    <t>IF 키</t>
    <phoneticPr fontId="1" type="noConversion"/>
  </si>
  <si>
    <t>OMS</t>
    <phoneticPr fontId="1" type="noConversion"/>
  </si>
  <si>
    <t>empNo</t>
    <phoneticPr fontId="1" type="noConversion"/>
  </si>
  <si>
    <t>단가</t>
    <phoneticPr fontId="1" type="noConversion"/>
  </si>
  <si>
    <t>WMS와 OMS의 유니크 키</t>
    <phoneticPr fontId="1" type="noConversion"/>
  </si>
  <si>
    <t>price</t>
    <phoneticPr fontId="1" type="noConversion"/>
  </si>
  <si>
    <t>OMS</t>
    <phoneticPr fontId="1" type="noConversion"/>
  </si>
  <si>
    <t>반품마감_ERP</t>
    <phoneticPr fontId="1" type="noConversion"/>
  </si>
  <si>
    <t>반품마감_OMS</t>
    <phoneticPr fontId="1" type="noConversion"/>
  </si>
  <si>
    <t>출하예정 등록(판매출하)</t>
    <phoneticPr fontId="1" type="noConversion"/>
  </si>
  <si>
    <t>출하예정 등록(마감후출하)</t>
    <phoneticPr fontId="1" type="noConversion"/>
  </si>
  <si>
    <t>출하예정 등록(삭제오더)</t>
    <phoneticPr fontId="1" type="noConversion"/>
  </si>
  <si>
    <t>OB_CLO_REG</t>
    <phoneticPr fontId="1" type="noConversion"/>
  </si>
  <si>
    <t>OB_CLE_REG</t>
    <phoneticPr fontId="1" type="noConversion"/>
  </si>
  <si>
    <t>OB_SO_REG</t>
    <phoneticPr fontId="1" type="noConversion"/>
  </si>
  <si>
    <t>OB_SO_DEL</t>
    <phoneticPr fontId="1" type="noConversion"/>
  </si>
  <si>
    <t>OB_CLE_DEL</t>
    <phoneticPr fontId="1" type="noConversion"/>
  </si>
  <si>
    <t>출하예정 신규 등록 및 출하예정 데이터 수정(삭제오더)</t>
    <phoneticPr fontId="1" type="noConversion"/>
  </si>
  <si>
    <t>목록</t>
    <phoneticPr fontId="1" type="noConversion"/>
  </si>
  <si>
    <t>OMS 주문 번호</t>
    <phoneticPr fontId="1" type="noConversion"/>
  </si>
  <si>
    <t>JSON</t>
    <phoneticPr fontId="1" type="noConversion"/>
  </si>
  <si>
    <t>단가</t>
    <phoneticPr fontId="1" type="noConversion"/>
  </si>
  <si>
    <t>세액</t>
    <phoneticPr fontId="1" type="noConversion"/>
  </si>
  <si>
    <t>price</t>
    <phoneticPr fontId="1" type="noConversion"/>
  </si>
  <si>
    <t>tax</t>
    <phoneticPr fontId="1" type="noConversion"/>
  </si>
  <si>
    <t>비고 참조</t>
    <phoneticPr fontId="1" type="noConversion"/>
  </si>
  <si>
    <t>RT_REG</t>
    <phoneticPr fontId="1" type="noConversion"/>
  </si>
  <si>
    <t>출하 마감 결과 전송</t>
    <phoneticPr fontId="1" type="noConversion"/>
  </si>
  <si>
    <t>OB_CFM</t>
    <phoneticPr fontId="1" type="noConversion"/>
  </si>
  <si>
    <t>RT_CFM</t>
    <phoneticPr fontId="1" type="noConversion"/>
  </si>
  <si>
    <t>RT_CFM</t>
    <phoneticPr fontId="1" type="noConversion"/>
  </si>
  <si>
    <t>반품 마감 결과 전송(ERP)</t>
    <phoneticPr fontId="1" type="noConversion"/>
  </si>
  <si>
    <t>반품 마감 결과 전송(OMS)</t>
    <phoneticPr fontId="1" type="noConversion"/>
  </si>
  <si>
    <t>EX_STO_REG</t>
    <phoneticPr fontId="1" type="noConversion"/>
  </si>
  <si>
    <t>EX_STO_CFM</t>
    <phoneticPr fontId="1" type="noConversion"/>
  </si>
  <si>
    <t>IW_PO_CFM</t>
    <phoneticPr fontId="1" type="noConversion"/>
  </si>
  <si>
    <t>OB_STS_CHG</t>
    <phoneticPr fontId="1" type="noConversion"/>
  </si>
  <si>
    <t>출하예정 삭제(삭제오더)</t>
    <phoneticPr fontId="1" type="noConversion"/>
  </si>
  <si>
    <t>출하예정 삭제(판매출하)</t>
    <phoneticPr fontId="1" type="noConversion"/>
  </si>
  <si>
    <t>출하예정 삭제(판매출하)</t>
    <phoneticPr fontId="1" type="noConversion"/>
  </si>
  <si>
    <t>출고지시_배차수정</t>
    <phoneticPr fontId="1" type="noConversion"/>
  </si>
  <si>
    <t>SOURCE</t>
    <phoneticPr fontId="1" type="noConversion"/>
  </si>
  <si>
    <t>reqTypeCd</t>
  </si>
  <si>
    <t>요청유형코드</t>
  </si>
  <si>
    <t>요청유형코드 : OB01(판매출하), OB51(외주직출)</t>
  </si>
  <si>
    <t>요청유형코드 : OB91(삭제오더)
기름등 외주센터에서 나가는 품목은 불가!!</t>
  </si>
  <si>
    <t>요청유형코드 : OB03(마감후출하)</t>
  </si>
  <si>
    <t>요청유형코드 : OB91(삭제오더)</t>
  </si>
  <si>
    <t>요청유형코드 : OB01(판매출하), OB03(마감후출하), OB51(외주직출)</t>
  </si>
  <si>
    <t>승인 : Y / 거절 : N</t>
    <phoneticPr fontId="1" type="noConversion"/>
  </si>
  <si>
    <t>11:예정, 17:준비, 77:확정</t>
    <phoneticPr fontId="1" type="noConversion"/>
  </si>
  <si>
    <t>1: 교촌에프앤비</t>
    <phoneticPr fontId="1" type="noConversion"/>
  </si>
  <si>
    <t>반품유형코드
RT01(출하반품)</t>
    <phoneticPr fontId="1" type="noConversion"/>
  </si>
  <si>
    <t>reqYmd</t>
    <phoneticPr fontId="1" type="noConversion"/>
  </si>
  <si>
    <t>NN</t>
    <phoneticPr fontId="1" type="noConversion"/>
  </si>
  <si>
    <t>varchar</t>
    <phoneticPr fontId="1" type="noConversion"/>
  </si>
  <si>
    <t>lotNo</t>
    <phoneticPr fontId="1" type="noConversion"/>
  </si>
  <si>
    <t>LOT NO</t>
    <phoneticPr fontId="1" type="noConversion"/>
  </si>
  <si>
    <t>사업장SEQ</t>
    <phoneticPr fontId="1" type="noConversion"/>
  </si>
  <si>
    <t>number</t>
    <phoneticPr fontId="1" type="noConversion"/>
  </si>
  <si>
    <t>NN</t>
    <phoneticPr fontId="1" type="noConversion"/>
  </si>
  <si>
    <t>1: 교촌에프앤비</t>
    <phoneticPr fontId="1" type="noConversion"/>
  </si>
  <si>
    <t>등록자ID</t>
    <phoneticPr fontId="1" type="noConversion"/>
  </si>
  <si>
    <t>varchar</t>
    <phoneticPr fontId="1" type="noConversion"/>
  </si>
  <si>
    <t>IF 키</t>
    <phoneticPr fontId="1" type="noConversion"/>
  </si>
  <si>
    <t>O</t>
    <phoneticPr fontId="1" type="noConversion"/>
  </si>
  <si>
    <t>WMS와 OMS의 유니크 키</t>
    <phoneticPr fontId="1" type="noConversion"/>
  </si>
  <si>
    <t>ifContId</t>
    <phoneticPr fontId="1" type="noConversion"/>
  </si>
  <si>
    <t>주문처ID</t>
    <phoneticPr fontId="1" type="noConversion"/>
  </si>
  <si>
    <t>거래처_ID</t>
    <phoneticPr fontId="1" type="noConversion"/>
  </si>
  <si>
    <t>반품유형코드
RT01(출하반품)</t>
    <phoneticPr fontId="1" type="noConversion"/>
  </si>
  <si>
    <t>반품요청일</t>
    <phoneticPr fontId="1" type="noConversion"/>
  </si>
  <si>
    <t>양식: yyyymmdd</t>
    <phoneticPr fontId="1" type="noConversion"/>
  </si>
  <si>
    <t>reqUserNm</t>
    <phoneticPr fontId="1" type="noConversion"/>
  </si>
  <si>
    <t>반품요청자명</t>
    <phoneticPr fontId="1" type="noConversion"/>
  </si>
  <si>
    <t>omsReqNo</t>
    <phoneticPr fontId="1" type="noConversion"/>
  </si>
  <si>
    <t>OMS_요청번호</t>
    <phoneticPr fontId="1" type="noConversion"/>
  </si>
  <si>
    <t>note</t>
    <phoneticPr fontId="1" type="noConversion"/>
  </si>
  <si>
    <t>비고</t>
    <phoneticPr fontId="1" type="noConversion"/>
  </si>
  <si>
    <t>prodList</t>
    <phoneticPr fontId="1" type="noConversion"/>
  </si>
  <si>
    <t>I/F 서브키</t>
    <phoneticPr fontId="1" type="noConversion"/>
  </si>
  <si>
    <t>O</t>
    <phoneticPr fontId="1" type="noConversion"/>
  </si>
  <si>
    <t>해당 요청건의 유니크 키</t>
    <phoneticPr fontId="1" type="noConversion"/>
  </si>
  <si>
    <t>ifProdId</t>
    <phoneticPr fontId="1" type="noConversion"/>
  </si>
  <si>
    <t>품목번호</t>
    <phoneticPr fontId="1" type="noConversion"/>
  </si>
  <si>
    <t>소비기한</t>
    <phoneticPr fontId="1" type="noConversion"/>
  </si>
  <si>
    <t>양식: yyyyMMdd</t>
    <phoneticPr fontId="1" type="noConversion"/>
  </si>
  <si>
    <t>매입 업체의 거래처번호</t>
    <phoneticPr fontId="1" type="noConversion"/>
  </si>
  <si>
    <t>price</t>
    <phoneticPr fontId="1" type="noConversion"/>
  </si>
  <si>
    <t>단가</t>
    <phoneticPr fontId="1" type="noConversion"/>
  </si>
  <si>
    <t>tax</t>
    <phoneticPr fontId="1" type="noConversion"/>
  </si>
  <si>
    <t>세액</t>
    <phoneticPr fontId="1" type="noConversion"/>
  </si>
  <si>
    <t>omsReqNo</t>
    <phoneticPr fontId="1" type="noConversion"/>
  </si>
  <si>
    <t>양식: yyyyMMdd</t>
    <phoneticPr fontId="1" type="noConversion"/>
  </si>
  <si>
    <t>사업장SEQ</t>
    <phoneticPr fontId="1" type="noConversion"/>
  </si>
  <si>
    <t>NN</t>
    <phoneticPr fontId="1" type="noConversion"/>
  </si>
  <si>
    <t>타시스템ID/WMS사용자 ID</t>
    <phoneticPr fontId="1" type="noConversion"/>
  </si>
  <si>
    <t>요청리스트</t>
    <phoneticPr fontId="1" type="noConversion"/>
  </si>
  <si>
    <t>varchar</t>
    <phoneticPr fontId="1" type="noConversion"/>
  </si>
  <si>
    <t>O</t>
    <phoneticPr fontId="1" type="noConversion"/>
  </si>
  <si>
    <t>OMS_요청번호</t>
    <phoneticPr fontId="1" type="noConversion"/>
  </si>
  <si>
    <t>procYmd</t>
    <phoneticPr fontId="1" type="noConversion"/>
  </si>
  <si>
    <t>처리일자</t>
    <phoneticPr fontId="1" type="noConversion"/>
  </si>
  <si>
    <t>notOutbizCd</t>
    <phoneticPr fontId="1" type="noConversion"/>
  </si>
  <si>
    <t>procType</t>
    <phoneticPr fontId="1" type="noConversion"/>
  </si>
  <si>
    <t>/{bizSeq}/sif/delo01/regs</t>
    <phoneticPr fontId="1" type="noConversion"/>
  </si>
  <si>
    <t>/{bizSeq}/sif/obrq01/dels</t>
    <phoneticPr fontId="1" type="noConversion"/>
  </si>
  <si>
    <t>/{bizSeq}/sif/delo01/dels</t>
    <phoneticPr fontId="1" type="noConversion"/>
  </si>
  <si>
    <t>/{bizSeq}/sif/obrq01/regs</t>
    <phoneticPr fontId="1" type="noConversion"/>
  </si>
  <si>
    <t>/{bizSeq}/sif/rtrq01/regs</t>
    <phoneticPr fontId="1" type="noConversion"/>
  </si>
  <si>
    <t>/{bizSeq}/sif/wms/apikey</t>
    <phoneticPr fontId="1" type="noConversion"/>
  </si>
  <si>
    <t>OMS_ADMIN 고정</t>
    <phoneticPr fontId="1" type="noConversion"/>
  </si>
  <si>
    <t>출하 상태변경</t>
    <phoneticPr fontId="1" type="noConversion"/>
  </si>
  <si>
    <t>등록자명</t>
    <phoneticPr fontId="1" type="noConversion"/>
  </si>
  <si>
    <t>NN</t>
    <phoneticPr fontId="1" type="noConversion"/>
  </si>
  <si>
    <t>procYmd</t>
    <phoneticPr fontId="1" type="noConversion"/>
  </si>
  <si>
    <t>처리일자</t>
    <phoneticPr fontId="1" type="noConversion"/>
  </si>
  <si>
    <t>양식: yyyyMMdd</t>
    <phoneticPr fontId="1" type="noConversion"/>
  </si>
  <si>
    <t>procHms</t>
    <phoneticPr fontId="1" type="noConversion"/>
  </si>
  <si>
    <t>처리시분초</t>
    <phoneticPr fontId="1" type="noConversion"/>
  </si>
  <si>
    <t>varchar</t>
    <phoneticPr fontId="1" type="noConversion"/>
  </si>
  <si>
    <t>양식: hhmmss</t>
    <phoneticPr fontId="1" type="noConversion"/>
  </si>
  <si>
    <t>양식: hhmmss</t>
    <phoneticPr fontId="1" type="noConversion"/>
  </si>
  <si>
    <t>/{bizSeq}/sif/w2o/so/sts/chg</t>
    <phoneticPr fontId="1" type="noConversion"/>
  </si>
  <si>
    <t>/{bizSeq}/sif/w2o/add/so/appr</t>
    <phoneticPr fontId="1" type="noConversion"/>
  </si>
  <si>
    <t>/{bizSeq}/sif/w2o/so/qty/mod</t>
    <phoneticPr fontId="1" type="noConversion"/>
  </si>
  <si>
    <t>/{bizSeq}/sif/w2o/cxl/result</t>
    <phoneticPr fontId="1" type="noConversion"/>
  </si>
  <si>
    <t>/{bizSeq}/sif/w2o/add/so/pull</t>
    <phoneticPr fontId="1" type="noConversion"/>
  </si>
  <si>
    <t>OMS</t>
    <phoneticPr fontId="1" type="noConversion"/>
  </si>
  <si>
    <t>출하예정 신규 등록 및 출하예정 데이터 수정(마감후출하)</t>
    <phoneticPr fontId="1" type="noConversion"/>
  </si>
  <si>
    <t>02. 출고요청 API</t>
    <phoneticPr fontId="1" type="noConversion"/>
  </si>
  <si>
    <t>비고</t>
    <phoneticPr fontId="1" type="noConversion"/>
  </si>
  <si>
    <t>Request Body</t>
    <phoneticPr fontId="1" type="noConversion"/>
  </si>
  <si>
    <t>Field</t>
    <phoneticPr fontId="1" type="noConversion"/>
  </si>
  <si>
    <t>String</t>
    <phoneticPr fontId="1" type="noConversion"/>
  </si>
  <si>
    <t>O</t>
    <phoneticPr fontId="1" type="noConversion"/>
  </si>
  <si>
    <t>clientCode</t>
    <phoneticPr fontId="1" type="noConversion"/>
  </si>
  <si>
    <t>Client-Code</t>
    <phoneticPr fontId="1" type="noConversion"/>
  </si>
  <si>
    <t>KYOCHON-WMS</t>
    <phoneticPr fontId="1" type="noConversion"/>
  </si>
  <si>
    <t>Response Body</t>
    <phoneticPr fontId="1" type="noConversion"/>
  </si>
  <si>
    <t>NO</t>
    <phoneticPr fontId="1" type="noConversion"/>
  </si>
  <si>
    <t>샘플</t>
    <phoneticPr fontId="1" type="noConversion"/>
  </si>
  <si>
    <t>응답 상태 코드</t>
    <phoneticPr fontId="1" type="noConversion"/>
  </si>
  <si>
    <t>(공통데이터모델 참고)</t>
    <phoneticPr fontId="1" type="noConversion"/>
  </si>
  <si>
    <t>오류가 있을 경우 오류 메시지를 전달합니다.</t>
    <phoneticPr fontId="1" type="noConversion"/>
  </si>
  <si>
    <t>오류가 있을 경우 오류 메시지를 전달합니다.</t>
    <phoneticPr fontId="1" type="noConversion"/>
  </si>
  <si>
    <t>O</t>
    <phoneticPr fontId="1" type="noConversion"/>
  </si>
  <si>
    <t>Type</t>
    <phoneticPr fontId="1" type="noConversion"/>
  </si>
  <si>
    <t>필수</t>
    <phoneticPr fontId="1" type="noConversion"/>
  </si>
  <si>
    <t>Field Name</t>
    <phoneticPr fontId="1" type="noConversion"/>
  </si>
  <si>
    <t>wms_outbiz</t>
    <phoneticPr fontId="1" type="noConversion"/>
  </si>
  <si>
    <t>String</t>
    <phoneticPr fontId="1" type="noConversion"/>
  </si>
  <si>
    <t>wms_outbiz_prod</t>
    <phoneticPr fontId="1" type="noConversion"/>
  </si>
  <si>
    <t>sample_001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</si>
  <si>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WMS 발번</t>
    </r>
    <r>
      <rPr>
        <sz val="11"/>
        <color theme="1"/>
        <rFont val="맑은 고딕"/>
        <family val="2"/>
        <charset val="129"/>
        <scheme val="minor"/>
      </rPr>
      <t xml:space="preserve">
출고요청번호는 접수의 단위로서 각 요청당 Unique Key 입니다.
TMS는 출고요청번호에 대해서 Unique한 송장번호, 배차결과, 상하차 결과를 응답합니다.</t>
    </r>
    <phoneticPr fontId="1" type="noConversion"/>
  </si>
  <si>
    <t>O</t>
    <phoneticPr fontId="1" type="noConversion"/>
  </si>
  <si>
    <t>YYYY-MM-DD</t>
    <phoneticPr fontId="1" type="noConversion"/>
  </si>
  <si>
    <t>center_seq</t>
    <phoneticPr fontId="1" type="noConversion"/>
  </si>
  <si>
    <t>wms_outbiz =&gt; mdm_cont</t>
    <phoneticPr fontId="1" type="noConversion"/>
  </si>
  <si>
    <t>cont_no</t>
    <phoneticPr fontId="1" type="noConversion"/>
  </si>
  <si>
    <t>cont_no</t>
    <phoneticPr fontId="1" type="noConversion"/>
  </si>
  <si>
    <t>partnerCode</t>
    <phoneticPr fontId="1" type="noConversion"/>
  </si>
  <si>
    <t>A002351</t>
  </si>
  <si>
    <t>String</t>
    <phoneticPr fontId="1" type="noConversion"/>
  </si>
  <si>
    <t>거래처이름</t>
    <phoneticPr fontId="1" type="noConversion"/>
  </si>
  <si>
    <t>거래처주소</t>
    <phoneticPr fontId="1" type="noConversion"/>
  </si>
  <si>
    <t>경기도 화성시 향남읍 상신하길로328번길 8-13, 112호, 113호</t>
    <phoneticPr fontId="1" type="noConversion"/>
  </si>
  <si>
    <t>regionName</t>
    <phoneticPr fontId="1" type="noConversion"/>
  </si>
  <si>
    <t>권역이름</t>
    <phoneticPr fontId="1" type="noConversion"/>
  </si>
  <si>
    <t>경기남부</t>
    <phoneticPr fontId="1" type="noConversion"/>
  </si>
  <si>
    <t>경기남부</t>
    <phoneticPr fontId="1" type="noConversion"/>
  </si>
  <si>
    <t>wms_outbiz_prod =&gt; mdm_prod</t>
    <phoneticPr fontId="1" type="noConversion"/>
  </si>
  <si>
    <t>itemCode</t>
    <phoneticPr fontId="1" type="noConversion"/>
  </si>
  <si>
    <t>품목코드</t>
    <phoneticPr fontId="1" type="noConversion"/>
  </si>
  <si>
    <t>품목명</t>
    <phoneticPr fontId="1" type="noConversion"/>
  </si>
  <si>
    <t>허니순살(500g)</t>
    <phoneticPr fontId="1" type="noConversion"/>
  </si>
  <si>
    <t>원자재(계육)</t>
    <phoneticPr fontId="1" type="noConversion"/>
  </si>
  <si>
    <t>품온구분</t>
    <phoneticPr fontId="1" type="noConversion"/>
  </si>
  <si>
    <t>(공통데이터모델 참고)</t>
    <phoneticPr fontId="1" type="noConversion"/>
  </si>
  <si>
    <t>prod_size</t>
    <phoneticPr fontId="1" type="noConversion"/>
  </si>
  <si>
    <t>품목규격</t>
    <phoneticPr fontId="1" type="noConversion"/>
  </si>
  <si>
    <t>PACK(500g)</t>
    <phoneticPr fontId="1" type="noConversion"/>
  </si>
  <si>
    <t>예시) PACK, PACK(880g), 30g, 1kg, 1BOX_2,500장, 1묶음_100장, 1롤/2,400장</t>
    <phoneticPr fontId="1" type="noConversion"/>
  </si>
  <si>
    <t>출하단위</t>
    <phoneticPr fontId="1" type="noConversion"/>
  </si>
  <si>
    <t>int</t>
    <phoneticPr fontId="1" type="noConversion"/>
  </si>
  <si>
    <t>wms_outbiz_prod =&gt; mdm_prod</t>
    <phoneticPr fontId="1" type="noConversion"/>
  </si>
  <si>
    <t>qtyPerBox</t>
    <phoneticPr fontId="1" type="noConversion"/>
  </si>
  <si>
    <t>입수</t>
    <phoneticPr fontId="1" type="noConversion"/>
  </si>
  <si>
    <t>출하중량(g)</t>
    <phoneticPr fontId="1" type="noConversion"/>
  </si>
  <si>
    <t>단위: g</t>
    <phoneticPr fontId="1" type="noConversion"/>
  </si>
  <si>
    <t>단위 중량(g)</t>
    <phoneticPr fontId="1" type="noConversion"/>
  </si>
  <si>
    <t>품목의 단위 중량(g)</t>
    <phoneticPr fontId="1" type="noConversion"/>
  </si>
  <si>
    <t>itemSizey</t>
    <phoneticPr fontId="1" type="noConversion"/>
  </si>
  <si>
    <t>itemSizez</t>
    <phoneticPr fontId="1" type="noConversion"/>
  </si>
  <si>
    <t>wms_outbiz_prod</t>
    <phoneticPr fontId="1" type="noConversion"/>
  </si>
  <si>
    <t>req_qty</t>
    <phoneticPr fontId="1" type="noConversion"/>
  </si>
  <si>
    <t>itemCnt</t>
    <phoneticPr fontId="1" type="noConversion"/>
  </si>
  <si>
    <t>출하수량</t>
    <phoneticPr fontId="1" type="noConversion"/>
  </si>
  <si>
    <t>반품여부가 true 일 경우 0</t>
    <phoneticPr fontId="1" type="noConversion"/>
  </si>
  <si>
    <t>하드코딩</t>
    <phoneticPr fontId="1" type="noConversion"/>
  </si>
  <si>
    <t>false</t>
    <phoneticPr fontId="1" type="noConversion"/>
  </si>
  <si>
    <t>반품여부가 false 일 경우 0</t>
    <phoneticPr fontId="1" type="noConversion"/>
  </si>
  <si>
    <t>true</t>
    <phoneticPr fontId="1" type="noConversion"/>
  </si>
  <si>
    <t>shippingReqNo</t>
    <phoneticPr fontId="1" type="noConversion"/>
  </si>
  <si>
    <t>각 품목당 출고 요청 번호</t>
    <phoneticPr fontId="1" type="noConversion"/>
  </si>
  <si>
    <t>sample_001</t>
    <phoneticPr fontId="1" type="noConversion"/>
  </si>
  <si>
    <t>TMS발번 (실패시 null)</t>
    <phoneticPr fontId="1" type="noConversion"/>
  </si>
  <si>
    <t>Sample</t>
    <phoneticPr fontId="1" type="noConversion"/>
  </si>
  <si>
    <t>인터페이스 번호</t>
    <phoneticPr fontId="1" type="noConversion"/>
  </si>
  <si>
    <t>인터페이스 명</t>
    <phoneticPr fontId="1" type="noConversion"/>
  </si>
  <si>
    <t>출고요청</t>
    <phoneticPr fontId="1" type="noConversion"/>
  </si>
  <si>
    <t>호출 시스템</t>
    <phoneticPr fontId="1" type="noConversion"/>
  </si>
  <si>
    <t>TMS</t>
    <phoneticPr fontId="1" type="noConversion"/>
  </si>
  <si>
    <t>인터페이스 방식</t>
    <phoneticPr fontId="1" type="noConversion"/>
  </si>
  <si>
    <t>Http Method</t>
    <phoneticPr fontId="1" type="noConversion"/>
  </si>
  <si>
    <t>URL</t>
    <phoneticPr fontId="1" type="noConversion"/>
  </si>
  <si>
    <t>새로운 출고요청건을 TMS에 접수</t>
    <phoneticPr fontId="1" type="noConversion"/>
  </si>
  <si>
    <t>Request Body</t>
    <phoneticPr fontId="1" type="noConversion"/>
  </si>
  <si>
    <t>NO</t>
    <phoneticPr fontId="1" type="noConversion"/>
  </si>
  <si>
    <t>자리수</t>
    <phoneticPr fontId="1" type="noConversion"/>
  </si>
  <si>
    <t>설명</t>
    <phoneticPr fontId="1" type="noConversion"/>
  </si>
  <si>
    <t>샘플</t>
    <phoneticPr fontId="1" type="noConversion"/>
  </si>
  <si>
    <t>KYOCHON-WMS</t>
    <phoneticPr fontId="1" type="noConversion"/>
  </si>
  <si>
    <t>출고요청 데이터</t>
    <phoneticPr fontId="1" type="noConversion"/>
  </si>
  <si>
    <t>Response Body</t>
    <phoneticPr fontId="1" type="noConversion"/>
  </si>
  <si>
    <t>NO</t>
    <phoneticPr fontId="1" type="noConversion"/>
  </si>
  <si>
    <t>Field Name</t>
    <phoneticPr fontId="1" type="noConversion"/>
  </si>
  <si>
    <t>String</t>
    <phoneticPr fontId="1" type="noConversion"/>
  </si>
  <si>
    <t>O</t>
    <phoneticPr fontId="1" type="noConversion"/>
  </si>
  <si>
    <t>resultCode</t>
    <phoneticPr fontId="1" type="noConversion"/>
  </si>
  <si>
    <t>응답상태코드</t>
    <phoneticPr fontId="1" type="noConversion"/>
  </si>
  <si>
    <t>응답 상태 코드</t>
    <phoneticPr fontId="1" type="noConversion"/>
  </si>
  <si>
    <t>(공통데이터모델 참고)</t>
    <phoneticPr fontId="1" type="noConversion"/>
  </si>
  <si>
    <t>O</t>
    <phoneticPr fontId="1" type="noConversion"/>
  </si>
  <si>
    <t>resultMsg</t>
    <phoneticPr fontId="1" type="noConversion"/>
  </si>
  <si>
    <t>응답메시지</t>
    <phoneticPr fontId="1" type="noConversion"/>
  </si>
  <si>
    <t>응답 메시지</t>
    <phoneticPr fontId="1" type="noConversion"/>
  </si>
  <si>
    <t>오류가 있을 경우 오류 메시지를 전달합니다.</t>
    <phoneticPr fontId="1" type="noConversion"/>
  </si>
  <si>
    <t>Array</t>
    <phoneticPr fontId="1" type="noConversion"/>
  </si>
  <si>
    <t>data</t>
    <phoneticPr fontId="1" type="noConversion"/>
  </si>
  <si>
    <t>TMS접수 결과 데이터</t>
    <phoneticPr fontId="1" type="noConversion"/>
  </si>
  <si>
    <t>각 출고요청에 대해서 성공/실패 결과
성공하면 송장번호 발번</t>
    <phoneticPr fontId="1" type="noConversion"/>
  </si>
  <si>
    <t>출고요청 데이터</t>
    <phoneticPr fontId="1" type="noConversion"/>
  </si>
  <si>
    <t>자리수</t>
    <phoneticPr fontId="1" type="noConversion"/>
  </si>
  <si>
    <t>필수</t>
    <phoneticPr fontId="1" type="noConversion"/>
  </si>
  <si>
    <t>WMS table</t>
    <phoneticPr fontId="1" type="noConversion"/>
  </si>
  <si>
    <t>WMS Field</t>
    <phoneticPr fontId="1" type="noConversion"/>
  </si>
  <si>
    <t>Field</t>
    <phoneticPr fontId="1" type="noConversion"/>
  </si>
  <si>
    <t>설명</t>
    <phoneticPr fontId="1" type="noConversion"/>
  </si>
  <si>
    <t>비고</t>
    <phoneticPr fontId="1" type="noConversion"/>
  </si>
  <si>
    <t>O</t>
    <phoneticPr fontId="1" type="noConversion"/>
  </si>
  <si>
    <t>wms_outbiz</t>
    <phoneticPr fontId="1" type="noConversion"/>
  </si>
  <si>
    <t>주문번호</t>
    <phoneticPr fontId="1" type="noConversion"/>
  </si>
  <si>
    <t>OMS 또는 WMS의 주문번호</t>
    <phoneticPr fontId="1" type="noConversion"/>
  </si>
  <si>
    <t>OMS2025070020010</t>
    <phoneticPr fontId="1" type="noConversion"/>
  </si>
  <si>
    <t>String</t>
    <phoneticPr fontId="1" type="noConversion"/>
  </si>
  <si>
    <t>wms_outbiz_prod</t>
    <phoneticPr fontId="1" type="noConversion"/>
  </si>
  <si>
    <t>outbiz_prod_seq</t>
    <phoneticPr fontId="1" type="noConversion"/>
  </si>
  <si>
    <t>출고요청번호</t>
    <phoneticPr fontId="1" type="noConversion"/>
  </si>
  <si>
    <t>req_ymd</t>
    <phoneticPr fontId="1" type="noConversion"/>
  </si>
  <si>
    <t>shippingDate</t>
    <phoneticPr fontId="1" type="noConversion"/>
  </si>
  <si>
    <t>출고요청일</t>
    <phoneticPr fontId="1" type="noConversion"/>
  </si>
  <si>
    <t>String</t>
    <phoneticPr fontId="1" type="noConversion"/>
  </si>
  <si>
    <t>center_seq</t>
    <phoneticPr fontId="1" type="noConversion"/>
  </si>
  <si>
    <t>centerCode</t>
    <phoneticPr fontId="1" type="noConversion"/>
  </si>
  <si>
    <t>센터코드</t>
    <phoneticPr fontId="1" type="noConversion"/>
  </si>
  <si>
    <t>센터코드</t>
    <phoneticPr fontId="1" type="noConversion"/>
  </si>
  <si>
    <t>(공통데이터모델 참고)</t>
    <phoneticPr fontId="1" type="noConversion"/>
  </si>
  <si>
    <t>wms_outbiz =&gt; mdm_cont</t>
    <phoneticPr fontId="1" type="noConversion"/>
  </si>
  <si>
    <t>거래처코드</t>
    <phoneticPr fontId="1" type="noConversion"/>
  </si>
  <si>
    <t>wms_outbiz =&gt; mdm_cont</t>
    <phoneticPr fontId="1" type="noConversion"/>
  </si>
  <si>
    <t>cont_nm</t>
    <phoneticPr fontId="1" type="noConversion"/>
  </si>
  <si>
    <t>partnerName</t>
    <phoneticPr fontId="1" type="noConversion"/>
  </si>
  <si>
    <t>거래처이름</t>
    <phoneticPr fontId="1" type="noConversion"/>
  </si>
  <si>
    <t>경기남부 향남2지구</t>
    <phoneticPr fontId="1" type="noConversion"/>
  </si>
  <si>
    <t>addr + addr_dtl</t>
    <phoneticPr fontId="1" type="noConversion"/>
  </si>
  <si>
    <t>address</t>
    <phoneticPr fontId="1" type="noConversion"/>
  </si>
  <si>
    <t>거래처주소(하차지주소)</t>
    <phoneticPr fontId="1" type="noConversion"/>
  </si>
  <si>
    <t>경기도 화성시 향남읍 상신하길로328번길 8-13, 112호, 113호</t>
    <phoneticPr fontId="1" type="noConversion"/>
  </si>
  <si>
    <t>String</t>
    <phoneticPr fontId="1" type="noConversion"/>
  </si>
  <si>
    <t>region_nm</t>
    <phoneticPr fontId="1" type="noConversion"/>
  </si>
  <si>
    <t>권역이름</t>
    <phoneticPr fontId="1" type="noConversion"/>
  </si>
  <si>
    <t>경기남부</t>
    <phoneticPr fontId="1" type="noConversion"/>
  </si>
  <si>
    <t>if_prod_id</t>
    <phoneticPr fontId="1" type="noConversion"/>
  </si>
  <si>
    <t>A0109</t>
    <phoneticPr fontId="1" type="noConversion"/>
  </si>
  <si>
    <t>prod_nm</t>
    <phoneticPr fontId="1" type="noConversion"/>
  </si>
  <si>
    <t>itemName</t>
    <phoneticPr fontId="1" type="noConversion"/>
  </si>
  <si>
    <t>String</t>
    <phoneticPr fontId="1" type="noConversion"/>
  </si>
  <si>
    <t>itemGroupName</t>
    <phoneticPr fontId="1" type="noConversion"/>
  </si>
  <si>
    <t>품목군명</t>
    <phoneticPr fontId="1" type="noConversion"/>
  </si>
  <si>
    <t>예시) 원자재(계육), 부자재</t>
    <phoneticPr fontId="1" type="noConversion"/>
  </si>
  <si>
    <t>itemStorageType</t>
    <phoneticPr fontId="1" type="noConversion"/>
  </si>
  <si>
    <t>품온구분</t>
    <phoneticPr fontId="1" type="noConversion"/>
  </si>
  <si>
    <t>C</t>
    <phoneticPr fontId="1" type="noConversion"/>
  </si>
  <si>
    <t>O</t>
    <phoneticPr fontId="1" type="noConversion"/>
  </si>
  <si>
    <t>itemPackingSpec</t>
    <phoneticPr fontId="1" type="noConversion"/>
  </si>
  <si>
    <t>예시) PACK, PACK(880g), 30g, 1kg, 1BOX_2,500장, 1묶음_100장, 1롤/2,400장</t>
    <phoneticPr fontId="1" type="noConversion"/>
  </si>
  <si>
    <t>unitOfMeasure</t>
    <phoneticPr fontId="1" type="noConversion"/>
  </si>
  <si>
    <t>예시) PACK, KG, EA 등</t>
    <phoneticPr fontId="1" type="noConversion"/>
  </si>
  <si>
    <t>int</t>
    <phoneticPr fontId="1" type="noConversion"/>
  </si>
  <si>
    <t>in_qty</t>
    <phoneticPr fontId="1" type="noConversion"/>
  </si>
  <si>
    <t>입수</t>
    <phoneticPr fontId="1" type="noConversion"/>
  </si>
  <si>
    <t>double</t>
    <phoneticPr fontId="1" type="noConversion"/>
  </si>
  <si>
    <t xml:space="preserve">req_qty * net_weight </t>
    <phoneticPr fontId="1" type="noConversion"/>
  </si>
  <si>
    <t>itemWeight</t>
    <phoneticPr fontId="1" type="noConversion"/>
  </si>
  <si>
    <t>출하중량(g)</t>
    <phoneticPr fontId="1" type="noConversion"/>
  </si>
  <si>
    <t>출하중량(g) = 출하중량*단위중량</t>
    <phoneticPr fontId="1" type="noConversion"/>
  </si>
  <si>
    <t>double</t>
    <phoneticPr fontId="1" type="noConversion"/>
  </si>
  <si>
    <t>O</t>
    <phoneticPr fontId="1" type="noConversion"/>
  </si>
  <si>
    <t>wms_outbiz_prod =&gt; mdm_prod</t>
    <phoneticPr fontId="1" type="noConversion"/>
  </si>
  <si>
    <t>net_weight</t>
    <phoneticPr fontId="1" type="noConversion"/>
  </si>
  <si>
    <t>itemWeightPerUnit</t>
    <phoneticPr fontId="1" type="noConversion"/>
  </si>
  <si>
    <t>단위 중량(g)</t>
    <phoneticPr fontId="1" type="noConversion"/>
  </si>
  <si>
    <t>품목의 단위 중량(g)</t>
    <phoneticPr fontId="1" type="noConversion"/>
  </si>
  <si>
    <t>단위: g</t>
    <phoneticPr fontId="1" type="noConversion"/>
  </si>
  <si>
    <t>O</t>
    <phoneticPr fontId="1" type="noConversion"/>
  </si>
  <si>
    <t>wms_outbiz_prod =&gt; mdm_prod</t>
    <phoneticPr fontId="1" type="noConversion"/>
  </si>
  <si>
    <t>len_x</t>
    <phoneticPr fontId="1" type="noConversion"/>
  </si>
  <si>
    <t>itemSizex</t>
    <phoneticPr fontId="1" type="noConversion"/>
  </si>
  <si>
    <t>품목크기-가로(X)(mm)</t>
    <phoneticPr fontId="1" type="noConversion"/>
  </si>
  <si>
    <t>품목크기-가로(X)(mm)</t>
    <phoneticPr fontId="1" type="noConversion"/>
  </si>
  <si>
    <t>단위: mm</t>
    <phoneticPr fontId="1" type="noConversion"/>
  </si>
  <si>
    <t>double</t>
    <phoneticPr fontId="1" type="noConversion"/>
  </si>
  <si>
    <t>O</t>
    <phoneticPr fontId="1" type="noConversion"/>
  </si>
  <si>
    <t>wms_outbiz_prod =&gt; mdm_prod</t>
    <phoneticPr fontId="1" type="noConversion"/>
  </si>
  <si>
    <t>len_y</t>
    <phoneticPr fontId="1" type="noConversion"/>
  </si>
  <si>
    <t>itemSizey</t>
    <phoneticPr fontId="1" type="noConversion"/>
  </si>
  <si>
    <t>품목크기-세로(Y)(mm)</t>
    <phoneticPr fontId="1" type="noConversion"/>
  </si>
  <si>
    <t>품목크기-세로(Y)(mm)</t>
    <phoneticPr fontId="1" type="noConversion"/>
  </si>
  <si>
    <t>단위: mm</t>
    <phoneticPr fontId="1" type="noConversion"/>
  </si>
  <si>
    <t>double</t>
    <phoneticPr fontId="1" type="noConversion"/>
  </si>
  <si>
    <t>len_z</t>
    <phoneticPr fontId="1" type="noConversion"/>
  </si>
  <si>
    <t>itemSizez</t>
    <phoneticPr fontId="1" type="noConversion"/>
  </si>
  <si>
    <t>품목크기-높이(Z)(mm)</t>
    <phoneticPr fontId="1" type="noConversion"/>
  </si>
  <si>
    <t>품목크기-높이(Z)(mm)</t>
    <phoneticPr fontId="1" type="noConversion"/>
  </si>
  <si>
    <t>단위: mm</t>
    <phoneticPr fontId="1" type="noConversion"/>
  </si>
  <si>
    <t>int</t>
    <phoneticPr fontId="1" type="noConversion"/>
  </si>
  <si>
    <t>wms_outbiz_prod</t>
    <phoneticPr fontId="1" type="noConversion"/>
  </si>
  <si>
    <t>req_qty</t>
    <phoneticPr fontId="1" type="noConversion"/>
  </si>
  <si>
    <t>itemCnt</t>
    <phoneticPr fontId="1" type="noConversion"/>
  </si>
  <si>
    <t>출하수량</t>
    <phoneticPr fontId="1" type="noConversion"/>
  </si>
  <si>
    <t>반품여부가 true 일 경우 0</t>
    <phoneticPr fontId="1" type="noConversion"/>
  </si>
  <si>
    <t>boolean</t>
    <phoneticPr fontId="1" type="noConversion"/>
  </si>
  <si>
    <t>specifiedItem</t>
    <phoneticPr fontId="1" type="noConversion"/>
  </si>
  <si>
    <t>수동지정 여부
수동지정일 때 true</t>
    <phoneticPr fontId="1" type="noConversion"/>
  </si>
  <si>
    <t>false</t>
    <phoneticPr fontId="1" type="noConversion"/>
  </si>
  <si>
    <t>true/false</t>
    <phoneticPr fontId="1" type="noConversion"/>
  </si>
  <si>
    <t>하드코딩</t>
    <phoneticPr fontId="1" type="noConversion"/>
  </si>
  <si>
    <t>returnOrder</t>
    <phoneticPr fontId="1" type="noConversion"/>
  </si>
  <si>
    <t>반품여부</t>
    <phoneticPr fontId="1" type="noConversion"/>
  </si>
  <si>
    <t>반품여부
반품일 때 true</t>
    <phoneticPr fontId="1" type="noConversion"/>
  </si>
  <si>
    <t>int</t>
    <phoneticPr fontId="1" type="noConversion"/>
  </si>
  <si>
    <t>rtItemCnt</t>
    <phoneticPr fontId="1" type="noConversion"/>
  </si>
  <si>
    <t>반품수량</t>
    <phoneticPr fontId="1" type="noConversion"/>
  </si>
  <si>
    <t>반품수량</t>
    <phoneticPr fontId="1" type="noConversion"/>
  </si>
  <si>
    <t>TMS접수 결과 데이터</t>
    <phoneticPr fontId="1" type="noConversion"/>
  </si>
  <si>
    <t>Type</t>
    <phoneticPr fontId="1" type="noConversion"/>
  </si>
  <si>
    <t>Field</t>
    <phoneticPr fontId="1" type="noConversion"/>
  </si>
  <si>
    <t>설명</t>
    <phoneticPr fontId="1" type="noConversion"/>
  </si>
  <si>
    <t>샘플</t>
    <phoneticPr fontId="1" type="noConversion"/>
  </si>
  <si>
    <t>success</t>
    <phoneticPr fontId="1" type="noConversion"/>
  </si>
  <si>
    <t>성공여부</t>
    <phoneticPr fontId="1" type="noConversion"/>
  </si>
  <si>
    <t>true</t>
    <phoneticPr fontId="1" type="noConversion"/>
  </si>
  <si>
    <t>errMsg</t>
    <phoneticPr fontId="1" type="noConversion"/>
  </si>
  <si>
    <t>오류메시지</t>
    <phoneticPr fontId="1" type="noConversion"/>
  </si>
  <si>
    <t>shippingReqNo</t>
    <phoneticPr fontId="1" type="noConversion"/>
  </si>
  <si>
    <t>출고요청번호</t>
    <phoneticPr fontId="1" type="noConversion"/>
  </si>
  <si>
    <t>각 품목당 출고 요청 번호</t>
    <phoneticPr fontId="1" type="noConversion"/>
  </si>
  <si>
    <t>invoiceNo</t>
    <phoneticPr fontId="1" type="noConversion"/>
  </si>
  <si>
    <t>송장번호</t>
    <phoneticPr fontId="1" type="noConversion"/>
  </si>
  <si>
    <t>TMS 접수 번호</t>
    <phoneticPr fontId="1" type="noConversion"/>
  </si>
  <si>
    <t>1000000038522</t>
    <phoneticPr fontId="1" type="noConversion"/>
  </si>
  <si>
    <t>03. 출고요청의 수정 API</t>
    <phoneticPr fontId="1" type="noConversion"/>
  </si>
  <si>
    <t>인터페이스 번호</t>
    <phoneticPr fontId="1" type="noConversion"/>
  </si>
  <si>
    <t>인터페이스 명</t>
    <phoneticPr fontId="1" type="noConversion"/>
  </si>
  <si>
    <t>출고요청의 수정</t>
    <phoneticPr fontId="1" type="noConversion"/>
  </si>
  <si>
    <t>호출 시스템</t>
    <phoneticPr fontId="1" type="noConversion"/>
  </si>
  <si>
    <t>WMS</t>
    <phoneticPr fontId="1" type="noConversion"/>
  </si>
  <si>
    <t>응답 시스템</t>
    <phoneticPr fontId="1" type="noConversion"/>
  </si>
  <si>
    <t>TMS</t>
    <phoneticPr fontId="1" type="noConversion"/>
  </si>
  <si>
    <t>인터페이스 방식</t>
    <phoneticPr fontId="1" type="noConversion"/>
  </si>
  <si>
    <t>Restful API</t>
    <phoneticPr fontId="1" type="noConversion"/>
  </si>
  <si>
    <t>출고요청건의 수정을 TMS에 요청</t>
    <phoneticPr fontId="1" type="noConversion"/>
  </si>
  <si>
    <t>비고</t>
    <phoneticPr fontId="1" type="noConversion"/>
  </si>
  <si>
    <t>품목과 관련된 데이터를 수정한다.</t>
    <phoneticPr fontId="1" type="noConversion"/>
  </si>
  <si>
    <t>NO</t>
    <phoneticPr fontId="1" type="noConversion"/>
  </si>
  <si>
    <t>Type</t>
    <phoneticPr fontId="1" type="noConversion"/>
  </si>
  <si>
    <t>Field Name</t>
    <phoneticPr fontId="1" type="noConversion"/>
  </si>
  <si>
    <t>샘플</t>
    <phoneticPr fontId="1" type="noConversion"/>
  </si>
  <si>
    <t>비고</t>
    <phoneticPr fontId="1" type="noConversion"/>
  </si>
  <si>
    <t>O</t>
    <phoneticPr fontId="1" type="noConversion"/>
  </si>
  <si>
    <t>clientCode</t>
    <phoneticPr fontId="1" type="noConversion"/>
  </si>
  <si>
    <t>Client-Code</t>
    <phoneticPr fontId="1" type="noConversion"/>
  </si>
  <si>
    <t>Array</t>
    <phoneticPr fontId="1" type="noConversion"/>
  </si>
  <si>
    <t>data</t>
    <phoneticPr fontId="1" type="noConversion"/>
  </si>
  <si>
    <t>출고요청 데이터</t>
    <phoneticPr fontId="1" type="noConversion"/>
  </si>
  <si>
    <t>NO</t>
    <phoneticPr fontId="1" type="noConversion"/>
  </si>
  <si>
    <t>자리수</t>
    <phoneticPr fontId="1" type="noConversion"/>
  </si>
  <si>
    <t>Field</t>
    <phoneticPr fontId="1" type="noConversion"/>
  </si>
  <si>
    <t>Field Name</t>
    <phoneticPr fontId="1" type="noConversion"/>
  </si>
  <si>
    <t>설명</t>
    <phoneticPr fontId="1" type="noConversion"/>
  </si>
  <si>
    <t>String</t>
    <phoneticPr fontId="1" type="noConversion"/>
  </si>
  <si>
    <t>(공통데이터모델 참고)</t>
    <phoneticPr fontId="1" type="noConversion"/>
  </si>
  <si>
    <t>O</t>
    <phoneticPr fontId="1" type="noConversion"/>
  </si>
  <si>
    <t>응답메시지</t>
    <phoneticPr fontId="1" type="noConversion"/>
  </si>
  <si>
    <t>SUCCESS</t>
    <phoneticPr fontId="1" type="noConversion"/>
  </si>
  <si>
    <t>Array</t>
    <phoneticPr fontId="1" type="noConversion"/>
  </si>
  <si>
    <t>data</t>
    <phoneticPr fontId="1" type="noConversion"/>
  </si>
  <si>
    <t>각 출고요청에 대해서 성공/실패 결과</t>
    <phoneticPr fontId="1" type="noConversion"/>
  </si>
  <si>
    <t>출고요청 데이터</t>
    <phoneticPr fontId="1" type="noConversion"/>
  </si>
  <si>
    <t>WMS table</t>
    <phoneticPr fontId="1" type="noConversion"/>
  </si>
  <si>
    <t>Field</t>
    <phoneticPr fontId="1" type="noConversion"/>
  </si>
  <si>
    <t>설명</t>
    <phoneticPr fontId="1" type="noConversion"/>
  </si>
  <si>
    <t>샘플</t>
    <phoneticPr fontId="1" type="noConversion"/>
  </si>
  <si>
    <t>wms_outbiz</t>
    <phoneticPr fontId="1" type="noConversion"/>
  </si>
  <si>
    <t>orderNo</t>
    <phoneticPr fontId="1" type="noConversion"/>
  </si>
  <si>
    <t>주문번호</t>
    <phoneticPr fontId="1" type="noConversion"/>
  </si>
  <si>
    <t>OMS 또는 WMS의 주문번호</t>
    <phoneticPr fontId="1" type="noConversion"/>
  </si>
  <si>
    <t>OMS2025070020010</t>
    <phoneticPr fontId="1" type="noConversion"/>
  </si>
  <si>
    <t>수정불가</t>
    <phoneticPr fontId="1" type="noConversion"/>
  </si>
  <si>
    <t>outbiz_prod_seq</t>
    <phoneticPr fontId="1" type="noConversion"/>
  </si>
  <si>
    <t>출고요청번호</t>
    <phoneticPr fontId="1" type="noConversion"/>
  </si>
  <si>
    <t>sample_001</t>
    <phoneticPr fontId="1" type="noConversion"/>
  </si>
  <si>
    <t>req_ymd</t>
    <phoneticPr fontId="1" type="noConversion"/>
  </si>
  <si>
    <t>센터코드</t>
    <phoneticPr fontId="1" type="noConversion"/>
  </si>
  <si>
    <t>wms_outbiz =&gt; mdm_cont</t>
    <phoneticPr fontId="1" type="noConversion"/>
  </si>
  <si>
    <t>cont_nm</t>
    <phoneticPr fontId="1" type="noConversion"/>
  </si>
  <si>
    <t>partnerName</t>
    <phoneticPr fontId="1" type="noConversion"/>
  </si>
  <si>
    <t>경기남부 향남2지구</t>
    <phoneticPr fontId="1" type="noConversion"/>
  </si>
  <si>
    <t>addr + addr_dtl</t>
    <phoneticPr fontId="1" type="noConversion"/>
  </si>
  <si>
    <t>O</t>
    <phoneticPr fontId="1" type="noConversion"/>
  </si>
  <si>
    <t>regionName</t>
    <phoneticPr fontId="1" type="noConversion"/>
  </si>
  <si>
    <t>A0109</t>
    <phoneticPr fontId="1" type="noConversion"/>
  </si>
  <si>
    <t>wms_outbiz_prod =&gt; mdm_prod</t>
    <phoneticPr fontId="1" type="noConversion"/>
  </si>
  <si>
    <t>itemName</t>
    <phoneticPr fontId="1" type="noConversion"/>
  </si>
  <si>
    <t>itemGroupName</t>
    <phoneticPr fontId="1" type="noConversion"/>
  </si>
  <si>
    <t>예시) 원자재(계육), 부자재</t>
    <phoneticPr fontId="1" type="noConversion"/>
  </si>
  <si>
    <t>wms_outbiz_prod =&gt; mdm_prod</t>
    <phoneticPr fontId="1" type="noConversion"/>
  </si>
  <si>
    <t>C</t>
    <phoneticPr fontId="1" type="noConversion"/>
  </si>
  <si>
    <t>prod_size</t>
    <phoneticPr fontId="1" type="noConversion"/>
  </si>
  <si>
    <t>품목규격</t>
    <phoneticPr fontId="1" type="noConversion"/>
  </si>
  <si>
    <t>PACK(500g)</t>
    <phoneticPr fontId="1" type="noConversion"/>
  </si>
  <si>
    <t>unitOfMeasure</t>
    <phoneticPr fontId="1" type="noConversion"/>
  </si>
  <si>
    <t>PACK</t>
    <phoneticPr fontId="1" type="noConversion"/>
  </si>
  <si>
    <t>qtyPerBox</t>
    <phoneticPr fontId="1" type="noConversion"/>
  </si>
  <si>
    <t>입수</t>
    <phoneticPr fontId="1" type="noConversion"/>
  </si>
  <si>
    <t>double</t>
    <phoneticPr fontId="1" type="noConversion"/>
  </si>
  <si>
    <t>O</t>
    <phoneticPr fontId="1" type="noConversion"/>
  </si>
  <si>
    <t xml:space="preserve">req_qty * net_weight </t>
    <phoneticPr fontId="1" type="noConversion"/>
  </si>
  <si>
    <t>itemWeight</t>
    <phoneticPr fontId="1" type="noConversion"/>
  </si>
  <si>
    <t>출하중량(g)</t>
    <phoneticPr fontId="1" type="noConversion"/>
  </si>
  <si>
    <t>단위: g</t>
    <phoneticPr fontId="1" type="noConversion"/>
  </si>
  <si>
    <t>net_weight</t>
    <phoneticPr fontId="1" type="noConversion"/>
  </si>
  <si>
    <t>itemWeightPerUnit</t>
    <phoneticPr fontId="1" type="noConversion"/>
  </si>
  <si>
    <t>len_x</t>
    <phoneticPr fontId="1" type="noConversion"/>
  </si>
  <si>
    <t>itemSizex</t>
    <phoneticPr fontId="1" type="noConversion"/>
  </si>
  <si>
    <t>품목크기-가로(X)(mm)</t>
    <phoneticPr fontId="1" type="noConversion"/>
  </si>
  <si>
    <t>단위: mm</t>
    <phoneticPr fontId="1" type="noConversion"/>
  </si>
  <si>
    <t>double</t>
    <phoneticPr fontId="1" type="noConversion"/>
  </si>
  <si>
    <t>len_y</t>
    <phoneticPr fontId="1" type="noConversion"/>
  </si>
  <si>
    <t>품목크기-세로(Y)(mm)</t>
    <phoneticPr fontId="1" type="noConversion"/>
  </si>
  <si>
    <t>len_z</t>
    <phoneticPr fontId="1" type="noConversion"/>
  </si>
  <si>
    <t>품목크기-높이(Z)(mm)</t>
    <phoneticPr fontId="1" type="noConversion"/>
  </si>
  <si>
    <t>단위: mm</t>
    <phoneticPr fontId="1" type="noConversion"/>
  </si>
  <si>
    <t>int</t>
    <phoneticPr fontId="1" type="noConversion"/>
  </si>
  <si>
    <t>wms_outbiz_prod</t>
    <phoneticPr fontId="1" type="noConversion"/>
  </si>
  <si>
    <t>req_qty</t>
    <phoneticPr fontId="1" type="noConversion"/>
  </si>
  <si>
    <t>출하수량</t>
    <phoneticPr fontId="1" type="noConversion"/>
  </si>
  <si>
    <t>boolean</t>
    <phoneticPr fontId="1" type="noConversion"/>
  </si>
  <si>
    <t>manual_assign_yn</t>
    <phoneticPr fontId="1" type="noConversion"/>
  </si>
  <si>
    <t>specifiedItem</t>
    <phoneticPr fontId="1" type="noConversion"/>
  </si>
  <si>
    <t>수동지정 여부</t>
    <phoneticPr fontId="1" type="noConversion"/>
  </si>
  <si>
    <t>수동지정 여부
수동지정일 때 true</t>
    <phoneticPr fontId="1" type="noConversion"/>
  </si>
  <si>
    <t>true/false</t>
    <phoneticPr fontId="1" type="noConversion"/>
  </si>
  <si>
    <t>returnOrder</t>
    <phoneticPr fontId="1" type="noConversion"/>
  </si>
  <si>
    <t>반품여부</t>
    <phoneticPr fontId="1" type="noConversion"/>
  </si>
  <si>
    <t>반품여부
반품일 때 true</t>
    <phoneticPr fontId="1" type="noConversion"/>
  </si>
  <si>
    <t>false</t>
    <phoneticPr fontId="1" type="noConversion"/>
  </si>
  <si>
    <t>수정불가</t>
    <phoneticPr fontId="1" type="noConversion"/>
  </si>
  <si>
    <t>하드코딩</t>
    <phoneticPr fontId="1" type="noConversion"/>
  </si>
  <si>
    <t>rtItemCnt</t>
    <phoneticPr fontId="1" type="noConversion"/>
  </si>
  <si>
    <t>반품수량</t>
    <phoneticPr fontId="1" type="noConversion"/>
  </si>
  <si>
    <t>반품여부가 false 일 경우 0</t>
    <phoneticPr fontId="1" type="noConversion"/>
  </si>
  <si>
    <t>TMS접수 결과 데이터</t>
    <phoneticPr fontId="1" type="noConversion"/>
  </si>
  <si>
    <t>Type</t>
    <phoneticPr fontId="1" type="noConversion"/>
  </si>
  <si>
    <t>자리수</t>
    <phoneticPr fontId="1" type="noConversion"/>
  </si>
  <si>
    <t>필수</t>
    <phoneticPr fontId="1" type="noConversion"/>
  </si>
  <si>
    <t>Field Name</t>
    <phoneticPr fontId="1" type="noConversion"/>
  </si>
  <si>
    <t>샘플</t>
    <phoneticPr fontId="1" type="noConversion"/>
  </si>
  <si>
    <t>비고</t>
    <phoneticPr fontId="1" type="noConversion"/>
  </si>
  <si>
    <t>success</t>
    <phoneticPr fontId="1" type="noConversion"/>
  </si>
  <si>
    <t>성공여부</t>
    <phoneticPr fontId="1" type="noConversion"/>
  </si>
  <si>
    <t>true/false</t>
    <phoneticPr fontId="1" type="noConversion"/>
  </si>
  <si>
    <t>String</t>
    <phoneticPr fontId="1" type="noConversion"/>
  </si>
  <si>
    <t>errMsg</t>
    <phoneticPr fontId="1" type="noConversion"/>
  </si>
  <si>
    <t>오류메시지</t>
    <phoneticPr fontId="1" type="noConversion"/>
  </si>
  <si>
    <t>shippingReqNo</t>
    <phoneticPr fontId="1" type="noConversion"/>
  </si>
  <si>
    <t>sample_001</t>
    <phoneticPr fontId="1" type="noConversion"/>
  </si>
  <si>
    <t>invoiceNo</t>
    <phoneticPr fontId="1" type="noConversion"/>
  </si>
  <si>
    <t>송장번호</t>
    <phoneticPr fontId="1" type="noConversion"/>
  </si>
  <si>
    <t>TMS 접수 번호</t>
    <phoneticPr fontId="1" type="noConversion"/>
  </si>
  <si>
    <t>1000000038522</t>
    <phoneticPr fontId="1" type="noConversion"/>
  </si>
  <si>
    <t>TMS발번</t>
    <phoneticPr fontId="1" type="noConversion"/>
  </si>
  <si>
    <t>인터페이스 번호</t>
    <phoneticPr fontId="1" type="noConversion"/>
  </si>
  <si>
    <t>배차 및 상하차 결과</t>
    <phoneticPr fontId="1" type="noConversion"/>
  </si>
  <si>
    <t>호출 시스템</t>
    <phoneticPr fontId="1" type="noConversion"/>
  </si>
  <si>
    <t>응답 시스템</t>
    <phoneticPr fontId="1" type="noConversion"/>
  </si>
  <si>
    <t>TMS</t>
    <phoneticPr fontId="1" type="noConversion"/>
  </si>
  <si>
    <t>Restful API</t>
    <phoneticPr fontId="1" type="noConversion"/>
  </si>
  <si>
    <t>Http Method</t>
    <phoneticPr fontId="1" type="noConversion"/>
  </si>
  <si>
    <t>POST</t>
    <phoneticPr fontId="1" type="noConversion"/>
  </si>
  <si>
    <t>URL</t>
    <phoneticPr fontId="1" type="noConversion"/>
  </si>
  <si>
    <t>배차, 상차, 하차의 결과를 WMS에 전달</t>
    <phoneticPr fontId="1" type="noConversion"/>
  </si>
  <si>
    <t>비고</t>
    <phoneticPr fontId="1" type="noConversion"/>
  </si>
  <si>
    <t>자리수</t>
    <phoneticPr fontId="1" type="noConversion"/>
  </si>
  <si>
    <t>필수</t>
    <phoneticPr fontId="1" type="noConversion"/>
  </si>
  <si>
    <t>설명</t>
    <phoneticPr fontId="1" type="noConversion"/>
  </si>
  <si>
    <t>비고</t>
    <phoneticPr fontId="1" type="noConversion"/>
  </si>
  <si>
    <t>clientCode</t>
    <phoneticPr fontId="1" type="noConversion"/>
  </si>
  <si>
    <t>KYOCHON-WMS</t>
    <phoneticPr fontId="1" type="noConversion"/>
  </si>
  <si>
    <t>센터코드</t>
    <phoneticPr fontId="1" type="noConversion"/>
  </si>
  <si>
    <t>센터코드</t>
    <phoneticPr fontId="1" type="noConversion"/>
  </si>
  <si>
    <t>fromDate</t>
    <phoneticPr fontId="1" type="noConversion"/>
  </si>
  <si>
    <t>검색 시작일-출고요청일</t>
    <phoneticPr fontId="1" type="noConversion"/>
  </si>
  <si>
    <t>검색 시작일-출고요청일</t>
    <phoneticPr fontId="1" type="noConversion"/>
  </si>
  <si>
    <t>toDate</t>
    <phoneticPr fontId="1" type="noConversion"/>
  </si>
  <si>
    <t>검색 종료일-출고요청일</t>
    <phoneticPr fontId="1" type="noConversion"/>
  </si>
  <si>
    <t>검색 종료일-출고요청일</t>
    <phoneticPr fontId="1" type="noConversion"/>
  </si>
  <si>
    <t>Array</t>
    <phoneticPr fontId="1" type="noConversion"/>
  </si>
  <si>
    <t>배송결과 요청 데이터</t>
    <phoneticPr fontId="1" type="noConversion"/>
  </si>
  <si>
    <t>결과를 확인하려는 출고요청번호의 목록</t>
    <phoneticPr fontId="1" type="noConversion"/>
  </si>
  <si>
    <t>출고요청번호를 선택하여 결과 조회시</t>
    <phoneticPr fontId="1" type="noConversion"/>
  </si>
  <si>
    <t>NO</t>
    <phoneticPr fontId="1" type="noConversion"/>
  </si>
  <si>
    <t>resultCode</t>
    <phoneticPr fontId="1" type="noConversion"/>
  </si>
  <si>
    <t>String</t>
    <phoneticPr fontId="1" type="noConversion"/>
  </si>
  <si>
    <t>resultMsg</t>
    <phoneticPr fontId="1" type="noConversion"/>
  </si>
  <si>
    <t>응답메시지</t>
    <phoneticPr fontId="1" type="noConversion"/>
  </si>
  <si>
    <t>응답 메시지</t>
    <phoneticPr fontId="1" type="noConversion"/>
  </si>
  <si>
    <t>O</t>
    <phoneticPr fontId="1" type="noConversion"/>
  </si>
  <si>
    <t>data</t>
    <phoneticPr fontId="1" type="noConversion"/>
  </si>
  <si>
    <t>배송결과 데이터</t>
    <phoneticPr fontId="1" type="noConversion"/>
  </si>
  <si>
    <t>각 출고요청에 대한 배송결과</t>
    <phoneticPr fontId="1" type="noConversion"/>
  </si>
  <si>
    <t>배송결과 요청 데이터</t>
    <phoneticPr fontId="1" type="noConversion"/>
  </si>
  <si>
    <t>자리수</t>
    <phoneticPr fontId="1" type="noConversion"/>
  </si>
  <si>
    <t>출고요청번호</t>
    <phoneticPr fontId="1" type="noConversion"/>
  </si>
  <si>
    <t>각 품목당 출고 요청 번호</t>
    <phoneticPr fontId="1" type="noConversion"/>
  </si>
  <si>
    <t>배송결과 데이터</t>
    <phoneticPr fontId="1" type="noConversion"/>
  </si>
  <si>
    <t>WMS table</t>
    <phoneticPr fontId="1" type="noConversion"/>
  </si>
  <si>
    <t>WMS Field</t>
    <phoneticPr fontId="1" type="noConversion"/>
  </si>
  <si>
    <t>Field Name</t>
    <phoneticPr fontId="1" type="noConversion"/>
  </si>
  <si>
    <t>상태별 필수여부</t>
    <phoneticPr fontId="1" type="noConversion"/>
  </si>
  <si>
    <t>wms_outbiz_prod</t>
    <phoneticPr fontId="1" type="noConversion"/>
  </si>
  <si>
    <t>outbiz_prod_seq</t>
    <phoneticPr fontId="1" type="noConversion"/>
  </si>
  <si>
    <t>접수시 필수(CREATED)</t>
    <phoneticPr fontId="1" type="noConversion"/>
  </si>
  <si>
    <t>접수시 필수(CREATED)</t>
    <phoneticPr fontId="1" type="noConversion"/>
  </si>
  <si>
    <t>tms_invoice_no</t>
    <phoneticPr fontId="1" type="noConversion"/>
  </si>
  <si>
    <t>1000000038522</t>
    <phoneticPr fontId="1" type="noConversion"/>
  </si>
  <si>
    <t>접수시 필수(CREATED)</t>
    <phoneticPr fontId="1" type="noConversion"/>
  </si>
  <si>
    <t>req_ymd</t>
    <phoneticPr fontId="1" type="noConversion"/>
  </si>
  <si>
    <t>tripDate</t>
    <phoneticPr fontId="1" type="noConversion"/>
  </si>
  <si>
    <t>배송일</t>
    <phoneticPr fontId="1" type="noConversion"/>
  </si>
  <si>
    <t>배송일</t>
    <phoneticPr fontId="1" type="noConversion"/>
  </si>
  <si>
    <t>YYYY-MM-DD</t>
    <phoneticPr fontId="1" type="noConversion"/>
  </si>
  <si>
    <t>접수시 필수(CREATED)</t>
    <phoneticPr fontId="1" type="noConversion"/>
  </si>
  <si>
    <t>center_seq</t>
    <phoneticPr fontId="1" type="noConversion"/>
  </si>
  <si>
    <t>wms_outbiz_prod</t>
    <phoneticPr fontId="1" type="noConversion"/>
  </si>
  <si>
    <t>tms_load_no</t>
    <phoneticPr fontId="1" type="noConversion"/>
  </si>
  <si>
    <t>tripId</t>
    <phoneticPr fontId="1" type="noConversion"/>
  </si>
  <si>
    <t>운행번호</t>
    <phoneticPr fontId="1" type="noConversion"/>
  </si>
  <si>
    <t>운행번호
배차시 발번되는 번호</t>
    <phoneticPr fontId="1" type="noConversion"/>
  </si>
  <si>
    <t>5000000010522</t>
    <phoneticPr fontId="1" type="noConversion"/>
  </si>
  <si>
    <t>wms_outbiz_prod</t>
    <phoneticPr fontId="1" type="noConversion"/>
  </si>
  <si>
    <t>배차권역</t>
    <phoneticPr fontId="1" type="noConversion"/>
  </si>
  <si>
    <t>배차시 필수(ALLOCATED)</t>
    <phoneticPr fontId="1" type="noConversion"/>
  </si>
  <si>
    <t>TMS노선번호</t>
    <phoneticPr fontId="1" type="noConversion"/>
  </si>
  <si>
    <t>경기남부1-35번 월</t>
    <phoneticPr fontId="1" type="noConversion"/>
  </si>
  <si>
    <t>car_order_nm</t>
    <phoneticPr fontId="1" type="noConversion"/>
  </si>
  <si>
    <t>routeName</t>
    <phoneticPr fontId="1" type="noConversion"/>
  </si>
  <si>
    <t>TMS노선명</t>
    <phoneticPr fontId="1" type="noConversion"/>
  </si>
  <si>
    <t>TMS노선명</t>
    <phoneticPr fontId="1" type="noConversion"/>
  </si>
  <si>
    <t>경기남부1-35번</t>
    <phoneticPr fontId="1" type="noConversion"/>
  </si>
  <si>
    <t>배차시 필수(ALLOCATED)</t>
    <phoneticPr fontId="1" type="noConversion"/>
  </si>
  <si>
    <t>wms_load</t>
    <phoneticPr fontId="1" type="noConversion"/>
  </si>
  <si>
    <t>load_idx</t>
    <phoneticPr fontId="1" type="noConversion"/>
  </si>
  <si>
    <t>차수</t>
    <phoneticPr fontId="1" type="noConversion"/>
  </si>
  <si>
    <t>checkInTime</t>
    <phoneticPr fontId="1" type="noConversion"/>
  </si>
  <si>
    <t>입차시간</t>
    <phoneticPr fontId="1" type="noConversion"/>
  </si>
  <si>
    <t>07:00:00</t>
    <phoneticPr fontId="1" type="noConversion"/>
  </si>
  <si>
    <t>HH:MM:SS</t>
    <phoneticPr fontId="1" type="noConversion"/>
  </si>
  <si>
    <t>도크번호</t>
    <phoneticPr fontId="1" type="noConversion"/>
  </si>
  <si>
    <t>도크번호</t>
    <phoneticPr fontId="1" type="noConversion"/>
  </si>
  <si>
    <t>35</t>
    <phoneticPr fontId="1" type="noConversion"/>
  </si>
  <si>
    <t>loadingAreaName</t>
    <phoneticPr fontId="1" type="noConversion"/>
  </si>
  <si>
    <t>출하장명</t>
    <phoneticPr fontId="1" type="noConversion"/>
  </si>
  <si>
    <t>경기남부1-35번</t>
    <phoneticPr fontId="1" type="noConversion"/>
  </si>
  <si>
    <t>wms_outbiz_prod</t>
  </si>
  <si>
    <t>driver_nm</t>
    <phoneticPr fontId="1" type="noConversion"/>
  </si>
  <si>
    <t>기사이름</t>
    <phoneticPr fontId="1" type="noConversion"/>
  </si>
  <si>
    <t>김용석</t>
    <phoneticPr fontId="1" type="noConversion"/>
  </si>
  <si>
    <t>배차시 필수(ALLOCATED)</t>
    <phoneticPr fontId="1" type="noConversion"/>
  </si>
  <si>
    <t>wms_load</t>
  </si>
  <si>
    <t>driver_tel</t>
    <phoneticPr fontId="1" type="noConversion"/>
  </si>
  <si>
    <t>기사연락처</t>
    <phoneticPr fontId="1" type="noConversion"/>
  </si>
  <si>
    <t>010-0000-0000</t>
    <phoneticPr fontId="1" type="noConversion"/>
  </si>
  <si>
    <t>car_no</t>
    <phoneticPr fontId="1" type="noConversion"/>
  </si>
  <si>
    <t>vehicleNo</t>
    <phoneticPr fontId="1" type="noConversion"/>
  </si>
  <si>
    <t>차량번호</t>
    <phoneticPr fontId="1" type="noConversion"/>
  </si>
  <si>
    <r>
      <rPr>
        <sz val="11"/>
        <color theme="1"/>
        <rFont val="맑은 고딕"/>
        <family val="3"/>
        <charset val="129"/>
        <scheme val="minor"/>
      </rPr>
      <t>서울</t>
    </r>
    <r>
      <rPr>
        <sz val="11"/>
        <color rgb="FF000000"/>
        <rFont val="맑은 고딕"/>
        <family val="3"/>
        <charset val="129"/>
        <scheme val="minor"/>
      </rPr>
      <t>85바8556</t>
    </r>
    <phoneticPr fontId="1" type="noConversion"/>
  </si>
  <si>
    <t>vehicleType</t>
    <phoneticPr fontId="1" type="noConversion"/>
  </si>
  <si>
    <t>차량타입</t>
    <phoneticPr fontId="1" type="noConversion"/>
  </si>
  <si>
    <t>차량타입</t>
    <phoneticPr fontId="1" type="noConversion"/>
  </si>
  <si>
    <t>냉동탑</t>
    <phoneticPr fontId="1" type="noConversion"/>
  </si>
  <si>
    <t>vehicleTons</t>
    <phoneticPr fontId="1" type="noConversion"/>
  </si>
  <si>
    <t>차량톤</t>
    <phoneticPr fontId="1" type="noConversion"/>
  </si>
  <si>
    <t>int</t>
    <phoneticPr fontId="1" type="noConversion"/>
  </si>
  <si>
    <t>출하수량</t>
    <phoneticPr fontId="1" type="noConversion"/>
  </si>
  <si>
    <t>출하수량</t>
    <phoneticPr fontId="1" type="noConversion"/>
  </si>
  <si>
    <t>int</t>
    <phoneticPr fontId="1" type="noConversion"/>
  </si>
  <si>
    <t>wms_load_prod</t>
  </si>
  <si>
    <t>req_qty, ex_qty</t>
    <phoneticPr fontId="1" type="noConversion"/>
  </si>
  <si>
    <t>opLoadItemCnt</t>
    <phoneticPr fontId="1" type="noConversion"/>
  </si>
  <si>
    <t>상차수량</t>
    <phoneticPr fontId="1" type="noConversion"/>
  </si>
  <si>
    <t>상차시 필수(ITEM_LOADED)</t>
    <phoneticPr fontId="1" type="noConversion"/>
  </si>
  <si>
    <t>opUnloadItemCnt</t>
    <phoneticPr fontId="1" type="noConversion"/>
  </si>
  <si>
    <t>하차수량</t>
    <phoneticPr fontId="1" type="noConversion"/>
  </si>
  <si>
    <t>기사 하차수량</t>
    <phoneticPr fontId="1" type="noConversion"/>
  </si>
  <si>
    <t>하차시 필수(ITEM_UNLOADED)</t>
    <phoneticPr fontId="1" type="noConversion"/>
  </si>
  <si>
    <t>opConfirmLoadItemCnt</t>
    <phoneticPr fontId="1" type="noConversion"/>
  </si>
  <si>
    <t>확정상차수량</t>
    <phoneticPr fontId="1" type="noConversion"/>
  </si>
  <si>
    <t>확정시 필수(FINISHED)</t>
    <phoneticPr fontId="1" type="noConversion"/>
  </si>
  <si>
    <t>opConfirmUnloadItemCnt</t>
    <phoneticPr fontId="1" type="noConversion"/>
  </si>
  <si>
    <t>확정하차수량</t>
    <phoneticPr fontId="1" type="noConversion"/>
  </si>
  <si>
    <t>담당자 확정 하차수량</t>
    <phoneticPr fontId="1" type="noConversion"/>
  </si>
  <si>
    <t>opRtLoadItemCnt</t>
    <phoneticPr fontId="1" type="noConversion"/>
  </si>
  <si>
    <t>반품상차수량</t>
    <phoneticPr fontId="1" type="noConversion"/>
  </si>
  <si>
    <t>기사 반품 상차수량</t>
    <phoneticPr fontId="1" type="noConversion"/>
  </si>
  <si>
    <t>opRtUnloadItemCnt</t>
    <phoneticPr fontId="1" type="noConversion"/>
  </si>
  <si>
    <t>반품하차수량</t>
    <phoneticPr fontId="1" type="noConversion"/>
  </si>
  <si>
    <t>기사 반품 하차수량</t>
    <phoneticPr fontId="1" type="noConversion"/>
  </si>
  <si>
    <t>하차시 필수(ITEM_UNLOADED)</t>
    <phoneticPr fontId="1" type="noConversion"/>
  </si>
  <si>
    <t>opRtConfirmLoadItemCnt</t>
    <phoneticPr fontId="1" type="noConversion"/>
  </si>
  <si>
    <t>확정반품상차수량</t>
    <phoneticPr fontId="1" type="noConversion"/>
  </si>
  <si>
    <t>담당자 확정 반품 상차수량</t>
    <phoneticPr fontId="1" type="noConversion"/>
  </si>
  <si>
    <t>opRtConfirmUnloadItemCnt</t>
    <phoneticPr fontId="1" type="noConversion"/>
  </si>
  <si>
    <t>확정반품하차수량</t>
    <phoneticPr fontId="1" type="noConversion"/>
  </si>
  <si>
    <t>담당자 확정 반품 하차수량</t>
    <phoneticPr fontId="1" type="noConversion"/>
  </si>
  <si>
    <t>orderStatus</t>
    <phoneticPr fontId="1" type="noConversion"/>
  </si>
  <si>
    <t>TMS상태</t>
    <phoneticPr fontId="1" type="noConversion"/>
  </si>
  <si>
    <t>TMS 상태 코드</t>
    <phoneticPr fontId="1" type="noConversion"/>
  </si>
  <si>
    <t>CREATED</t>
    <phoneticPr fontId="1" type="noConversion"/>
  </si>
  <si>
    <t>접수시 필수(CREATED)</t>
    <phoneticPr fontId="1" type="noConversion"/>
  </si>
  <si>
    <t>opdtCreatedAt</t>
    <phoneticPr fontId="1" type="noConversion"/>
  </si>
  <si>
    <t>접수일시</t>
    <phoneticPr fontId="1" type="noConversion"/>
  </si>
  <si>
    <t>TMS에 접수된 송장번호 발번 일시</t>
    <phoneticPr fontId="1" type="noConversion"/>
  </si>
  <si>
    <t>2025-08-01 07:00:00</t>
    <phoneticPr fontId="1" type="noConversion"/>
  </si>
  <si>
    <t>YYYY-MM-DD HH:MM:SS</t>
    <phoneticPr fontId="1" type="noConversion"/>
  </si>
  <si>
    <t>접수시 필수(CREATED)</t>
    <phoneticPr fontId="1" type="noConversion"/>
  </si>
  <si>
    <t>wms_load</t>
    <phoneticPr fontId="1" type="noConversion"/>
  </si>
  <si>
    <t>proc_ymd, proc_hms</t>
    <phoneticPr fontId="1" type="noConversion"/>
  </si>
  <si>
    <t>배차일시</t>
    <phoneticPr fontId="1" type="noConversion"/>
  </si>
  <si>
    <t>배차 일시</t>
    <phoneticPr fontId="1" type="noConversion"/>
  </si>
  <si>
    <t>YYYY-MM-DD HH:MM:SS</t>
    <phoneticPr fontId="1" type="noConversion"/>
  </si>
  <si>
    <t>배차시 필수(ALLOCATED)</t>
    <phoneticPr fontId="1" type="noConversion"/>
  </si>
  <si>
    <t>cfm_ymd, cfm_hms</t>
    <phoneticPr fontId="1" type="noConversion"/>
  </si>
  <si>
    <t>opdtItemLoadedAt</t>
    <phoneticPr fontId="1" type="noConversion"/>
  </si>
  <si>
    <t>기사 상차 일시</t>
    <phoneticPr fontId="1" type="noConversion"/>
  </si>
  <si>
    <t>YYYY-MM-DD HH:MM:SS</t>
    <phoneticPr fontId="1" type="noConversion"/>
  </si>
  <si>
    <t>상차시 필수(ITEM_LOADED)</t>
    <phoneticPr fontId="1" type="noConversion"/>
  </si>
  <si>
    <t>opdtItemUnloadedAt</t>
    <phoneticPr fontId="1" type="noConversion"/>
  </si>
  <si>
    <t>하차일시</t>
    <phoneticPr fontId="1" type="noConversion"/>
  </si>
  <si>
    <t>YYYY-MM-DD HH:MM:SS</t>
    <phoneticPr fontId="1" type="noConversion"/>
  </si>
  <si>
    <t>하차시 필수(ITEM_UNLOADED)</t>
    <phoneticPr fontId="1" type="noConversion"/>
  </si>
  <si>
    <t>opdtFinishedAt</t>
    <phoneticPr fontId="1" type="noConversion"/>
  </si>
  <si>
    <t>완료일시</t>
    <phoneticPr fontId="1" type="noConversion"/>
  </si>
  <si>
    <t>담당자 확정 일시</t>
    <phoneticPr fontId="1" type="noConversion"/>
  </si>
  <si>
    <t>2025-08-01 07:00:00</t>
    <phoneticPr fontId="1" type="noConversion"/>
  </si>
  <si>
    <t>pboxPrevQty</t>
    <phoneticPr fontId="1" type="noConversion"/>
  </si>
  <si>
    <t>P-BOX 이전재고</t>
    <phoneticPr fontId="1" type="noConversion"/>
  </si>
  <si>
    <t>가맹점의 전날 PBOX 수량</t>
    <phoneticPr fontId="1" type="noConversion"/>
  </si>
  <si>
    <t>boolean</t>
    <phoneticPr fontId="1" type="noConversion"/>
  </si>
  <si>
    <t>changed</t>
    <phoneticPr fontId="1" type="noConversion"/>
  </si>
  <si>
    <t>데이터변경여부</t>
    <phoneticPr fontId="1" type="noConversion"/>
  </si>
  <si>
    <t>직전 조회이후 변경 여부</t>
    <phoneticPr fontId="1" type="noConversion"/>
  </si>
  <si>
    <t>true</t>
    <phoneticPr fontId="1" type="noConversion"/>
  </si>
  <si>
    <t>true/false
WMS에서 조회 이후에 배차/배차변경/상차/하차/확정시 true 값을 가집니다.
WMS에서 조회 이후에 아무런 변경없이 재조회시 false 값을 가집니다.</t>
    <phoneticPr fontId="1" type="noConversion"/>
  </si>
  <si>
    <t>Sample</t>
    <phoneticPr fontId="1" type="noConversion"/>
  </si>
  <si>
    <t>prod_div_nm</t>
    <phoneticPr fontId="1" type="noConversion"/>
  </si>
  <si>
    <t>unit_cd</t>
    <phoneticPr fontId="1" type="noConversion"/>
  </si>
  <si>
    <t>cfd_cd</t>
    <phoneticPr fontId="1" type="noConversion"/>
  </si>
  <si>
    <t>unit_cd</t>
    <phoneticPr fontId="1" type="noConversion"/>
  </si>
  <si>
    <r>
      <t xml:space="preserve"> https://{SERVER_URL}</t>
    </r>
    <r>
      <rPr>
        <b/>
        <sz val="11"/>
        <color theme="1"/>
        <rFont val="맑은 고딕"/>
        <family val="3"/>
        <charset val="129"/>
        <scheme val="minor"/>
      </rPr>
      <t>/api/intf/shipping-request/create</t>
    </r>
    <phoneticPr fontId="1" type="noConversion"/>
  </si>
  <si>
    <r>
      <t>https://{SERVER_URL}</t>
    </r>
    <r>
      <rPr>
        <b/>
        <sz val="11"/>
        <rFont val="맑은 고딕"/>
        <family val="3"/>
        <charset val="129"/>
        <scheme val="minor"/>
      </rPr>
      <t>/api/intf/shipping-request/results</t>
    </r>
    <phoneticPr fontId="1" type="noConversion"/>
  </si>
  <si>
    <t>wms_outbiz_prod</t>
    <phoneticPr fontId="1" type="noConversion"/>
  </si>
  <si>
    <t>tms_invoice_no</t>
    <phoneticPr fontId="1" type="noConversion"/>
  </si>
  <si>
    <r>
      <t>https://{SERVER_URL}</t>
    </r>
    <r>
      <rPr>
        <b/>
        <sz val="11"/>
        <color theme="1"/>
        <rFont val="맑은 고딕"/>
        <family val="3"/>
        <charset val="129"/>
        <scheme val="minor"/>
      </rPr>
      <t>/api/intf/shipping-request/update</t>
    </r>
    <phoneticPr fontId="1" type="noConversion"/>
  </si>
  <si>
    <t>E6</t>
    <phoneticPr fontId="1" type="noConversion"/>
  </si>
  <si>
    <t>orgIfKey</t>
    <phoneticPr fontId="1" type="noConversion"/>
  </si>
  <si>
    <t>원주문 IF 키</t>
    <phoneticPr fontId="1" type="noConversion"/>
  </si>
  <si>
    <t>orgIfIdx</t>
    <phoneticPr fontId="1" type="noConversion"/>
  </si>
  <si>
    <t>원주문 I/F 서브키</t>
    <phoneticPr fontId="1" type="noConversion"/>
  </si>
  <si>
    <t>wms_outwh_prod</t>
    <phoneticPr fontId="1" type="noConversion"/>
  </si>
  <si>
    <t>원 주문건 유니크 키</t>
    <phoneticPr fontId="1" type="noConversion"/>
  </si>
  <si>
    <t>원 주문건 유니크 키</t>
    <phoneticPr fontId="1" type="noConversion"/>
  </si>
  <si>
    <t>원 주문건 유형코드</t>
    <phoneticPr fontId="1" type="noConversion"/>
  </si>
  <si>
    <t>orgReqTypeCd</t>
    <phoneticPr fontId="1" type="noConversion"/>
  </si>
  <si>
    <t>원주문요청유형코드</t>
    <phoneticPr fontId="1" type="noConversion"/>
  </si>
  <si>
    <t>so_no 또는 outbiz_no</t>
    <phoneticPr fontId="1" type="noConversion"/>
  </si>
  <si>
    <t>notOutbizNote</t>
    <phoneticPr fontId="1" type="noConversion"/>
  </si>
  <si>
    <t>reqList</t>
    <phoneticPr fontId="1" type="noConversion"/>
  </si>
  <si>
    <t>String</t>
    <phoneticPr fontId="1" type="noConversion"/>
  </si>
  <si>
    <t>O</t>
    <phoneticPr fontId="1" type="noConversion"/>
  </si>
  <si>
    <t>bizCode</t>
    <phoneticPr fontId="1" type="noConversion"/>
  </si>
  <si>
    <t>화주사코드</t>
    <phoneticPr fontId="1" type="noConversion"/>
  </si>
  <si>
    <t>화주사코드</t>
    <phoneticPr fontId="1" type="noConversion"/>
  </si>
  <si>
    <t>String</t>
    <phoneticPr fontId="1" type="noConversion"/>
  </si>
  <si>
    <t>bizCode</t>
    <phoneticPr fontId="1" type="noConversion"/>
  </si>
  <si>
    <t>화주사코드</t>
    <phoneticPr fontId="1" type="noConversion"/>
  </si>
  <si>
    <t>String</t>
    <phoneticPr fontId="1" type="noConversion"/>
  </si>
  <si>
    <t>화주사코드</t>
    <phoneticPr fontId="1" type="noConversion"/>
  </si>
  <si>
    <t>orderNo</t>
    <phoneticPr fontId="1" type="noConversion"/>
  </si>
  <si>
    <t>주문번호</t>
    <phoneticPr fontId="1" type="noConversion"/>
  </si>
  <si>
    <t>OMS 또는 WMS의 주문번호</t>
    <phoneticPr fontId="1" type="noConversion"/>
  </si>
  <si>
    <t>OMS2025070020010</t>
    <phoneticPr fontId="1" type="noConversion"/>
  </si>
  <si>
    <t>String</t>
    <phoneticPr fontId="1" type="noConversion"/>
  </si>
  <si>
    <t>O</t>
    <phoneticPr fontId="1" type="noConversion"/>
  </si>
  <si>
    <t>centerSeq</t>
    <phoneticPr fontId="1" type="noConversion"/>
  </si>
  <si>
    <t>regionCd</t>
    <phoneticPr fontId="1" type="noConversion"/>
  </si>
  <si>
    <t>권역코드</t>
    <phoneticPr fontId="1" type="noConversion"/>
  </si>
  <si>
    <t>센터코드</t>
    <phoneticPr fontId="1" type="noConversion"/>
  </si>
  <si>
    <t>number</t>
    <phoneticPr fontId="1" type="noConversion"/>
  </si>
  <si>
    <t>NN</t>
    <phoneticPr fontId="1" type="noConversion"/>
  </si>
  <si>
    <t>ERP</t>
    <phoneticPr fontId="1" type="noConversion"/>
  </si>
  <si>
    <t>DB to DB</t>
    <phoneticPr fontId="1" type="noConversion"/>
  </si>
  <si>
    <t>DB to DB</t>
    <phoneticPr fontId="1" type="noConversion"/>
  </si>
  <si>
    <t>예외출고 등록</t>
    <phoneticPr fontId="1" type="noConversion"/>
  </si>
  <si>
    <t>예외출고 마감</t>
    <phoneticPr fontId="1" type="noConversion"/>
  </si>
  <si>
    <t>DB to DB</t>
    <phoneticPr fontId="1" type="noConversion"/>
  </si>
  <si>
    <t>DB to DB</t>
    <phoneticPr fontId="1" type="noConversion"/>
  </si>
  <si>
    <t>DB to DB</t>
    <phoneticPr fontId="1" type="noConversion"/>
  </si>
  <si>
    <t>OMS</t>
    <phoneticPr fontId="1" type="noConversion"/>
  </si>
  <si>
    <t>인터페이스명</t>
    <phoneticPr fontId="1" type="noConversion"/>
  </si>
  <si>
    <t>품목등록</t>
    <phoneticPr fontId="1" type="noConversion"/>
  </si>
  <si>
    <t>인터페이스 개요</t>
    <phoneticPr fontId="1" type="noConversion"/>
  </si>
  <si>
    <t>인터페이스 상세</t>
    <phoneticPr fontId="1" type="noConversion"/>
  </si>
  <si>
    <t>1. ERP  연동 (ERP → WMS)</t>
    <phoneticPr fontId="1" type="noConversion"/>
  </si>
  <si>
    <t>Description</t>
    <phoneticPr fontId="1" type="noConversion"/>
  </si>
  <si>
    <t xml:space="preserve">
WMS에서 ERP DB 접근하여 데이터 추출
- 품목명-상품명은 동일하게 셋팅 =&gt; 상품명 변경 필요 시 WMS에서 변경
- ERP IF 항목 : 품목번호, 품목명, 품목분류, 대/중/소분류, 규격, 단위
- WMS 관리 항목 : 중량, 입수량, 유효기준일수, 임박기준일수, 상품식별코드, 물류식별코드, 묶음수량, 묶음단위명, 가로/세로/높이, 원산지, 브랜드, 품목SKU
- 송부용 상품정보에 포함된 데이터: 품목번호, 품목명, 재고단위, 규격, 품목분류(품목군명), 중량, 중량단위, 사용유무, 안전재고, 대/중/소분류코드, 대/중/소분류명, 출하단위, 품온구분, 육계시세적용구분, 부피, 환산중량
</t>
    <phoneticPr fontId="1" type="noConversion"/>
  </si>
  <si>
    <t>인터페이스 유형</t>
    <phoneticPr fontId="1" type="noConversion"/>
  </si>
  <si>
    <t>적용방식</t>
    <phoneticPr fontId="1" type="noConversion"/>
  </si>
  <si>
    <t>DB2DB</t>
    <phoneticPr fontId="1" type="noConversion"/>
  </si>
  <si>
    <t>발생주기</t>
    <phoneticPr fontId="1" type="noConversion"/>
  </si>
  <si>
    <t>1일 발생 건수</t>
    <phoneticPr fontId="1" type="noConversion"/>
  </si>
  <si>
    <t>SOURCE</t>
    <phoneticPr fontId="1" type="noConversion"/>
  </si>
  <si>
    <t>TARGET</t>
    <phoneticPr fontId="1" type="noConversion"/>
  </si>
  <si>
    <t>시스템</t>
    <phoneticPr fontId="1" type="noConversion"/>
  </si>
  <si>
    <t>ERP</t>
    <phoneticPr fontId="1" type="noConversion"/>
  </si>
  <si>
    <t>시스템</t>
    <phoneticPr fontId="1" type="noConversion"/>
  </si>
  <si>
    <t>WMS</t>
    <phoneticPr fontId="1" type="noConversion"/>
  </si>
  <si>
    <t>INPUT</t>
    <phoneticPr fontId="1" type="noConversion"/>
  </si>
  <si>
    <t>INPUT</t>
    <phoneticPr fontId="1" type="noConversion"/>
  </si>
  <si>
    <t>Table Name</t>
    <phoneticPr fontId="1" type="noConversion"/>
  </si>
  <si>
    <t>Field</t>
    <phoneticPr fontId="1" type="noConversion"/>
  </si>
  <si>
    <t>Data Type</t>
    <phoneticPr fontId="1" type="noConversion"/>
  </si>
  <si>
    <t>PK</t>
    <phoneticPr fontId="1" type="noConversion"/>
  </si>
  <si>
    <t>Default Value</t>
    <phoneticPr fontId="1" type="noConversion"/>
  </si>
  <si>
    <t>Description</t>
  </si>
  <si>
    <t>비고</t>
    <phoneticPr fontId="1" type="noConversion"/>
  </si>
  <si>
    <t>Field</t>
    <phoneticPr fontId="1" type="noConversion"/>
  </si>
  <si>
    <t>Data Type</t>
    <phoneticPr fontId="1" type="noConversion"/>
  </si>
  <si>
    <t>PK</t>
    <phoneticPr fontId="1" type="noConversion"/>
  </si>
  <si>
    <t>Default Value</t>
    <phoneticPr fontId="1" type="noConversion"/>
  </si>
  <si>
    <t>Description</t>
    <phoneticPr fontId="1" type="noConversion"/>
  </si>
  <si>
    <t>MA_Z_KCFNB_PITEM_IF</t>
    <phoneticPr fontId="1" type="noConversion"/>
  </si>
  <si>
    <t>생성순번(IDENTITY)</t>
    <phoneticPr fontId="1" type="noConversion"/>
  </si>
  <si>
    <t>MA_Z_KCFNB_PITEM_IF</t>
  </si>
  <si>
    <t>신규,수정/삭제 (A/D)</t>
    <phoneticPr fontId="1" type="noConversion"/>
  </si>
  <si>
    <t>생성일시</t>
  </si>
  <si>
    <t>N</t>
    <phoneticPr fontId="1" type="noConversion"/>
  </si>
  <si>
    <t>수신여부 (Y/N/E)</t>
    <phoneticPr fontId="1" type="noConversion"/>
  </si>
  <si>
    <t>WMS 미수신 = N
WMS 수신 = Y
에러 = E</t>
    <phoneticPr fontId="1" type="noConversion"/>
  </si>
  <si>
    <t>수신일시</t>
    <phoneticPr fontId="1" type="noConversion"/>
  </si>
  <si>
    <t>WMS 데이터 수신 후 datetime UPDATE</t>
    <phoneticPr fontId="1" type="noConversion"/>
  </si>
  <si>
    <t>WMS 미수신 = N
WMS 수신 = Y
에러 = E</t>
    <phoneticPr fontId="1" type="noConversion"/>
  </si>
  <si>
    <t>OMS 데이터 수신 후 datetime UPDATE</t>
    <phoneticPr fontId="1" type="noConversion"/>
  </si>
  <si>
    <t>biz_seq</t>
    <phoneticPr fontId="1" type="noConversion"/>
  </si>
  <si>
    <t>INT</t>
    <phoneticPr fontId="1" type="noConversion"/>
  </si>
  <si>
    <t>TEXT</t>
    <phoneticPr fontId="1" type="noConversion"/>
  </si>
  <si>
    <t>VARCHAR(20)</t>
    <phoneticPr fontId="1" type="noConversion"/>
  </si>
  <si>
    <t>최초 등록자(사용자I/F 의 UserID)</t>
    <phoneticPr fontId="1" type="noConversion"/>
  </si>
  <si>
    <t>MDM_PROD</t>
    <phoneticPr fontId="1" type="noConversion"/>
  </si>
  <si>
    <t>reg_id</t>
    <phoneticPr fontId="1" type="noConversion"/>
  </si>
  <si>
    <t>DATETIME</t>
    <phoneticPr fontId="1" type="noConversion"/>
  </si>
  <si>
    <t>등록일</t>
    <phoneticPr fontId="1" type="noConversion"/>
  </si>
  <si>
    <t>reg_dt</t>
    <phoneticPr fontId="1" type="noConversion"/>
  </si>
  <si>
    <t>DATETIME</t>
  </si>
  <si>
    <t>mod_id</t>
    <phoneticPr fontId="1" type="noConversion"/>
  </si>
  <si>
    <t>데이터 최종수정자(사용자I/F 의 UserID)</t>
    <phoneticPr fontId="1" type="noConversion"/>
  </si>
  <si>
    <t>mod_dt</t>
    <phoneticPr fontId="1" type="noConversion"/>
  </si>
  <si>
    <t>NVARCHAR(7)</t>
  </si>
  <si>
    <t>회사코드</t>
    <phoneticPr fontId="1" type="noConversion"/>
  </si>
  <si>
    <t>-</t>
    <phoneticPr fontId="1" type="noConversion"/>
  </si>
  <si>
    <t>WMS 관리 X</t>
    <phoneticPr fontId="1" type="noConversion"/>
  </si>
  <si>
    <t>CD_PLANT</t>
    <phoneticPr fontId="1" type="noConversion"/>
  </si>
  <si>
    <t>공장코드</t>
    <phoneticPr fontId="1" type="noConversion"/>
  </si>
  <si>
    <t>NVARCHAR(50)</t>
  </si>
  <si>
    <t>사업장 내에서 유니크한 값</t>
  </si>
  <si>
    <t>품목번호</t>
  </si>
  <si>
    <t>VARCHAR(200)</t>
    <phoneticPr fontId="1" type="noConversion"/>
  </si>
  <si>
    <t>품목명</t>
  </si>
  <si>
    <t>CLS_ITEM</t>
  </si>
  <si>
    <t>NVARCHAR(3)</t>
  </si>
  <si>
    <t>계정구분</t>
    <phoneticPr fontId="1" type="noConversion"/>
  </si>
  <si>
    <t>TP_ITEM</t>
  </si>
  <si>
    <t>UNIT_IM</t>
    <phoneticPr fontId="1" type="noConversion"/>
  </si>
  <si>
    <t>단위_코드</t>
  </si>
  <si>
    <t>NVARCHAR(20)</t>
  </si>
  <si>
    <t>품목군</t>
    <phoneticPr fontId="1" type="noConversion"/>
  </si>
  <si>
    <t>ERP 품목군코드(A:원자재(계육),B:부자재,M:수제맥주)
'품목군' 시트 참조</t>
    <phoneticPr fontId="1" type="noConversion"/>
  </si>
  <si>
    <t>prod_div_cd</t>
    <phoneticPr fontId="1" type="noConversion"/>
  </si>
  <si>
    <t>VARCHAR(50)</t>
    <phoneticPr fontId="1" type="noConversion"/>
  </si>
  <si>
    <t>품목_분류_코드</t>
  </si>
  <si>
    <t>X:비정형 품목군은 WMS에서 관리</t>
    <phoneticPr fontId="1" type="noConversion"/>
  </si>
  <si>
    <t>STND_ITEM</t>
  </si>
  <si>
    <t>NVARCHAR(200)</t>
  </si>
  <si>
    <t>규격</t>
  </si>
  <si>
    <t>품목_규격</t>
  </si>
  <si>
    <t>BARCODE</t>
  </si>
  <si>
    <t>바코드</t>
  </si>
  <si>
    <t>CLS_L</t>
  </si>
  <si>
    <t>NVARCHAR(4)</t>
  </si>
  <si>
    <t>공통코드 MA_B000030</t>
    <phoneticPr fontId="1" type="noConversion"/>
  </si>
  <si>
    <t>대분류_코드</t>
  </si>
  <si>
    <t>CLS_M</t>
  </si>
  <si>
    <t>공통코드 MA_B000031</t>
  </si>
  <si>
    <t>중분류_코드</t>
  </si>
  <si>
    <t>CLS_S</t>
  </si>
  <si>
    <t>소분류</t>
    <phoneticPr fontId="1" type="noConversion"/>
  </si>
  <si>
    <t>공통코드 MA_B000032</t>
  </si>
  <si>
    <t>소분류_코드</t>
  </si>
  <si>
    <t>FG_TAX_PU</t>
  </si>
  <si>
    <t>매입부가세</t>
  </si>
  <si>
    <t>FG_TAX_SA</t>
  </si>
  <si>
    <t>매출부가세</t>
  </si>
  <si>
    <t>STND_DETAIL_ITEM</t>
  </si>
  <si>
    <t>주류코드 때문에 필요?
88코드 + 주류코드</t>
    <phoneticPr fontId="1" type="noConversion"/>
  </si>
  <si>
    <t>신규컬럼 추가 필요</t>
    <phoneticPr fontId="1" type="noConversion"/>
  </si>
  <si>
    <t>CD_USERDEF2</t>
  </si>
  <si>
    <t>품온구분</t>
  </si>
  <si>
    <t>CD_USERDEF3</t>
  </si>
  <si>
    <t>기초주문품목 여부</t>
  </si>
  <si>
    <t>CD_USERDEF8</t>
  </si>
  <si>
    <t>광고비대상여부</t>
  </si>
  <si>
    <t>CD_USERDEF11</t>
  </si>
  <si>
    <t>육계시세적용구분</t>
  </si>
  <si>
    <t>DC_RMK</t>
    <phoneticPr fontId="1" type="noConversion"/>
  </si>
  <si>
    <t>ERP용 비고와 WMS용 비고 분리</t>
  </si>
  <si>
    <t>NCHAR(1)</t>
    <phoneticPr fontId="1" type="noConversion"/>
  </si>
  <si>
    <t>기타</t>
    <phoneticPr fontId="99" type="noConversion"/>
  </si>
  <si>
    <t>인터페이스명</t>
    <phoneticPr fontId="1" type="noConversion"/>
  </si>
  <si>
    <t>거래처_등록</t>
    <phoneticPr fontId="1" type="noConversion"/>
  </si>
  <si>
    <t>인터페이스 개요</t>
    <phoneticPr fontId="1" type="noConversion"/>
  </si>
  <si>
    <t>인터페이스 상세</t>
    <phoneticPr fontId="1" type="noConversion"/>
  </si>
  <si>
    <t>1. ERP  연동 (ERP → WMS)</t>
    <phoneticPr fontId="1" type="noConversion"/>
  </si>
  <si>
    <t>Description</t>
    <phoneticPr fontId="1" type="noConversion"/>
  </si>
  <si>
    <t>WMS에서 ERP DB 접근하여 데이터 추출</t>
    <phoneticPr fontId="1" type="noConversion"/>
  </si>
  <si>
    <t>인터페이스 유형</t>
    <phoneticPr fontId="1" type="noConversion"/>
  </si>
  <si>
    <t>적용방식</t>
    <phoneticPr fontId="1" type="noConversion"/>
  </si>
  <si>
    <t>DB2DB</t>
    <phoneticPr fontId="1" type="noConversion"/>
  </si>
  <si>
    <t>발생주기</t>
    <phoneticPr fontId="1" type="noConversion"/>
  </si>
  <si>
    <t>1일 발생 건수</t>
    <phoneticPr fontId="1" type="noConversion"/>
  </si>
  <si>
    <t>SOURCE</t>
    <phoneticPr fontId="1" type="noConversion"/>
  </si>
  <si>
    <t>TARGET</t>
    <phoneticPr fontId="1" type="noConversion"/>
  </si>
  <si>
    <t>ERP</t>
    <phoneticPr fontId="1" type="noConversion"/>
  </si>
  <si>
    <t>WMS</t>
    <phoneticPr fontId="1" type="noConversion"/>
  </si>
  <si>
    <t>INPUT</t>
    <phoneticPr fontId="1" type="noConversion"/>
  </si>
  <si>
    <t>INPUT</t>
    <phoneticPr fontId="1" type="noConversion"/>
  </si>
  <si>
    <t>Table Name</t>
    <phoneticPr fontId="1" type="noConversion"/>
  </si>
  <si>
    <t>Field</t>
    <phoneticPr fontId="1" type="noConversion"/>
  </si>
  <si>
    <t>PK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</si>
  <si>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</si>
  <si>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</si>
  <si>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</si>
  <si>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Table Name</t>
    <phoneticPr fontId="1" type="noConversion"/>
  </si>
  <si>
    <t>Field</t>
    <phoneticPr fontId="1" type="noConversion"/>
  </si>
  <si>
    <t>Data Type</t>
    <phoneticPr fontId="1" type="noConversion"/>
  </si>
  <si>
    <t>비고</t>
    <phoneticPr fontId="1" type="noConversion"/>
  </si>
  <si>
    <t>seq</t>
  </si>
  <si>
    <t>MA_Z_KCFNB_PARTNER_IF</t>
  </si>
  <si>
    <t>사업장 SEQ</t>
    <phoneticPr fontId="1" type="noConversion"/>
  </si>
  <si>
    <t>sif_err_msg</t>
  </si>
  <si>
    <t>reg_id</t>
  </si>
  <si>
    <t>MDM_CONT</t>
    <phoneticPr fontId="1" type="noConversion"/>
  </si>
  <si>
    <t>reg_dt</t>
  </si>
  <si>
    <t>최초 등록일시</t>
    <phoneticPr fontId="1" type="noConversion"/>
  </si>
  <si>
    <t>MDM_CONT</t>
  </si>
  <si>
    <t>mod_id</t>
  </si>
  <si>
    <t>수정자ID</t>
    <phoneticPr fontId="1" type="noConversion"/>
  </si>
  <si>
    <t>mod_dt</t>
  </si>
  <si>
    <t>수정일</t>
    <phoneticPr fontId="1" type="noConversion"/>
  </si>
  <si>
    <t>CD_COMPANY</t>
  </si>
  <si>
    <t>회사코드</t>
  </si>
  <si>
    <t>if_cont_id</t>
    <phoneticPr fontId="1" type="noConversion"/>
  </si>
  <si>
    <t>VARCHAR(50)</t>
  </si>
  <si>
    <t>IF_거래처_ID</t>
  </si>
  <si>
    <t>CD_PARTNER</t>
    <phoneticPr fontId="1" type="noConversion"/>
  </si>
  <si>
    <t>거래처코드</t>
  </si>
  <si>
    <t>VARCHAR(30)</t>
    <phoneticPr fontId="1" type="noConversion"/>
  </si>
  <si>
    <t>거래처명</t>
  </si>
  <si>
    <t>VARCHAR(100)</t>
    <phoneticPr fontId="1" type="noConversion"/>
  </si>
  <si>
    <t>거래처타입</t>
  </si>
  <si>
    <t>거래처구분</t>
  </si>
  <si>
    <t>NM_CEO</t>
  </si>
  <si>
    <t>NVARCHAR(40)</t>
  </si>
  <si>
    <t>대표자명</t>
  </si>
  <si>
    <t>NO_COMPANY</t>
  </si>
  <si>
    <t>사업자등록번호</t>
  </si>
  <si>
    <t>TP_JOB</t>
  </si>
  <si>
    <t>cont_type</t>
    <phoneticPr fontId="1" type="noConversion"/>
  </si>
  <si>
    <t>CLS_JOB</t>
  </si>
  <si>
    <t>업종</t>
  </si>
  <si>
    <t>거래처분류</t>
    <phoneticPr fontId="1" type="noConversion"/>
  </si>
  <si>
    <t>NM_PTR</t>
  </si>
  <si>
    <t>거래처담당자</t>
  </si>
  <si>
    <t>E_MAIL</t>
  </si>
  <si>
    <t>NVARCHAR(80)</t>
  </si>
  <si>
    <t>담당자EMAIL</t>
  </si>
  <si>
    <t>NO_TEL</t>
  </si>
  <si>
    <t>전화번호</t>
  </si>
  <si>
    <t>NO_FAX</t>
  </si>
  <si>
    <t>팩스번호</t>
  </si>
  <si>
    <t>NO_POST1</t>
  </si>
  <si>
    <t>NVARCHAR(15)</t>
  </si>
  <si>
    <t>본사우편번호</t>
  </si>
  <si>
    <t>VARCHAR(10)</t>
    <phoneticPr fontId="1" type="noConversion"/>
  </si>
  <si>
    <t>DC_ADS1_H</t>
  </si>
  <si>
    <t>NVARCHAR(400)</t>
  </si>
  <si>
    <t>본사주소(기본)</t>
  </si>
  <si>
    <t>DC_ADS1_D</t>
  </si>
  <si>
    <t>본사주소(상세)</t>
  </si>
  <si>
    <t>주소_상세</t>
  </si>
  <si>
    <t>NO_TEL1</t>
  </si>
  <si>
    <t>본사전화번호</t>
  </si>
  <si>
    <t>MA_Z_KCFNB_PARTNER_IF</t>
    <phoneticPr fontId="1" type="noConversion"/>
  </si>
  <si>
    <t>NO_FAX1</t>
  </si>
  <si>
    <t>본사팩스번호</t>
  </si>
  <si>
    <t>NVARCHAR(3)</t>
    <phoneticPr fontId="1" type="noConversion"/>
  </si>
  <si>
    <t>cont_sts_cd</t>
    <phoneticPr fontId="1" type="noConversion"/>
  </si>
  <si>
    <t>폐업일자</t>
    <phoneticPr fontId="1" type="noConversion"/>
  </si>
  <si>
    <t>VARCHAR(1000)</t>
    <phoneticPr fontId="1" type="noConversion"/>
  </si>
  <si>
    <t>로열티여부</t>
    <phoneticPr fontId="1" type="noConversion"/>
  </si>
  <si>
    <t>사용여부</t>
  </si>
  <si>
    <t>MDM_BIZ_CONT</t>
    <phoneticPr fontId="1" type="noConversion"/>
  </si>
  <si>
    <t>Y</t>
    <phoneticPr fontId="1" type="noConversion"/>
  </si>
  <si>
    <t>사번체크</t>
    <phoneticPr fontId="1" type="noConversion"/>
  </si>
  <si>
    <t>인터페이스 개요</t>
    <phoneticPr fontId="1" type="noConversion"/>
  </si>
  <si>
    <t>인터페이스 상세</t>
    <phoneticPr fontId="1" type="noConversion"/>
  </si>
  <si>
    <t>1. ERP  연동 (HR → WMS)</t>
    <phoneticPr fontId="1" type="noConversion"/>
  </si>
  <si>
    <t>Description</t>
    <phoneticPr fontId="1" type="noConversion"/>
  </si>
  <si>
    <t>WMS에서 ERP DB 접근하여 데이터 추출
View로 제공</t>
    <phoneticPr fontId="1" type="noConversion"/>
  </si>
  <si>
    <t>적용방식</t>
    <phoneticPr fontId="1" type="noConversion"/>
  </si>
  <si>
    <t>발생주기</t>
    <phoneticPr fontId="1" type="noConversion"/>
  </si>
  <si>
    <t>Table Name</t>
    <phoneticPr fontId="1" type="noConversion"/>
  </si>
  <si>
    <t>Field</t>
    <phoneticPr fontId="1" type="noConversion"/>
  </si>
  <si>
    <t>Null</t>
    <phoneticPr fontId="1" type="noConversion"/>
  </si>
  <si>
    <t>Description</t>
    <phoneticPr fontId="1" type="noConversion"/>
  </si>
  <si>
    <t>V_MA_Z_KCFNB_EMP</t>
    <phoneticPr fontId="1" type="noConversion"/>
  </si>
  <si>
    <t>Y</t>
  </si>
  <si>
    <t>CD_BIZAREA</t>
  </si>
  <si>
    <t>사업장코드</t>
  </si>
  <si>
    <t>NO_EMP</t>
  </si>
  <si>
    <t>NVARCHAR(10)</t>
    <phoneticPr fontId="1" type="noConversion"/>
  </si>
  <si>
    <t>사원번호</t>
  </si>
  <si>
    <t>NM_KOR</t>
  </si>
  <si>
    <t>NVARCHAR(40)</t>
    <phoneticPr fontId="1" type="noConversion"/>
  </si>
  <si>
    <t>사원명</t>
  </si>
  <si>
    <t>CD_DEPT</t>
  </si>
  <si>
    <t>부서코드</t>
  </si>
  <si>
    <t>NM_DEPT</t>
  </si>
  <si>
    <t>부서명</t>
  </si>
  <si>
    <t>DT_RETIRE</t>
  </si>
  <si>
    <t>NVARCHAR(200)</t>
    <phoneticPr fontId="1" type="noConversion"/>
  </si>
  <si>
    <t>퇴직일자</t>
  </si>
  <si>
    <t>null or 공백이면 '재직중' / 아니면 '퇴직자'</t>
  </si>
  <si>
    <t>ID_INSERT</t>
  </si>
  <si>
    <t>입력자</t>
  </si>
  <si>
    <t>DTS_INSERT</t>
  </si>
  <si>
    <t>입력일시</t>
  </si>
  <si>
    <t>ID_UPDATE</t>
  </si>
  <si>
    <t>NVARCHAR(15)</t>
    <phoneticPr fontId="1" type="noConversion"/>
  </si>
  <si>
    <t>수정자</t>
  </si>
  <si>
    <t>DTS_UPDATE</t>
  </si>
  <si>
    <t>수정일시</t>
  </si>
  <si>
    <t>출하예정 신규 등록 및 출하예정 데이터 수정(판매출하/외주직출)</t>
    <phoneticPr fontId="1" type="noConversion"/>
  </si>
  <si>
    <t>BIGINT</t>
    <phoneticPr fontId="1" type="noConversion"/>
  </si>
  <si>
    <t>NN</t>
    <phoneticPr fontId="1" type="noConversion"/>
  </si>
  <si>
    <t>단순 숫자채번, MAX+1</t>
    <phoneticPr fontId="1" type="noConversion"/>
  </si>
  <si>
    <t>CHAR(1)</t>
    <phoneticPr fontId="1" type="noConversion"/>
  </si>
  <si>
    <t>CHAR(1)</t>
    <phoneticPr fontId="1" type="noConversion"/>
  </si>
  <si>
    <t>N</t>
    <phoneticPr fontId="1" type="noConversion"/>
  </si>
  <si>
    <t>WMS 데이터 수신 후 datetime UPDATE</t>
    <phoneticPr fontId="1" type="noConversion"/>
  </si>
  <si>
    <t>OMS 데이터 수신 후 datetime UPDATE</t>
    <phoneticPr fontId="1" type="noConversion"/>
  </si>
  <si>
    <t>사업장 SEQ</t>
    <phoneticPr fontId="1" type="noConversion"/>
  </si>
  <si>
    <t>MDM_BIZ_PROD</t>
    <phoneticPr fontId="1" type="noConversion"/>
  </si>
  <si>
    <t>INT</t>
    <phoneticPr fontId="1" type="noConversion"/>
  </si>
  <si>
    <t>sif_err_msg</t>
    <phoneticPr fontId="1" type="noConversion"/>
  </si>
  <si>
    <t>TEXT</t>
    <phoneticPr fontId="1" type="noConversion"/>
  </si>
  <si>
    <t>에러메세지</t>
    <phoneticPr fontId="1" type="noConversion"/>
  </si>
  <si>
    <t>MDM_PROD</t>
    <phoneticPr fontId="1" type="noConversion"/>
  </si>
  <si>
    <t>reg_id</t>
    <phoneticPr fontId="1" type="noConversion"/>
  </si>
  <si>
    <t>수정자ID</t>
    <phoneticPr fontId="1" type="noConversion"/>
  </si>
  <si>
    <t>데이터 최종수정자(사용자I/F 의 UserID)</t>
    <phoneticPr fontId="1" type="noConversion"/>
  </si>
  <si>
    <t>mod_dt</t>
    <phoneticPr fontId="1" type="noConversion"/>
  </si>
  <si>
    <t>데이터 최종수정일시</t>
    <phoneticPr fontId="1" type="noConversion"/>
  </si>
  <si>
    <t>CD_COMPANY</t>
    <phoneticPr fontId="1" type="noConversion"/>
  </si>
  <si>
    <t>-</t>
    <phoneticPr fontId="1" type="noConversion"/>
  </si>
  <si>
    <t>CD_PLANT</t>
    <phoneticPr fontId="1" type="noConversion"/>
  </si>
  <si>
    <t>-</t>
    <phoneticPr fontId="1" type="noConversion"/>
  </si>
  <si>
    <t>WMS 관리 X</t>
    <phoneticPr fontId="1" type="noConversion"/>
  </si>
  <si>
    <t>MDM_PROD</t>
    <phoneticPr fontId="1" type="noConversion"/>
  </si>
  <si>
    <t>if_prod_id</t>
    <phoneticPr fontId="1" type="noConversion"/>
  </si>
  <si>
    <t>IF_품목_ID</t>
    <phoneticPr fontId="1" type="noConversion"/>
  </si>
  <si>
    <t>ERP(품목코드:CD_ITEM)로 대체</t>
    <phoneticPr fontId="1" type="noConversion"/>
  </si>
  <si>
    <t>MA_Z_KCFNB_PITEM_IF</t>
    <phoneticPr fontId="1" type="noConversion"/>
  </si>
  <si>
    <t>CD_ITEM</t>
    <phoneticPr fontId="1" type="noConversion"/>
  </si>
  <si>
    <t>MDM_PROD</t>
    <phoneticPr fontId="1" type="noConversion"/>
  </si>
  <si>
    <t>prod_no</t>
    <phoneticPr fontId="1" type="noConversion"/>
  </si>
  <si>
    <t>VARCHAR(50)</t>
    <phoneticPr fontId="1" type="noConversion"/>
  </si>
  <si>
    <t>NN</t>
    <phoneticPr fontId="1" type="noConversion"/>
  </si>
  <si>
    <t>NM_ITEM</t>
    <phoneticPr fontId="1" type="noConversion"/>
  </si>
  <si>
    <t>품목명</t>
    <phoneticPr fontId="1" type="noConversion"/>
  </si>
  <si>
    <t>MDM_PROD</t>
    <phoneticPr fontId="1" type="noConversion"/>
  </si>
  <si>
    <t>prod_nm</t>
    <phoneticPr fontId="1" type="noConversion"/>
  </si>
  <si>
    <t>계정구분</t>
    <phoneticPr fontId="1" type="noConversion"/>
  </si>
  <si>
    <t>공통코드 MA_B000010
(원자재,부자재,제품,상품,소모품 등)</t>
    <phoneticPr fontId="1" type="noConversion"/>
  </si>
  <si>
    <t>WMS 관리 X</t>
    <phoneticPr fontId="1" type="noConversion"/>
  </si>
  <si>
    <t>품목타입</t>
    <phoneticPr fontId="1" type="noConversion"/>
  </si>
  <si>
    <t>공통코드 MA_B000011
일반품/SET품 구분</t>
    <phoneticPr fontId="1" type="noConversion"/>
  </si>
  <si>
    <t>WMS 관리 X</t>
    <phoneticPr fontId="1" type="noConversion"/>
  </si>
  <si>
    <t>재고단위</t>
    <phoneticPr fontId="1" type="noConversion"/>
  </si>
  <si>
    <t>공통코드 MA_B000004
ex:묶음,CAN,PAC</t>
    <phoneticPr fontId="1" type="noConversion"/>
  </si>
  <si>
    <t>unit_cd</t>
    <phoneticPr fontId="1" type="noConversion"/>
  </si>
  <si>
    <t>GRP_ITEM</t>
    <phoneticPr fontId="1" type="noConversion"/>
  </si>
  <si>
    <t>VARCHAR(50)</t>
    <phoneticPr fontId="1" type="noConversion"/>
  </si>
  <si>
    <t>VARCHAR(200)</t>
    <phoneticPr fontId="1" type="noConversion"/>
  </si>
  <si>
    <t>88코드 용도(맥주 사용중)</t>
    <phoneticPr fontId="1" type="noConversion"/>
  </si>
  <si>
    <t>prod_barcode</t>
    <phoneticPr fontId="1" type="noConversion"/>
  </si>
  <si>
    <t>품목_바코드(88코드)</t>
    <phoneticPr fontId="1" type="noConversion"/>
  </si>
  <si>
    <t>대분류</t>
    <phoneticPr fontId="1" type="noConversion"/>
  </si>
  <si>
    <t>MDM_PROD</t>
    <phoneticPr fontId="1" type="noConversion"/>
  </si>
  <si>
    <t>large_cd</t>
    <phoneticPr fontId="1" type="noConversion"/>
  </si>
  <si>
    <t>VARCHAR(50)</t>
    <phoneticPr fontId="1" type="noConversion"/>
  </si>
  <si>
    <t>중분류</t>
    <phoneticPr fontId="1" type="noConversion"/>
  </si>
  <si>
    <t>middle_cd</t>
    <phoneticPr fontId="1" type="noConversion"/>
  </si>
  <si>
    <t>small_cd</t>
    <phoneticPr fontId="1" type="noConversion"/>
  </si>
  <si>
    <t>공통코드 MA_B000046 부가세율 계산 위함</t>
    <phoneticPr fontId="1" type="noConversion"/>
  </si>
  <si>
    <t>공통코드 MA_B000040 부가세율 계산 위함</t>
    <phoneticPr fontId="1" type="noConversion"/>
  </si>
  <si>
    <t>세부규격</t>
    <phoneticPr fontId="1" type="noConversion"/>
  </si>
  <si>
    <t>prod_size_dtl</t>
    <phoneticPr fontId="1" type="noConversion"/>
  </si>
  <si>
    <t>VARCHAR(200)</t>
    <phoneticPr fontId="1" type="noConversion"/>
  </si>
  <si>
    <t>N / Y 값</t>
    <phoneticPr fontId="1" type="noConversion"/>
  </si>
  <si>
    <t>-</t>
    <phoneticPr fontId="1" type="noConversion"/>
  </si>
  <si>
    <t>OMS에서 필요함</t>
    <phoneticPr fontId="1" type="noConversion"/>
  </si>
  <si>
    <t>N / Y 값</t>
    <phoneticPr fontId="1" type="noConversion"/>
  </si>
  <si>
    <t>OMS에서 필요함</t>
    <phoneticPr fontId="1" type="noConversion"/>
  </si>
  <si>
    <t>공통코드 MA_B000120</t>
    <phoneticPr fontId="1" type="noConversion"/>
  </si>
  <si>
    <t>-</t>
    <phoneticPr fontId="1" type="noConversion"/>
  </si>
  <si>
    <t>WMS 관리 X</t>
    <phoneticPr fontId="1" type="noConversion"/>
  </si>
  <si>
    <t>erp_note</t>
    <phoneticPr fontId="1" type="noConversion"/>
  </si>
  <si>
    <t>TEXT</t>
    <phoneticPr fontId="1" type="noConversion"/>
  </si>
  <si>
    <t>ERP_비고</t>
    <phoneticPr fontId="1" type="noConversion"/>
  </si>
  <si>
    <t>YN_USE</t>
    <phoneticPr fontId="1" type="noConversion"/>
  </si>
  <si>
    <t>NCHAR(1)</t>
    <phoneticPr fontId="1" type="noConversion"/>
  </si>
  <si>
    <t>사용여부 (Y/N)</t>
    <phoneticPr fontId="1" type="noConversion"/>
  </si>
  <si>
    <t>MDM_BIZ_PROD</t>
    <phoneticPr fontId="1" type="noConversion"/>
  </si>
  <si>
    <t>use_yn</t>
    <phoneticPr fontId="1" type="noConversion"/>
  </si>
  <si>
    <t>CHAR(1)</t>
    <phoneticPr fontId="1" type="noConversion"/>
  </si>
  <si>
    <t>사용여부 (Y/N)</t>
    <phoneticPr fontId="1" type="noConversion"/>
  </si>
  <si>
    <t>기타</t>
    <phoneticPr fontId="99" type="noConversion"/>
  </si>
  <si>
    <t>BIGINT</t>
    <phoneticPr fontId="1" type="noConversion"/>
  </si>
  <si>
    <t>NN</t>
    <phoneticPr fontId="1" type="noConversion"/>
  </si>
  <si>
    <t>단순 숫자채번, MAX+1</t>
    <phoneticPr fontId="1" type="noConversion"/>
  </si>
  <si>
    <t>신규,수정/삭제 (A/D)</t>
    <phoneticPr fontId="1" type="noConversion"/>
  </si>
  <si>
    <t>CHAR(1)</t>
    <phoneticPr fontId="1" type="noConversion"/>
  </si>
  <si>
    <t>N</t>
    <phoneticPr fontId="1" type="noConversion"/>
  </si>
  <si>
    <t>DATETIME</t>
    <phoneticPr fontId="1" type="noConversion"/>
  </si>
  <si>
    <t>수신여부 (Y/N/E)</t>
    <phoneticPr fontId="1" type="noConversion"/>
  </si>
  <si>
    <t>WMS 미수신 = N
WMS 수신 = Y
에러 = E</t>
    <phoneticPr fontId="1" type="noConversion"/>
  </si>
  <si>
    <t>MA_Z_KCFNB_PARTNER_IF</t>
    <phoneticPr fontId="1" type="noConversion"/>
  </si>
  <si>
    <t>수신일시</t>
    <phoneticPr fontId="1" type="noConversion"/>
  </si>
  <si>
    <t>INT</t>
    <phoneticPr fontId="1" type="noConversion"/>
  </si>
  <si>
    <t>1: 교촌에프앤비</t>
    <phoneticPr fontId="1" type="noConversion"/>
  </si>
  <si>
    <t>VARCHAR(20)</t>
    <phoneticPr fontId="1" type="noConversion"/>
  </si>
  <si>
    <t>등록자ID</t>
    <phoneticPr fontId="1" type="noConversion"/>
  </si>
  <si>
    <t>최초 등록자(사용자I/F 의 UserID)</t>
    <phoneticPr fontId="1" type="noConversion"/>
  </si>
  <si>
    <t>DATETIME</t>
    <phoneticPr fontId="1" type="noConversion"/>
  </si>
  <si>
    <t>최초 등록일시</t>
    <phoneticPr fontId="1" type="noConversion"/>
  </si>
  <si>
    <t>VARCHAR(20)</t>
    <phoneticPr fontId="1" type="noConversion"/>
  </si>
  <si>
    <t>수정자ID</t>
    <phoneticPr fontId="1" type="noConversion"/>
  </si>
  <si>
    <t>데이터 최종수정자(사용자I/F 의 UserID)</t>
    <phoneticPr fontId="1" type="noConversion"/>
  </si>
  <si>
    <t>수정일</t>
    <phoneticPr fontId="1" type="noConversion"/>
  </si>
  <si>
    <t>데이터 최종수정일시</t>
    <phoneticPr fontId="1" type="noConversion"/>
  </si>
  <si>
    <t>mod_dt</t>
    <phoneticPr fontId="1" type="noConversion"/>
  </si>
  <si>
    <t>MDM_CONT</t>
    <phoneticPr fontId="1" type="noConversion"/>
  </si>
  <si>
    <t>PK</t>
    <phoneticPr fontId="1" type="noConversion"/>
  </si>
  <si>
    <t>ERP(거래처코드:CD_PARTNER)로 대체</t>
    <phoneticPr fontId="1" type="noConversion"/>
  </si>
  <si>
    <t>CD_PARTNER</t>
    <phoneticPr fontId="1" type="noConversion"/>
  </si>
  <si>
    <t>MDM_CONT</t>
    <phoneticPr fontId="1" type="noConversion"/>
  </si>
  <si>
    <t>cont_no</t>
    <phoneticPr fontId="1" type="noConversion"/>
  </si>
  <si>
    <t>LN_PARTNER</t>
    <phoneticPr fontId="1" type="noConversion"/>
  </si>
  <si>
    <t>SN_PARTNER</t>
    <phoneticPr fontId="1" type="noConversion"/>
  </si>
  <si>
    <t>거래처명(약칭)</t>
    <phoneticPr fontId="1" type="noConversion"/>
  </si>
  <si>
    <t>cont_nm_short</t>
    <phoneticPr fontId="1" type="noConversion"/>
  </si>
  <si>
    <t>거래처_명_약칭</t>
    <phoneticPr fontId="1" type="noConversion"/>
  </si>
  <si>
    <t>TP_PARTNER</t>
    <phoneticPr fontId="1" type="noConversion"/>
  </si>
  <si>
    <t>공통코드 MA_B000002
내부, 외부, 직영점, 가맹점, 직영지사 등</t>
    <phoneticPr fontId="1" type="noConversion"/>
  </si>
  <si>
    <t>MDM_CONT</t>
    <phoneticPr fontId="1" type="noConversion"/>
  </si>
  <si>
    <t>ceo_nm</t>
    <phoneticPr fontId="1" type="noConversion"/>
  </si>
  <si>
    <t>VARCHAR(100)</t>
    <phoneticPr fontId="1" type="noConversion"/>
  </si>
  <si>
    <t>biz_no</t>
    <phoneticPr fontId="1" type="noConversion"/>
  </si>
  <si>
    <t>명칭</t>
    <phoneticPr fontId="1" type="noConversion"/>
  </si>
  <si>
    <t>VARCHAR(100)</t>
    <phoneticPr fontId="1" type="noConversion"/>
  </si>
  <si>
    <t>cont_item</t>
    <phoneticPr fontId="1" type="noConversion"/>
  </si>
  <si>
    <t>VARCHAR(100)</t>
    <phoneticPr fontId="1" type="noConversion"/>
  </si>
  <si>
    <t>manager_nm</t>
    <phoneticPr fontId="1" type="noConversion"/>
  </si>
  <si>
    <t>담당자</t>
    <phoneticPr fontId="1" type="noConversion"/>
  </si>
  <si>
    <t>email</t>
    <phoneticPr fontId="1" type="noConversion"/>
  </si>
  <si>
    <t>WMS 관리 X</t>
    <phoneticPr fontId="1" type="noConversion"/>
  </si>
  <si>
    <t>MDM_CONT</t>
    <phoneticPr fontId="1" type="noConversion"/>
  </si>
  <si>
    <t>post_no</t>
    <phoneticPr fontId="1" type="noConversion"/>
  </si>
  <si>
    <t>addr</t>
    <phoneticPr fontId="1" type="noConversion"/>
  </si>
  <si>
    <t>addr_dtl</t>
    <phoneticPr fontId="1" type="noConversion"/>
  </si>
  <si>
    <t>VARCHAR(20)</t>
    <phoneticPr fontId="1" type="noConversion"/>
  </si>
  <si>
    <t>MA_Z_KCFNB_PARTNER_IF</t>
    <phoneticPr fontId="1" type="noConversion"/>
  </si>
  <si>
    <t>fax</t>
    <phoneticPr fontId="1" type="noConversion"/>
  </si>
  <si>
    <t>VARCHAR(20)</t>
    <phoneticPr fontId="1" type="noConversion"/>
  </si>
  <si>
    <t>CD_CON</t>
    <phoneticPr fontId="1" type="noConversion"/>
  </si>
  <si>
    <t>휴폐업구분</t>
    <phoneticPr fontId="1" type="noConversion"/>
  </si>
  <si>
    <t>정상 : 001 / 휴업 : 002 / 폐업 : 003</t>
    <phoneticPr fontId="1" type="noConversion"/>
  </si>
  <si>
    <t>VARCHAR(3)</t>
    <phoneticPr fontId="1" type="noConversion"/>
  </si>
  <si>
    <t>휴폐업구분</t>
    <phoneticPr fontId="1" type="noConversion"/>
  </si>
  <si>
    <t>신규컬럼 추가 필요</t>
    <phoneticPr fontId="1" type="noConversion"/>
  </si>
  <si>
    <t>DT_CLOSE</t>
    <phoneticPr fontId="1" type="noConversion"/>
  </si>
  <si>
    <t>NVARCHAR(8)</t>
    <phoneticPr fontId="1" type="noConversion"/>
  </si>
  <si>
    <t>폐업일자</t>
    <phoneticPr fontId="1" type="noConversion"/>
  </si>
  <si>
    <t>cont_close_ymd</t>
    <phoneticPr fontId="1" type="noConversion"/>
  </si>
  <si>
    <t>VARCHAR(8)</t>
    <phoneticPr fontId="1" type="noConversion"/>
  </si>
  <si>
    <t>신규컬럼 추가 필요</t>
    <phoneticPr fontId="1" type="noConversion"/>
  </si>
  <si>
    <t>NM_TEXT</t>
    <phoneticPr fontId="1" type="noConversion"/>
  </si>
  <si>
    <t>NVARCHAR(500)</t>
    <phoneticPr fontId="1" type="noConversion"/>
  </si>
  <si>
    <t>VARCHAR(1000)</t>
    <phoneticPr fontId="1" type="noConversion"/>
  </si>
  <si>
    <t>CREDIT_HOLD</t>
    <phoneticPr fontId="1" type="noConversion"/>
  </si>
  <si>
    <t>NVARCHAR(1)</t>
    <phoneticPr fontId="1" type="noConversion"/>
  </si>
  <si>
    <t>USE_YN</t>
    <phoneticPr fontId="1" type="noConversion"/>
  </si>
  <si>
    <t>NCHAR(1)</t>
    <phoneticPr fontId="1" type="noConversion"/>
  </si>
  <si>
    <t>MDM_BIZ_CONT</t>
    <phoneticPr fontId="1" type="noConversion"/>
  </si>
  <si>
    <t>use_yn</t>
    <phoneticPr fontId="1" type="noConversion"/>
  </si>
  <si>
    <t>CHAR(1)</t>
    <phoneticPr fontId="1" type="noConversion"/>
  </si>
  <si>
    <t>Y</t>
    <phoneticPr fontId="1" type="noConversion"/>
  </si>
  <si>
    <t>기타</t>
    <phoneticPr fontId="99" type="noConversion"/>
  </si>
  <si>
    <t>NVARCHAR(7)</t>
    <phoneticPr fontId="1" type="noConversion"/>
  </si>
  <si>
    <t>NVARCHAR(7)</t>
    <phoneticPr fontId="1" type="noConversion"/>
  </si>
  <si>
    <t>NVARCHAR(40)</t>
    <phoneticPr fontId="1" type="noConversion"/>
  </si>
  <si>
    <t>NVARCHAR(12)</t>
    <phoneticPr fontId="1" type="noConversion"/>
  </si>
  <si>
    <t>NVARCHAR(50)</t>
    <phoneticPr fontId="1" type="noConversion"/>
  </si>
  <si>
    <t>V_MA_Z_KCFNB_EMP</t>
    <phoneticPr fontId="1" type="noConversion"/>
  </si>
  <si>
    <t>NVARCHAR(15)</t>
    <phoneticPr fontId="1" type="noConversion"/>
  </si>
  <si>
    <t>cont_close_ymd</t>
    <phoneticPr fontId="1" type="noConversion"/>
  </si>
  <si>
    <t>NVARCHAR(14)</t>
    <phoneticPr fontId="1" type="noConversion"/>
  </si>
  <si>
    <t>NVARCHAR(14)</t>
    <phoneticPr fontId="1" type="noConversion"/>
  </si>
  <si>
    <t>기타</t>
    <phoneticPr fontId="99" type="noConversion"/>
  </si>
  <si>
    <t>인터페이스명</t>
    <phoneticPr fontId="1" type="noConversion"/>
  </si>
  <si>
    <t>입고예정_등록</t>
    <phoneticPr fontId="1" type="noConversion"/>
  </si>
  <si>
    <t>인터페이스 개요</t>
    <phoneticPr fontId="1" type="noConversion"/>
  </si>
  <si>
    <t>1. ERP  연동 (ERP → WMS)</t>
    <phoneticPr fontId="1" type="noConversion"/>
  </si>
  <si>
    <t>Description</t>
    <phoneticPr fontId="1" type="noConversion"/>
  </si>
  <si>
    <t>WMS에서 ERP DB 접근하여 데이터 추출
구매입고, 외주입고 시 IF</t>
    <phoneticPr fontId="1" type="noConversion"/>
  </si>
  <si>
    <t>인터페이스 유형</t>
    <phoneticPr fontId="1" type="noConversion"/>
  </si>
  <si>
    <t>적용방식</t>
    <phoneticPr fontId="1" type="noConversion"/>
  </si>
  <si>
    <t>1일 발생 건수</t>
    <phoneticPr fontId="1" type="noConversion"/>
  </si>
  <si>
    <t>SOURCE</t>
    <phoneticPr fontId="1" type="noConversion"/>
  </si>
  <si>
    <t>ERP</t>
    <phoneticPr fontId="1" type="noConversion"/>
  </si>
  <si>
    <t>시스템</t>
    <phoneticPr fontId="1" type="noConversion"/>
  </si>
  <si>
    <t>INPUT</t>
    <phoneticPr fontId="1" type="noConversion"/>
  </si>
  <si>
    <t>Table Name</t>
    <phoneticPr fontId="1" type="noConversion"/>
  </si>
  <si>
    <t>Field</t>
    <phoneticPr fontId="1" type="noConversion"/>
  </si>
  <si>
    <t>Data Type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</si>
  <si>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</si>
  <si>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</si>
  <si>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</si>
  <si>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Data Type</t>
    <phoneticPr fontId="1" type="noConversion"/>
  </si>
  <si>
    <t>비고</t>
    <phoneticPr fontId="1" type="noConversion"/>
  </si>
  <si>
    <t>PU_Z_KCFNB_RCV_IF</t>
    <phoneticPr fontId="1" type="noConversion"/>
  </si>
  <si>
    <t>NN</t>
    <phoneticPr fontId="1" type="noConversion"/>
  </si>
  <si>
    <t>생성순번(IDENTITY)</t>
    <phoneticPr fontId="1" type="noConversion"/>
  </si>
  <si>
    <t>단순 숫자채번, MAX+1</t>
    <phoneticPr fontId="1" type="noConversion"/>
  </si>
  <si>
    <t>PU_Z_KCFNB_RCV_IF</t>
  </si>
  <si>
    <t>A : 발주/의뢰 데이터 최초 INSERT 및 상태값 변경 시
D : 발주/의뢰 삭제 또는 상태값 종결 시(PU_POL.FG_POST = 'C' AND PU_POL.QT_RCV = 0)</t>
    <phoneticPr fontId="1" type="noConversion"/>
  </si>
  <si>
    <t>DATETIME</t>
    <phoneticPr fontId="1" type="noConversion"/>
  </si>
  <si>
    <t>INSERT 시점의 SYSDATE</t>
    <phoneticPr fontId="1" type="noConversion"/>
  </si>
  <si>
    <t>N</t>
    <phoneticPr fontId="1" type="noConversion"/>
  </si>
  <si>
    <t>수신여부 (Y/N)</t>
  </si>
  <si>
    <t>RecvYn = 'N' 
1. ERP INSERT 시, Default 값
2. ERP 발주관리 메뉴에서 '종결처리' 가능
종결 시, AUDType ='D' 로 신규 SEQ INSERT
RecvYn = 'Y'
1. WMS 수신 시, UPDATE 예정
2. ERP 발주관리 메뉴에서 '종결처리' 가능
종결 시, AUDType ='D' 로 신규 SEQ INSERT
RecvYn = 'P'
1. WMS 내 입고중일 시, UPDATE 예정
2. ERP 발주관리 메뉴에서 종결처리, 확정취소 불가
RecvYn = 'E'
1. WMS에서 데이터 취합 중 에러발생 시 UPDATE 예정</t>
    <phoneticPr fontId="1" type="noConversion"/>
  </si>
  <si>
    <t>수신일시</t>
  </si>
  <si>
    <t>WMS 데이터 수신 후 getdate()로 업데이트 처리</t>
    <phoneticPr fontId="1" type="noConversion"/>
  </si>
  <si>
    <t>사업장 SEQ</t>
    <phoneticPr fontId="1" type="noConversion"/>
  </si>
  <si>
    <t>1: 교촌에프앤비</t>
    <phoneticPr fontId="1" type="noConversion"/>
  </si>
  <si>
    <t>WMS_INWH</t>
    <phoneticPr fontId="1" type="noConversion"/>
  </si>
  <si>
    <t>biz_seq</t>
    <phoneticPr fontId="1" type="noConversion"/>
  </si>
  <si>
    <t>INT</t>
    <phoneticPr fontId="1" type="noConversion"/>
  </si>
  <si>
    <t>에러메세지</t>
    <phoneticPr fontId="1" type="noConversion"/>
  </si>
  <si>
    <t>등록자ID</t>
    <phoneticPr fontId="1" type="noConversion"/>
  </si>
  <si>
    <t>최초 등록자(사용자I/F 의 UserID)</t>
    <phoneticPr fontId="1" type="noConversion"/>
  </si>
  <si>
    <t>WMS_INWH / WMS_INWH_PROD</t>
    <phoneticPr fontId="1" type="noConversion"/>
  </si>
  <si>
    <t>최초 등록일시</t>
    <phoneticPr fontId="1" type="noConversion"/>
  </si>
  <si>
    <t>WMS_INWH / WMS_INWH_PROD</t>
    <phoneticPr fontId="1" type="noConversion"/>
  </si>
  <si>
    <t>reg_dt</t>
    <phoneticPr fontId="1" type="noConversion"/>
  </si>
  <si>
    <t>수정자ID</t>
    <phoneticPr fontId="1" type="noConversion"/>
  </si>
  <si>
    <t>데이터 최종수정자(사용자I/F 의 UserID)</t>
    <phoneticPr fontId="1" type="noConversion"/>
  </si>
  <si>
    <t>WMS_INWH / WMS_INWH_PROD</t>
    <phoneticPr fontId="1" type="noConversion"/>
  </si>
  <si>
    <t>mod_id</t>
    <phoneticPr fontId="1" type="noConversion"/>
  </si>
  <si>
    <t>수정일</t>
    <phoneticPr fontId="1" type="noConversion"/>
  </si>
  <si>
    <t>데이터 최종수정일시</t>
    <phoneticPr fontId="1" type="noConversion"/>
  </si>
  <si>
    <t>WMS_INWH / WMS_INWH_PROD</t>
    <phoneticPr fontId="1" type="noConversion"/>
  </si>
  <si>
    <t>if_Key</t>
    <phoneticPr fontId="1" type="noConversion"/>
  </si>
  <si>
    <t>VARCHAR(50)</t>
    <phoneticPr fontId="1" type="noConversion"/>
  </si>
  <si>
    <t>PK</t>
    <phoneticPr fontId="1" type="noConversion"/>
  </si>
  <si>
    <t>IF 키</t>
    <phoneticPr fontId="1" type="noConversion"/>
  </si>
  <si>
    <t>ERP 입고의뢰번호</t>
    <phoneticPr fontId="1" type="noConversion"/>
  </si>
  <si>
    <t>WMS_INWH_PROD</t>
    <phoneticPr fontId="1" type="noConversion"/>
  </si>
  <si>
    <t>if_idx</t>
    <phoneticPr fontId="1" type="noConversion"/>
  </si>
  <si>
    <t>I/F 서브키</t>
    <phoneticPr fontId="1" type="noConversion"/>
  </si>
  <si>
    <t>ERP 입고항번
타입변경 필요(int -&gt; varchar)</t>
    <phoneticPr fontId="1" type="noConversion"/>
  </si>
  <si>
    <t>inwh_type_cd</t>
    <phoneticPr fontId="1" type="noConversion"/>
  </si>
  <si>
    <r>
      <t xml:space="preserve">IW01:구매입고(자사센터 입고)
IW03:외주입고(외주센터입고)
</t>
    </r>
    <r>
      <rPr>
        <sz val="9"/>
        <color rgb="FFFF0000"/>
        <rFont val="맑은 고딕"/>
        <family val="3"/>
        <charset val="129"/>
        <scheme val="minor"/>
      </rPr>
      <t>ERP입고창고(CD_SL)로 요청유형(inwh_type_cd) 책정하여 삽입</t>
    </r>
    <phoneticPr fontId="1" type="noConversion"/>
  </si>
  <si>
    <t>NVARCHAR(7)</t>
    <phoneticPr fontId="1" type="noConversion"/>
  </si>
  <si>
    <t>회사코드</t>
    <phoneticPr fontId="1" type="noConversion"/>
  </si>
  <si>
    <t>입고 마감 시 ERP 전달용</t>
    <phoneticPr fontId="1" type="noConversion"/>
  </si>
  <si>
    <t>WMS_INWH</t>
    <phoneticPr fontId="1" type="noConversion"/>
  </si>
  <si>
    <t>erp_company_cd</t>
    <phoneticPr fontId="1" type="noConversion"/>
  </si>
  <si>
    <t>VARCHAR(7)</t>
    <phoneticPr fontId="1" type="noConversion"/>
  </si>
  <si>
    <t>ERP 회사코드</t>
    <phoneticPr fontId="1" type="noConversion"/>
  </si>
  <si>
    <t>신규컬럼 추가</t>
    <phoneticPr fontId="1" type="noConversion"/>
  </si>
  <si>
    <t>공장코드</t>
    <phoneticPr fontId="1" type="noConversion"/>
  </si>
  <si>
    <t>입고 마감 시 ERP 전달용</t>
    <phoneticPr fontId="1" type="noConversion"/>
  </si>
  <si>
    <t>WMS_INWH</t>
    <phoneticPr fontId="1" type="noConversion"/>
  </si>
  <si>
    <t>erp_plant_cd</t>
    <phoneticPr fontId="1" type="noConversion"/>
  </si>
  <si>
    <t>ERP 공장코드</t>
    <phoneticPr fontId="1" type="noConversion"/>
  </si>
  <si>
    <t>신규컬럼 추가</t>
    <phoneticPr fontId="1" type="noConversion"/>
  </si>
  <si>
    <t>NO_RCV</t>
    <phoneticPr fontId="1" type="noConversion"/>
  </si>
  <si>
    <t>NVARCHAR(20)</t>
    <phoneticPr fontId="1" type="noConversion"/>
  </si>
  <si>
    <t>입고의뢰번호</t>
    <phoneticPr fontId="1" type="noConversion"/>
  </si>
  <si>
    <t>req_no</t>
    <phoneticPr fontId="1" type="noConversion"/>
  </si>
  <si>
    <t>VARCHAR(30)</t>
    <phoneticPr fontId="1" type="noConversion"/>
  </si>
  <si>
    <t>문서_번호(타시스템)</t>
    <phoneticPr fontId="1" type="noConversion"/>
  </si>
  <si>
    <t>NO_LINE</t>
    <phoneticPr fontId="1" type="noConversion"/>
  </si>
  <si>
    <t>NUMERIC(5,0)</t>
    <phoneticPr fontId="1" type="noConversion"/>
  </si>
  <si>
    <t>입고의뢰항번</t>
    <phoneticPr fontId="1" type="noConversion"/>
  </si>
  <si>
    <t>WMS_INWH_PROD</t>
    <phoneticPr fontId="1" type="noConversion"/>
  </si>
  <si>
    <t>erp_line_no</t>
    <phoneticPr fontId="1" type="noConversion"/>
  </si>
  <si>
    <t>ERP 입고의뢰항번</t>
    <phoneticPr fontId="1" type="noConversion"/>
  </si>
  <si>
    <t>D1에 신규컬럼 추가 필요</t>
    <phoneticPr fontId="1" type="noConversion"/>
  </si>
  <si>
    <t>NO_PO</t>
    <phoneticPr fontId="1" type="noConversion"/>
  </si>
  <si>
    <t>NVARCHAR(20)</t>
    <phoneticPr fontId="1" type="noConversion"/>
  </si>
  <si>
    <t>발주번호</t>
    <phoneticPr fontId="1" type="noConversion"/>
  </si>
  <si>
    <t>입고 마감 시 ERP 전달용</t>
    <phoneticPr fontId="1" type="noConversion"/>
  </si>
  <si>
    <t>erp_po_no</t>
    <phoneticPr fontId="1" type="noConversion"/>
  </si>
  <si>
    <t>ERP 발주번호</t>
    <phoneticPr fontId="1" type="noConversion"/>
  </si>
  <si>
    <t>D1에 신규컬럼 추가 필요</t>
    <phoneticPr fontId="1" type="noConversion"/>
  </si>
  <si>
    <t>NO_POLINE</t>
    <phoneticPr fontId="1" type="noConversion"/>
  </si>
  <si>
    <t>NUMERIC(5,0)</t>
    <phoneticPr fontId="1" type="noConversion"/>
  </si>
  <si>
    <t>발주항번</t>
    <phoneticPr fontId="1" type="noConversion"/>
  </si>
  <si>
    <t>입고 마감 시 ERP 전달용</t>
    <phoneticPr fontId="1" type="noConversion"/>
  </si>
  <si>
    <t>erp_poline_no</t>
    <phoneticPr fontId="1" type="noConversion"/>
  </si>
  <si>
    <t>ERP 발주항번</t>
    <phoneticPr fontId="1" type="noConversion"/>
  </si>
  <si>
    <t>D1에 신규컬럼 추가 필요</t>
    <phoneticPr fontId="1" type="noConversion"/>
  </si>
  <si>
    <t>WMS_INWH</t>
    <phoneticPr fontId="1" type="noConversion"/>
  </si>
  <si>
    <t>center_seq</t>
    <phoneticPr fontId="1" type="noConversion"/>
  </si>
  <si>
    <t>센터SEQ</t>
  </si>
  <si>
    <t>ERP입고창고 기준으로 센터정보 셋팅 
"센터정보" 시트 참조</t>
    <phoneticPr fontId="1" type="noConversion"/>
  </si>
  <si>
    <t>CD_ITEM</t>
    <phoneticPr fontId="1" type="noConversion"/>
  </si>
  <si>
    <t>NVARCHAR(20)</t>
    <phoneticPr fontId="1" type="noConversion"/>
  </si>
  <si>
    <t>NN</t>
    <phoneticPr fontId="1" type="noConversion"/>
  </si>
  <si>
    <t>품목코드</t>
    <phoneticPr fontId="1" type="noConversion"/>
  </si>
  <si>
    <t>prod_seq</t>
    <phoneticPr fontId="1" type="noConversion"/>
  </si>
  <si>
    <t>품목ID =&gt; 품목SEQ 변환 후 저장</t>
    <phoneticPr fontId="1" type="noConversion"/>
  </si>
  <si>
    <t>DT_REQ</t>
    <phoneticPr fontId="1" type="noConversion"/>
  </si>
  <si>
    <t>NVARCHAR(8)</t>
    <phoneticPr fontId="1" type="noConversion"/>
  </si>
  <si>
    <t>입고의뢰일</t>
    <phoneticPr fontId="1" type="noConversion"/>
  </si>
  <si>
    <t>WMS 관리 X</t>
    <phoneticPr fontId="1" type="noConversion"/>
  </si>
  <si>
    <t>DT_LIMIT</t>
    <phoneticPr fontId="1" type="noConversion"/>
  </si>
  <si>
    <t>NVARCHAR(8)</t>
    <phoneticPr fontId="1" type="noConversion"/>
  </si>
  <si>
    <t>납기일</t>
    <phoneticPr fontId="1" type="noConversion"/>
  </si>
  <si>
    <t>WMS_INWH</t>
    <phoneticPr fontId="1" type="noConversion"/>
  </si>
  <si>
    <t>req_ymd</t>
    <phoneticPr fontId="1" type="noConversion"/>
  </si>
  <si>
    <t>VARCHAR(8)</t>
    <phoneticPr fontId="1" type="noConversion"/>
  </si>
  <si>
    <t>예정연월일</t>
  </si>
  <si>
    <t>QT_REQ_MM</t>
    <phoneticPr fontId="1" type="noConversion"/>
  </si>
  <si>
    <t>NUMERIC(17,4)</t>
    <phoneticPr fontId="1" type="noConversion"/>
  </si>
  <si>
    <t>입고의뢰수량</t>
    <phoneticPr fontId="1" type="noConversion"/>
  </si>
  <si>
    <t>WMS_INWH_PROD</t>
    <phoneticPr fontId="1" type="noConversion"/>
  </si>
  <si>
    <t>req_qty</t>
    <phoneticPr fontId="1" type="noConversion"/>
  </si>
  <si>
    <t>YN_RETURN</t>
    <phoneticPr fontId="1" type="noConversion"/>
  </si>
  <si>
    <t>NCHAR(1)</t>
    <phoneticPr fontId="1" type="noConversion"/>
  </si>
  <si>
    <t>반품여부</t>
  </si>
  <si>
    <t>입고 마감 시 ERP 전달
해당 테이블에서는 Default 값만 INSERT
'Y'의 케이스는 예외출고요청에 존재</t>
    <phoneticPr fontId="1" type="noConversion"/>
  </si>
  <si>
    <t>erp_return_yn</t>
    <phoneticPr fontId="1" type="noConversion"/>
  </si>
  <si>
    <t>CHAR(1)</t>
    <phoneticPr fontId="1" type="noConversion"/>
  </si>
  <si>
    <t>ERP 반품여부</t>
    <phoneticPr fontId="1" type="noConversion"/>
  </si>
  <si>
    <t>신규컬럼 추가</t>
    <phoneticPr fontId="1" type="noConversion"/>
  </si>
  <si>
    <t>NO_EMP</t>
    <phoneticPr fontId="1" type="noConversion"/>
  </si>
  <si>
    <t>입고의뢰담당자_사번</t>
    <phoneticPr fontId="1" type="noConversion"/>
  </si>
  <si>
    <t>NM_KOR</t>
    <phoneticPr fontId="1" type="noConversion"/>
  </si>
  <si>
    <t>입고의뢰담당자_명</t>
    <phoneticPr fontId="1" type="noConversion"/>
  </si>
  <si>
    <t>req_user_nm</t>
    <phoneticPr fontId="1" type="noConversion"/>
  </si>
  <si>
    <t>요청_사용자_명(입고)</t>
  </si>
  <si>
    <t>CD_TPPO</t>
    <phoneticPr fontId="1" type="noConversion"/>
  </si>
  <si>
    <t>NVARCHAR(7)</t>
    <phoneticPr fontId="1" type="noConversion"/>
  </si>
  <si>
    <t>발주유형</t>
    <phoneticPr fontId="1" type="noConversion"/>
  </si>
  <si>
    <t>erp_tppo_cd</t>
    <phoneticPr fontId="1" type="noConversion"/>
  </si>
  <si>
    <t>VARCHAR(7)</t>
    <phoneticPr fontId="1" type="noConversion"/>
  </si>
  <si>
    <t>ERP 발주유형</t>
    <phoneticPr fontId="1" type="noConversion"/>
  </si>
  <si>
    <t>CD_QTIOTP</t>
    <phoneticPr fontId="1" type="noConversion"/>
  </si>
  <si>
    <t>NCHAR(3)</t>
    <phoneticPr fontId="1" type="noConversion"/>
  </si>
  <si>
    <t>수불유형</t>
    <phoneticPr fontId="1" type="noConversion"/>
  </si>
  <si>
    <t>erp_qtiotp_cd</t>
    <phoneticPr fontId="1" type="noConversion"/>
  </si>
  <si>
    <t>VARCHAR(3)</t>
    <phoneticPr fontId="1" type="noConversion"/>
  </si>
  <si>
    <t>ERP 수불유형</t>
    <phoneticPr fontId="1" type="noConversion"/>
  </si>
  <si>
    <t>FG_IO</t>
    <phoneticPr fontId="1" type="noConversion"/>
  </si>
  <si>
    <t>NCHAR(3)</t>
    <phoneticPr fontId="1" type="noConversion"/>
  </si>
  <si>
    <t>수불구분</t>
    <phoneticPr fontId="1" type="noConversion"/>
  </si>
  <si>
    <t>입고 마감 시 ERP 전달용</t>
    <phoneticPr fontId="1" type="noConversion"/>
  </si>
  <si>
    <t>erp_io_fg</t>
    <phoneticPr fontId="1" type="noConversion"/>
  </si>
  <si>
    <t>ERP 수불구분</t>
    <phoneticPr fontId="1" type="noConversion"/>
  </si>
  <si>
    <t>신규컬럼 추가 필요</t>
    <phoneticPr fontId="1" type="noConversion"/>
  </si>
  <si>
    <t>CD_SL</t>
    <phoneticPr fontId="1" type="noConversion"/>
  </si>
  <si>
    <t>입고창고</t>
    <phoneticPr fontId="1" type="noConversion"/>
  </si>
  <si>
    <t>ERP 입고창고
입고창고, 누락 시 E로 리턴, ERP 창고입력 후 재저장</t>
    <phoneticPr fontId="1" type="noConversion"/>
  </si>
  <si>
    <t>erp_sl_cd</t>
    <phoneticPr fontId="1" type="noConversion"/>
  </si>
  <si>
    <t>VARCHAR(7)</t>
    <phoneticPr fontId="1" type="noConversion"/>
  </si>
  <si>
    <t>ERP 입고창고</t>
    <phoneticPr fontId="1" type="noConversion"/>
  </si>
  <si>
    <t>CD_PARTNER</t>
    <phoneticPr fontId="1" type="noConversion"/>
  </si>
  <si>
    <t>거래처코드</t>
    <phoneticPr fontId="1" type="noConversion"/>
  </si>
  <si>
    <t>매입처</t>
  </si>
  <si>
    <t>WMS_INWH</t>
    <phoneticPr fontId="1" type="noConversion"/>
  </si>
  <si>
    <t>cont_seq</t>
    <phoneticPr fontId="1" type="noConversion"/>
  </si>
  <si>
    <t>IF_거래처_ID</t>
    <phoneticPr fontId="1" type="noConversion"/>
  </si>
  <si>
    <t>거래처ID =&gt; 거래처SEQ 변환 후 저장</t>
    <phoneticPr fontId="1" type="noConversion"/>
  </si>
  <si>
    <t>DC1</t>
    <phoneticPr fontId="1" type="noConversion"/>
  </si>
  <si>
    <t>NVARCHAR(200)</t>
    <phoneticPr fontId="1" type="noConversion"/>
  </si>
  <si>
    <t>발주비고</t>
    <phoneticPr fontId="1" type="noConversion"/>
  </si>
  <si>
    <t>입고 마감 시 ERP 전달용
입고의뢰 비고</t>
    <phoneticPr fontId="1" type="noConversion"/>
  </si>
  <si>
    <t>VARCHAR(1000)</t>
    <phoneticPr fontId="1" type="noConversion"/>
  </si>
  <si>
    <t>CD_EXCH</t>
    <phoneticPr fontId="1" type="noConversion"/>
  </si>
  <si>
    <t>NVARCHAR(3)</t>
    <phoneticPr fontId="1" type="noConversion"/>
  </si>
  <si>
    <t>000</t>
    <phoneticPr fontId="1" type="noConversion"/>
  </si>
  <si>
    <t>환종</t>
    <phoneticPr fontId="1" type="noConversion"/>
  </si>
  <si>
    <t>입고 마감 시 ERP 전달</t>
    <phoneticPr fontId="1" type="noConversion"/>
  </si>
  <si>
    <t>WMS_INWH_PROD</t>
  </si>
  <si>
    <t>erp_exch_cd</t>
    <phoneticPr fontId="1" type="noConversion"/>
  </si>
  <si>
    <t>VARCHAR(3)</t>
    <phoneticPr fontId="1" type="noConversion"/>
  </si>
  <si>
    <t>ERP 환종</t>
    <phoneticPr fontId="1" type="noConversion"/>
  </si>
  <si>
    <t>RT_EXCH</t>
    <phoneticPr fontId="1" type="noConversion"/>
  </si>
  <si>
    <t>NUMERIC(11,4)</t>
    <phoneticPr fontId="1" type="noConversion"/>
  </si>
  <si>
    <t>1.0000</t>
    <phoneticPr fontId="1" type="noConversion"/>
  </si>
  <si>
    <t>환율</t>
    <phoneticPr fontId="1" type="noConversion"/>
  </si>
  <si>
    <t>입고 마감 시 ERP 전달</t>
  </si>
  <si>
    <t>erp_exch_rt</t>
    <phoneticPr fontId="1" type="noConversion"/>
  </si>
  <si>
    <t>ERP 환율</t>
    <phoneticPr fontId="1" type="noConversion"/>
  </si>
  <si>
    <t>UM_EX</t>
  </si>
  <si>
    <t>NUMERIC(19, 6)</t>
  </si>
  <si>
    <t/>
  </si>
  <si>
    <t>단가</t>
  </si>
  <si>
    <t>erp_ex_um</t>
    <phoneticPr fontId="1" type="noConversion"/>
  </si>
  <si>
    <t>decimal(19,6)</t>
    <phoneticPr fontId="1" type="noConversion"/>
  </si>
  <si>
    <t>ERP 단가</t>
    <phoneticPr fontId="1" type="noConversion"/>
  </si>
  <si>
    <t>AM_EX</t>
  </si>
  <si>
    <t>금액</t>
  </si>
  <si>
    <t>입고 마감 시 ERP 전달
수불수량*단가</t>
    <phoneticPr fontId="1" type="noConversion"/>
  </si>
  <si>
    <t>erp_ex_am</t>
    <phoneticPr fontId="1" type="noConversion"/>
  </si>
  <si>
    <t>decimal(19,6)</t>
    <phoneticPr fontId="1" type="noConversion"/>
  </si>
  <si>
    <t>ERP 금액</t>
    <phoneticPr fontId="1" type="noConversion"/>
  </si>
  <si>
    <t>PU_Z_KCFNB_RCV_IF</t>
    <phoneticPr fontId="1" type="noConversion"/>
  </si>
  <si>
    <t>CD_PURGRP</t>
    <phoneticPr fontId="1" type="noConversion"/>
  </si>
  <si>
    <t>NVARCHAR(7)</t>
    <phoneticPr fontId="1" type="noConversion"/>
  </si>
  <si>
    <t>구매그룹</t>
    <phoneticPr fontId="1" type="noConversion"/>
  </si>
  <si>
    <t>입고 마감 시 ERP 전달</t>
    <phoneticPr fontId="1" type="noConversion"/>
  </si>
  <si>
    <t>erp_purgrp_cd</t>
    <phoneticPr fontId="1" type="noConversion"/>
  </si>
  <si>
    <t>ERP 구매그룹</t>
    <phoneticPr fontId="1" type="noConversion"/>
  </si>
  <si>
    <t>CD_CC</t>
    <phoneticPr fontId="1" type="noConversion"/>
  </si>
  <si>
    <t>NVARCHAR(12)</t>
    <phoneticPr fontId="1" type="noConversion"/>
  </si>
  <si>
    <t>코스트센터</t>
    <phoneticPr fontId="1" type="noConversion"/>
  </si>
  <si>
    <t>입고 마감 시 ERP 전달</t>
    <phoneticPr fontId="1" type="noConversion"/>
  </si>
  <si>
    <t>erp_cc_cd</t>
    <phoneticPr fontId="1" type="noConversion"/>
  </si>
  <si>
    <t>VARCHAR(12)</t>
    <phoneticPr fontId="1" type="noConversion"/>
  </si>
  <si>
    <t>ERP 코스트센터</t>
    <phoneticPr fontId="1" type="noConversion"/>
  </si>
  <si>
    <t>인터페이스명</t>
    <phoneticPr fontId="1" type="noConversion"/>
  </si>
  <si>
    <t>예외입고_등록</t>
    <phoneticPr fontId="1" type="noConversion"/>
  </si>
  <si>
    <t>1. ERP  연동 (ERP → WMS)</t>
    <phoneticPr fontId="1" type="noConversion"/>
  </si>
  <si>
    <t>Description</t>
    <phoneticPr fontId="1" type="noConversion"/>
  </si>
  <si>
    <t>WMS에서 ERP DB 접근하여 데이터 추출
예외입고_등록 : 원자재외주센터 -&gt; 자사센터 재고이동 처리</t>
    <phoneticPr fontId="1" type="noConversion"/>
  </si>
  <si>
    <t>인터페이스 유형</t>
    <phoneticPr fontId="1" type="noConversion"/>
  </si>
  <si>
    <t>DB2DB</t>
    <phoneticPr fontId="1" type="noConversion"/>
  </si>
  <si>
    <t>발생주기</t>
    <phoneticPr fontId="1" type="noConversion"/>
  </si>
  <si>
    <t>1일 발생 건수</t>
    <phoneticPr fontId="1" type="noConversion"/>
  </si>
  <si>
    <t>SOURCE</t>
    <phoneticPr fontId="1" type="noConversion"/>
  </si>
  <si>
    <t>TARGET</t>
    <phoneticPr fontId="1" type="noConversion"/>
  </si>
  <si>
    <t>시스템</t>
    <phoneticPr fontId="1" type="noConversion"/>
  </si>
  <si>
    <t>ERP</t>
    <phoneticPr fontId="1" type="noConversion"/>
  </si>
  <si>
    <t>WMS</t>
    <phoneticPr fontId="1" type="noConversion"/>
  </si>
  <si>
    <t>INPUT</t>
    <phoneticPr fontId="1" type="noConversion"/>
  </si>
  <si>
    <t>Field</t>
    <phoneticPr fontId="1" type="noConversion"/>
  </si>
  <si>
    <t>Data Type</t>
    <phoneticPr fontId="1" type="noConversion"/>
  </si>
  <si>
    <t>PK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</si>
  <si>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</si>
  <si>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</si>
  <si>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</si>
  <si>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Null</t>
    <phoneticPr fontId="1" type="noConversion"/>
  </si>
  <si>
    <t>Default Value</t>
    <phoneticPr fontId="1" type="noConversion"/>
  </si>
  <si>
    <t>MM_Z_KCFNB_MSL_IF</t>
    <phoneticPr fontId="1" type="noConversion"/>
  </si>
  <si>
    <t>BIGINT</t>
    <phoneticPr fontId="1" type="noConversion"/>
  </si>
  <si>
    <t>NN</t>
    <phoneticPr fontId="1" type="noConversion"/>
  </si>
  <si>
    <t>생성순번(IDENTITY)</t>
    <phoneticPr fontId="1" type="noConversion"/>
  </si>
  <si>
    <t>단순 숫자채번, MAX+1</t>
    <phoneticPr fontId="1" type="noConversion"/>
  </si>
  <si>
    <t>MM_Z_KCFNB_MSL_IF</t>
    <phoneticPr fontId="1" type="noConversion"/>
  </si>
  <si>
    <t>CHAR(1)</t>
    <phoneticPr fontId="1" type="noConversion"/>
  </si>
  <si>
    <t>A : 발주/의뢰 데이터 최초 INSERT 및 상태값 변경 시
D : 발주/의뢰 삭제 또는 상태값 종결 시(PU_POL.FG_POST = 'C' AND PU_POL.QT_RCV = 0)</t>
    <phoneticPr fontId="1" type="noConversion"/>
  </si>
  <si>
    <t>INSERT 시점의 SYSDATE</t>
    <phoneticPr fontId="1" type="noConversion"/>
  </si>
  <si>
    <t>N</t>
    <phoneticPr fontId="1" type="noConversion"/>
  </si>
  <si>
    <t>RecvYn = 'N' 
1. ERP INSERT 시, Default 값
2. ERP 발주관리 메뉴에서 '종결처리' 가능
종결 시, AUDType ='D' 로 신규 SEQ INSERT
RecvYn = 'Y'
1. WMS 수신 시, UPDATE 예정
2. ERP 발주관리 메뉴에서 '종결처리' 가능
종결 시, AUDType ='D' 로 신규 SEQ INSERT
RecvYn = 'P'
1. WMS 내 입고중일 시, UPDATE 예정
2. ERP 발주관리 메뉴에서 종결처리, 확정취소 불가
RecvYn = 'E'
1. WMS에서 데이터 취합 중 에러발생 시 UPDATE 예정</t>
    <phoneticPr fontId="1" type="noConversion"/>
  </si>
  <si>
    <t>MM_Z_KCFNB_MSL_IF</t>
    <phoneticPr fontId="1" type="noConversion"/>
  </si>
  <si>
    <t>DATETIME</t>
    <phoneticPr fontId="1" type="noConversion"/>
  </si>
  <si>
    <t>WMS 데이터 수신 후 getdate()로 업데이트 처리</t>
    <phoneticPr fontId="1" type="noConversion"/>
  </si>
  <si>
    <t>biz_seq</t>
    <phoneticPr fontId="1" type="noConversion"/>
  </si>
  <si>
    <t>사업장 SEQ</t>
    <phoneticPr fontId="1" type="noConversion"/>
  </si>
  <si>
    <t>WMS_INWH</t>
    <phoneticPr fontId="1" type="noConversion"/>
  </si>
  <si>
    <t>등록자ID</t>
    <phoneticPr fontId="1" type="noConversion"/>
  </si>
  <si>
    <t>최초 등록자(사용자I/F 의 UserID)</t>
    <phoneticPr fontId="1" type="noConversion"/>
  </si>
  <si>
    <t>최초 등록일시</t>
    <phoneticPr fontId="1" type="noConversion"/>
  </si>
  <si>
    <t>WMS_INWH / WMS_INWH_PROD</t>
    <phoneticPr fontId="1" type="noConversion"/>
  </si>
  <si>
    <t>VARCHAR(20)</t>
    <phoneticPr fontId="1" type="noConversion"/>
  </si>
  <si>
    <t>수정자ID</t>
    <phoneticPr fontId="1" type="noConversion"/>
  </si>
  <si>
    <t>mod_id</t>
    <phoneticPr fontId="1" type="noConversion"/>
  </si>
  <si>
    <t>VARCHAR(20)</t>
    <phoneticPr fontId="1" type="noConversion"/>
  </si>
  <si>
    <t>수정일</t>
    <phoneticPr fontId="1" type="noConversion"/>
  </si>
  <si>
    <t>데이터 최종수정일시</t>
    <phoneticPr fontId="1" type="noConversion"/>
  </si>
  <si>
    <t>mod_dt</t>
    <phoneticPr fontId="1" type="noConversion"/>
  </si>
  <si>
    <t>WMS_INWH</t>
    <phoneticPr fontId="1" type="noConversion"/>
  </si>
  <si>
    <t>if_Key</t>
    <phoneticPr fontId="1" type="noConversion"/>
  </si>
  <si>
    <t>VARCHAR(50)</t>
    <phoneticPr fontId="1" type="noConversion"/>
  </si>
  <si>
    <t>PK</t>
    <phoneticPr fontId="1" type="noConversion"/>
  </si>
  <si>
    <t>IF 키</t>
    <phoneticPr fontId="1" type="noConversion"/>
  </si>
  <si>
    <t>ERP 요청번호</t>
    <phoneticPr fontId="1" type="noConversion"/>
  </si>
  <si>
    <t>if_idx</t>
    <phoneticPr fontId="1" type="noConversion"/>
  </si>
  <si>
    <t>I/F 서브키</t>
    <phoneticPr fontId="1" type="noConversion"/>
  </si>
  <si>
    <t>ERP 요청항번
타입변경 필요(int -&gt; varchar)</t>
    <phoneticPr fontId="1" type="noConversion"/>
  </si>
  <si>
    <t>inwh_type_cd</t>
    <phoneticPr fontId="1" type="noConversion"/>
  </si>
  <si>
    <t>VARCHAR(50)</t>
    <phoneticPr fontId="1" type="noConversion"/>
  </si>
  <si>
    <t>IW91:예외입고</t>
    <phoneticPr fontId="1" type="noConversion"/>
  </si>
  <si>
    <t>CD_COMPANY</t>
    <phoneticPr fontId="1" type="noConversion"/>
  </si>
  <si>
    <t>NVARCHAR(7)</t>
    <phoneticPr fontId="1" type="noConversion"/>
  </si>
  <si>
    <t>회사코드</t>
    <phoneticPr fontId="1" type="noConversion"/>
  </si>
  <si>
    <t>입고 마감 시 ERP 전달용</t>
    <phoneticPr fontId="1" type="noConversion"/>
  </si>
  <si>
    <t>WMS_INWH</t>
    <phoneticPr fontId="1" type="noConversion"/>
  </si>
  <si>
    <t>erp_company_cd</t>
    <phoneticPr fontId="1" type="noConversion"/>
  </si>
  <si>
    <t>VARCHAR(7)</t>
    <phoneticPr fontId="1" type="noConversion"/>
  </si>
  <si>
    <t>NN</t>
    <phoneticPr fontId="1" type="noConversion"/>
  </si>
  <si>
    <t>ERP 회사코드</t>
    <phoneticPr fontId="1" type="noConversion"/>
  </si>
  <si>
    <t>신규컬럼 추가</t>
    <phoneticPr fontId="1" type="noConversion"/>
  </si>
  <si>
    <t>CD_PLANT</t>
    <phoneticPr fontId="1" type="noConversion"/>
  </si>
  <si>
    <t>ERP 공장코드</t>
    <phoneticPr fontId="1" type="noConversion"/>
  </si>
  <si>
    <t>NO_GIREQ</t>
  </si>
  <si>
    <t>NVARCHAR(20)</t>
    <phoneticPr fontId="1" type="noConversion"/>
  </si>
  <si>
    <t>요청번호</t>
  </si>
  <si>
    <t>req_no</t>
    <phoneticPr fontId="1" type="noConversion"/>
  </si>
  <si>
    <t>VARCHAR(30)</t>
    <phoneticPr fontId="1" type="noConversion"/>
  </si>
  <si>
    <t>문서_번호(타시스템)</t>
    <phoneticPr fontId="1" type="noConversion"/>
  </si>
  <si>
    <t>NO_LINE</t>
  </si>
  <si>
    <t>NUMERIC(5)</t>
    <phoneticPr fontId="1" type="noConversion"/>
  </si>
  <si>
    <t>요청항번</t>
  </si>
  <si>
    <t>WMS_INWH_PROD</t>
    <phoneticPr fontId="1" type="noConversion"/>
  </si>
  <si>
    <t>erp_line_no</t>
    <phoneticPr fontId="1" type="noConversion"/>
  </si>
  <si>
    <t>INT</t>
    <phoneticPr fontId="1" type="noConversion"/>
  </si>
  <si>
    <t>ERP 입고의뢰항번</t>
    <phoneticPr fontId="1" type="noConversion"/>
  </si>
  <si>
    <t>D1에 신규컬럼 추가 필요</t>
    <phoneticPr fontId="1" type="noConversion"/>
  </si>
  <si>
    <t>NO_PO</t>
  </si>
  <si>
    <t>NULL</t>
    <phoneticPr fontId="1" type="noConversion"/>
  </si>
  <si>
    <t>발주번호</t>
  </si>
  <si>
    <t>erp_po_no</t>
    <phoneticPr fontId="1" type="noConversion"/>
  </si>
  <si>
    <t>ERP 발주번호</t>
    <phoneticPr fontId="1" type="noConversion"/>
  </si>
  <si>
    <t>D1에 신규컬럼 추가 필요</t>
    <phoneticPr fontId="1" type="noConversion"/>
  </si>
  <si>
    <t>NO_POLINE</t>
  </si>
  <si>
    <t>NUMERIC(5,0)</t>
    <phoneticPr fontId="1" type="noConversion"/>
  </si>
  <si>
    <t>발주항번</t>
  </si>
  <si>
    <t>입고 마감 시 ERP 전달용</t>
    <phoneticPr fontId="1" type="noConversion"/>
  </si>
  <si>
    <t>INT</t>
    <phoneticPr fontId="1" type="noConversion"/>
  </si>
  <si>
    <t>ERP 발주항번</t>
    <phoneticPr fontId="1" type="noConversion"/>
  </si>
  <si>
    <t>D1에 신규컬럼 추가 필요</t>
    <phoneticPr fontId="1" type="noConversion"/>
  </si>
  <si>
    <t>창고코드(TO) 기준으로 센터정보 셋팅 
"센터정보" 시트 참조</t>
    <phoneticPr fontId="1" type="noConversion"/>
  </si>
  <si>
    <t>CD_SL</t>
  </si>
  <si>
    <t>창고코드(FROM)</t>
  </si>
  <si>
    <t>erp_sl_cd</t>
    <phoneticPr fontId="1" type="noConversion"/>
  </si>
  <si>
    <t>ERP 출고창고
(원자재외주센터)</t>
    <phoneticPr fontId="1" type="noConversion"/>
  </si>
  <si>
    <t xml:space="preserve">CD_GRSL </t>
    <phoneticPr fontId="1" type="noConversion"/>
  </si>
  <si>
    <t>창고코드(TO)</t>
    <phoneticPr fontId="1" type="noConversion"/>
  </si>
  <si>
    <t>erp_grsl_cd</t>
    <phoneticPr fontId="1" type="noConversion"/>
  </si>
  <si>
    <t>ERP 입고창고
(자사센터)</t>
    <phoneticPr fontId="1" type="noConversion"/>
  </si>
  <si>
    <t>FG_GIREQ</t>
  </si>
  <si>
    <t>NCHAR(3)</t>
  </si>
  <si>
    <t>수불유형</t>
  </si>
  <si>
    <t>erp_qtiotp_cd</t>
    <phoneticPr fontId="1" type="noConversion"/>
  </si>
  <si>
    <t>VARCHAR(3)</t>
    <phoneticPr fontId="1" type="noConversion"/>
  </si>
  <si>
    <t>ERP 수불유형</t>
    <phoneticPr fontId="1" type="noConversion"/>
  </si>
  <si>
    <t>신규컬럼 추가 필요</t>
    <phoneticPr fontId="1" type="noConversion"/>
  </si>
  <si>
    <t>MM_Z_KCFNB_MSL_IF</t>
    <phoneticPr fontId="1" type="noConversion"/>
  </si>
  <si>
    <t>FG_IO</t>
  </si>
  <si>
    <t>수불구분</t>
  </si>
  <si>
    <t>erp_io_fg</t>
    <phoneticPr fontId="1" type="noConversion"/>
  </si>
  <si>
    <t>ERP 수불구분</t>
    <phoneticPr fontId="1" type="noConversion"/>
  </si>
  <si>
    <t>DT_GIREQ</t>
  </si>
  <si>
    <t>NCHAR(8)</t>
  </si>
  <si>
    <t>요청등록일</t>
  </si>
  <si>
    <t>DT_DELIVERY</t>
  </si>
  <si>
    <t>납품예정일</t>
    <phoneticPr fontId="1" type="noConversion"/>
  </si>
  <si>
    <t>req_ymd</t>
    <phoneticPr fontId="1" type="noConversion"/>
  </si>
  <si>
    <t>VARCHAR(8)</t>
    <phoneticPr fontId="1" type="noConversion"/>
  </si>
  <si>
    <t>NVARCHAR(10)</t>
  </si>
  <si>
    <t>요청자_사번</t>
    <phoneticPr fontId="1" type="noConversion"/>
  </si>
  <si>
    <t>WMS 관리 X</t>
    <phoneticPr fontId="1" type="noConversion"/>
  </si>
  <si>
    <t>MM_Z_KCFNB_MSL_IF</t>
    <phoneticPr fontId="1" type="noConversion"/>
  </si>
  <si>
    <t>요청자명</t>
  </si>
  <si>
    <t>req_user_nm</t>
    <phoneticPr fontId="1" type="noConversion"/>
  </si>
  <si>
    <t>VARCHAR(100)</t>
    <phoneticPr fontId="1" type="noConversion"/>
  </si>
  <si>
    <t>요청자부서</t>
  </si>
  <si>
    <t>요청자부서명</t>
  </si>
  <si>
    <t>CD_ITEM</t>
  </si>
  <si>
    <t>품목코드</t>
  </si>
  <si>
    <t>prod_seq</t>
    <phoneticPr fontId="1" type="noConversion"/>
  </si>
  <si>
    <t>품목ID =&gt; 품목SEQ 변환 후 저장</t>
    <phoneticPr fontId="1" type="noConversion"/>
  </si>
  <si>
    <t>QT_GIREQ</t>
  </si>
  <si>
    <t>NUMERIC(17,4)</t>
  </si>
  <si>
    <t>DC_RMK</t>
  </si>
  <si>
    <t>NULL</t>
  </si>
  <si>
    <t>입고 마감 시 ERP 전달용
입고의뢰 비고</t>
    <phoneticPr fontId="1" type="noConversion"/>
  </si>
  <si>
    <t>YN_RETURN</t>
  </si>
  <si>
    <t>NCHAR(1)</t>
  </si>
  <si>
    <t>N</t>
  </si>
  <si>
    <t>입고 마감 시 ERP 전달
해당 테이블에서는 Default 값만 INSERT
'Y'의 케이스는 예외출고요청에 존재</t>
    <phoneticPr fontId="1" type="noConversion"/>
  </si>
  <si>
    <t>erp_return_yn</t>
    <phoneticPr fontId="1" type="noConversion"/>
  </si>
  <si>
    <t>ERP 반품여부</t>
    <phoneticPr fontId="1" type="noConversion"/>
  </si>
  <si>
    <t>CD_TPPO</t>
  </si>
  <si>
    <t>발주유형</t>
  </si>
  <si>
    <t>erp_tppo_cd</t>
    <phoneticPr fontId="1" type="noConversion"/>
  </si>
  <si>
    <t>VARCHAR(7)</t>
    <phoneticPr fontId="1" type="noConversion"/>
  </si>
  <si>
    <t>NN</t>
    <phoneticPr fontId="1" type="noConversion"/>
  </si>
  <si>
    <t>ERP 발주유형</t>
    <phoneticPr fontId="1" type="noConversion"/>
  </si>
  <si>
    <t>CD_PARTNER</t>
  </si>
  <si>
    <t>cont_seq</t>
    <phoneticPr fontId="1" type="noConversion"/>
  </si>
  <si>
    <t>거래처ID =&gt; 거래처SEQ 변환 후 저장</t>
    <phoneticPr fontId="1" type="noConversion"/>
  </si>
  <si>
    <t>CD_EXCH</t>
  </si>
  <si>
    <t>000</t>
  </si>
  <si>
    <t>환종</t>
  </si>
  <si>
    <t>입고 마감 시 ERP 전달</t>
    <phoneticPr fontId="1" type="noConversion"/>
  </si>
  <si>
    <t>erp_exch_cd</t>
    <phoneticPr fontId="1" type="noConversion"/>
  </si>
  <si>
    <t>ERP 환종</t>
    <phoneticPr fontId="1" type="noConversion"/>
  </si>
  <si>
    <t>RT_EXCH</t>
  </si>
  <si>
    <t>NUMERIC(11,4)</t>
  </si>
  <si>
    <t>1.0000</t>
  </si>
  <si>
    <t>환율</t>
  </si>
  <si>
    <t>erp_exch_rt</t>
    <phoneticPr fontId="1" type="noConversion"/>
  </si>
  <si>
    <t>ERP 환율</t>
    <phoneticPr fontId="1" type="noConversion"/>
  </si>
  <si>
    <t>입고 마감 시 ERP 전달</t>
    <phoneticPr fontId="1" type="noConversion"/>
  </si>
  <si>
    <t>WMS_INWH_PROD</t>
    <phoneticPr fontId="1" type="noConversion"/>
  </si>
  <si>
    <t>erp_ex_um</t>
    <phoneticPr fontId="1" type="noConversion"/>
  </si>
  <si>
    <t>decimal(19,6)</t>
    <phoneticPr fontId="1" type="noConversion"/>
  </si>
  <si>
    <t>ERP 단가</t>
    <phoneticPr fontId="1" type="noConversion"/>
  </si>
  <si>
    <t>신규컬럼 추가 필요</t>
    <phoneticPr fontId="1" type="noConversion"/>
  </si>
  <si>
    <t>입고 마감 시 ERP 전달
수불수량*단가</t>
    <phoneticPr fontId="1" type="noConversion"/>
  </si>
  <si>
    <t>erp_ex_am</t>
    <phoneticPr fontId="1" type="noConversion"/>
  </si>
  <si>
    <t>ERP 금액</t>
    <phoneticPr fontId="1" type="noConversion"/>
  </si>
  <si>
    <t>CD_PURGRP</t>
  </si>
  <si>
    <t>구매그룹</t>
  </si>
  <si>
    <t>erp_purgrp_cd</t>
    <phoneticPr fontId="1" type="noConversion"/>
  </si>
  <si>
    <t>ERP 구매그룹</t>
    <phoneticPr fontId="1" type="noConversion"/>
  </si>
  <si>
    <t>CD_CC</t>
  </si>
  <si>
    <t>NVARCHAR(12)</t>
  </si>
  <si>
    <t>코스트센터</t>
  </si>
  <si>
    <t>입고 마감 시 ERP 전달</t>
    <phoneticPr fontId="1" type="noConversion"/>
  </si>
  <si>
    <t>erp_cc_cd</t>
    <phoneticPr fontId="1" type="noConversion"/>
  </si>
  <si>
    <t>VARCHAR(12)</t>
    <phoneticPr fontId="1" type="noConversion"/>
  </si>
  <si>
    <t>ERP 코스트센터</t>
    <phoneticPr fontId="1" type="noConversion"/>
  </si>
  <si>
    <t>기타</t>
    <phoneticPr fontId="99" type="noConversion"/>
  </si>
  <si>
    <t>예외입고_등록</t>
    <phoneticPr fontId="1" type="noConversion"/>
  </si>
  <si>
    <t>WMS</t>
    <phoneticPr fontId="1" type="noConversion"/>
  </si>
  <si>
    <t>예외입고 신규 등록 및 예외입고 데이터 수정</t>
    <phoneticPr fontId="1" type="noConversion"/>
  </si>
  <si>
    <t>인터페이스명</t>
    <phoneticPr fontId="1" type="noConversion"/>
  </si>
  <si>
    <t>입고마감</t>
    <phoneticPr fontId="1" type="noConversion"/>
  </si>
  <si>
    <t>인터페이스 개요</t>
    <phoneticPr fontId="1" type="noConversion"/>
  </si>
  <si>
    <t>인터페이스 상세</t>
    <phoneticPr fontId="1" type="noConversion"/>
  </si>
  <si>
    <t>1. WMS  연동 (WMS → ERP)</t>
    <phoneticPr fontId="1" type="noConversion"/>
  </si>
  <si>
    <t>Description</t>
    <phoneticPr fontId="1" type="noConversion"/>
  </si>
  <si>
    <t>IF테이블은 ERP DB 스키마에 생성 및 데이터 관리
WMS에서 ERP DB에 직접 접근해 데이터 입력함
입고예정_등록(구매입고,외주입고), 예외입고(예외입고), 외주직출(센터입고, 외주센터입고) 마감 시 IF</t>
    <phoneticPr fontId="1" type="noConversion"/>
  </si>
  <si>
    <t>인터페이스 유형</t>
    <phoneticPr fontId="1" type="noConversion"/>
  </si>
  <si>
    <t>적용방식</t>
    <phoneticPr fontId="1" type="noConversion"/>
  </si>
  <si>
    <t>발생주기</t>
    <phoneticPr fontId="1" type="noConversion"/>
  </si>
  <si>
    <t>1일 발생 건수</t>
    <phoneticPr fontId="1" type="noConversion"/>
  </si>
  <si>
    <t>TARGET</t>
    <phoneticPr fontId="1" type="noConversion"/>
  </si>
  <si>
    <t>시스템</t>
    <phoneticPr fontId="1" type="noConversion"/>
  </si>
  <si>
    <t>WMS</t>
    <phoneticPr fontId="1" type="noConversion"/>
  </si>
  <si>
    <t>ERP</t>
    <phoneticPr fontId="1" type="noConversion"/>
  </si>
  <si>
    <t>INPUT</t>
    <phoneticPr fontId="1" type="noConversion"/>
  </si>
  <si>
    <t>Table Name</t>
    <phoneticPr fontId="1" type="noConversion"/>
  </si>
  <si>
    <t>Null</t>
    <phoneticPr fontId="1" type="noConversion"/>
  </si>
  <si>
    <t>Default Value</t>
    <phoneticPr fontId="1" type="noConversion"/>
  </si>
  <si>
    <t>생성순번(IDENTITY)</t>
    <phoneticPr fontId="1" type="noConversion"/>
  </si>
  <si>
    <t>최초 1, 데이터 INSERT 될때마다, MAX+1</t>
    <phoneticPr fontId="1" type="noConversion"/>
  </si>
  <si>
    <t>MM_Z_KCFNB_QTIO_IF</t>
    <phoneticPr fontId="1" type="noConversion"/>
  </si>
  <si>
    <t>BIGINT</t>
  </si>
  <si>
    <t>PK</t>
  </si>
  <si>
    <t>생성순번(IDENTITY)</t>
  </si>
  <si>
    <t>신규,수정/삭제 (A/D)</t>
    <phoneticPr fontId="1" type="noConversion"/>
  </si>
  <si>
    <t>A : 생성 데이터 insert 시
D : 데이터 삭제 시</t>
    <phoneticPr fontId="1" type="noConversion"/>
  </si>
  <si>
    <t>CHAR(1)</t>
  </si>
  <si>
    <t>신규,수정/삭제 (A/D)</t>
  </si>
  <si>
    <t>WMS_INWH</t>
  </si>
  <si>
    <t>erp_company_cd</t>
  </si>
  <si>
    <t>VARCHAR(7)</t>
  </si>
  <si>
    <t>ERP 회사코드</t>
  </si>
  <si>
    <t>입고예정_등록 시 전달받은 값</t>
    <phoneticPr fontId="1" type="noConversion"/>
  </si>
  <si>
    <t>회사코드</t>
    <phoneticPr fontId="1" type="noConversion"/>
  </si>
  <si>
    <t>디폴트 1000로 셋팅</t>
    <phoneticPr fontId="1" type="noConversion"/>
  </si>
  <si>
    <t>CD_BIZAREA</t>
    <phoneticPr fontId="1" type="noConversion"/>
  </si>
  <si>
    <t>사업장코드</t>
    <phoneticPr fontId="1" type="noConversion"/>
  </si>
  <si>
    <t>없으면 디폴트 1000</t>
  </si>
  <si>
    <t>erp_plant_cd</t>
  </si>
  <si>
    <t>ERP 공장코드</t>
  </si>
  <si>
    <t>공장코드</t>
    <phoneticPr fontId="1" type="noConversion"/>
  </si>
  <si>
    <t>inwh_no</t>
    <phoneticPr fontId="1" type="noConversion"/>
  </si>
  <si>
    <t>varchar(30)</t>
    <phoneticPr fontId="1" type="noConversion"/>
  </si>
  <si>
    <t>입고_번호</t>
    <phoneticPr fontId="1" type="noConversion"/>
  </si>
  <si>
    <t>WMS 입고 업무번호</t>
    <phoneticPr fontId="1" type="noConversion"/>
  </si>
  <si>
    <t>NO_POP</t>
    <phoneticPr fontId="1" type="noConversion"/>
  </si>
  <si>
    <t>NVARCHAR(30)</t>
  </si>
  <si>
    <t>연동번호</t>
    <phoneticPr fontId="1" type="noConversion"/>
  </si>
  <si>
    <t>WMS 문서번호(입고번호, 예외출고번호, 반품번호)</t>
  </si>
  <si>
    <t>insert 시 품목순번 채번하여 입력</t>
    <phoneticPr fontId="1" type="noConversion"/>
  </si>
  <si>
    <t>MM_Z_KCFNB_QTIO_IF</t>
    <phoneticPr fontId="1" type="noConversion"/>
  </si>
  <si>
    <t>NO_POP_LINE</t>
    <phoneticPr fontId="1" type="noConversion"/>
  </si>
  <si>
    <t>NUMERIC(5, 0)</t>
  </si>
  <si>
    <t>연동항번</t>
    <phoneticPr fontId="1" type="noConversion"/>
  </si>
  <si>
    <t>품목 항목</t>
  </si>
  <si>
    <t>erp_sl_cd</t>
    <phoneticPr fontId="1" type="noConversion"/>
  </si>
  <si>
    <t>ERP 입고창고</t>
    <phoneticPr fontId="1" type="noConversion"/>
  </si>
  <si>
    <t>구매입고/외주입고/예외입고 : 
 - 수신 시 전달받은 값(erp_sl_cd)
센터입고/외주센터입고 :
 - 출하D2의 처리창고의 ERP IF 창고코드</t>
    <phoneticPr fontId="1" type="noConversion"/>
  </si>
  <si>
    <t>CD_SL</t>
    <phoneticPr fontId="1" type="noConversion"/>
  </si>
  <si>
    <t>창고코드</t>
    <phoneticPr fontId="1" type="noConversion"/>
  </si>
  <si>
    <t>WMS처리창고(from) 출고창고, 입고창고, 반입창고 등등</t>
  </si>
  <si>
    <t>디폴트 null로 셋팅</t>
    <phoneticPr fontId="1" type="noConversion"/>
  </si>
  <si>
    <t>NO_IO</t>
    <phoneticPr fontId="1" type="noConversion"/>
  </si>
  <si>
    <t>수불번호</t>
    <phoneticPr fontId="1" type="noConversion"/>
  </si>
  <si>
    <t>null로 셋팅</t>
  </si>
  <si>
    <t>디폴트 0으로 셋팅</t>
    <phoneticPr fontId="1" type="noConversion"/>
  </si>
  <si>
    <t>NO_IOLINE</t>
    <phoneticPr fontId="1" type="noConversion"/>
  </si>
  <si>
    <t>수불항번</t>
    <phoneticPr fontId="1" type="noConversion"/>
  </si>
  <si>
    <t>디폴트 0</t>
  </si>
  <si>
    <t>WMS_INWH_TRAN</t>
    <phoneticPr fontId="1" type="noConversion"/>
  </si>
  <si>
    <t>proc_ymd</t>
    <phoneticPr fontId="1" type="noConversion"/>
  </si>
  <si>
    <t>varchar(8)</t>
    <phoneticPr fontId="1" type="noConversion"/>
  </si>
  <si>
    <t>처리_연월일(입고)</t>
    <phoneticPr fontId="1" type="noConversion"/>
  </si>
  <si>
    <t>품목별 처리일자 그룹핑 후 MAX값으로 전달</t>
    <phoneticPr fontId="1" type="noConversion"/>
  </si>
  <si>
    <t>DT_IO</t>
    <phoneticPr fontId="1" type="noConversion"/>
  </si>
  <si>
    <t>수불일자</t>
    <phoneticPr fontId="1" type="noConversion"/>
  </si>
  <si>
    <t>WMS처리일자</t>
  </si>
  <si>
    <t>req_no</t>
  </si>
  <si>
    <t>VARCHAR(30)</t>
  </si>
  <si>
    <t>문서_번호(타시스템)</t>
  </si>
  <si>
    <t>NO_ISURCV</t>
    <phoneticPr fontId="1" type="noConversion"/>
  </si>
  <si>
    <t>의뢰번호</t>
    <phoneticPr fontId="1" type="noConversion"/>
  </si>
  <si>
    <t>요청데이터 존재할 경우 출고요청.NO_GIREQ
WMS 자체처리의 경우 NULL</t>
  </si>
  <si>
    <t>WMS_INWH_PROD</t>
    <phoneticPr fontId="1" type="noConversion"/>
  </si>
  <si>
    <t>erp_line_no</t>
  </si>
  <si>
    <t>INT</t>
  </si>
  <si>
    <t>ERP 입고의뢰항번</t>
  </si>
  <si>
    <t>입고예정_등록 시 전달받은 값</t>
    <phoneticPr fontId="1" type="noConversion"/>
  </si>
  <si>
    <t>NO_ISURCVLINE</t>
    <phoneticPr fontId="1" type="noConversion"/>
  </si>
  <si>
    <t>의뢰항번</t>
    <phoneticPr fontId="1" type="noConversion"/>
  </si>
  <si>
    <t>요청데이터 존재할 경우 출고요청.NO_LINE
WMS 자체처리의 경우 NULL</t>
  </si>
  <si>
    <t>erp_po_no</t>
  </si>
  <si>
    <t>VARCHAR(20)</t>
  </si>
  <si>
    <t>ERP 발주번호</t>
  </si>
  <si>
    <t>NO_PSO_MGMT</t>
    <phoneticPr fontId="1" type="noConversion"/>
  </si>
  <si>
    <t>오더번호</t>
    <phoneticPr fontId="1" type="noConversion"/>
  </si>
  <si>
    <t>구매반품의 경우 출고요청.NO_PO
WMS 자체처리의 경우 NULL</t>
  </si>
  <si>
    <t>erp_poline_no</t>
  </si>
  <si>
    <t>ERP 발주항번</t>
  </si>
  <si>
    <t>NO_PSOLINE_MGMT</t>
    <phoneticPr fontId="1" type="noConversion"/>
  </si>
  <si>
    <t>오더항번</t>
    <phoneticPr fontId="1" type="noConversion"/>
  </si>
  <si>
    <t>구매반품의 경우 출고요청.NO_POLINE
WMS 자체처리의 경우 NULL</t>
  </si>
  <si>
    <t>1: 구매입고/외주입고
2:예외입고/센터입고/외주센터입고</t>
    <phoneticPr fontId="1" type="noConversion"/>
  </si>
  <si>
    <t>FG_PS</t>
    <phoneticPr fontId="1" type="noConversion"/>
  </si>
  <si>
    <t>입/출고구분</t>
    <phoneticPr fontId="1" type="noConversion"/>
  </si>
  <si>
    <t>입고 : 1, 출고 : 2 / 재고이동='2'</t>
    <phoneticPr fontId="1" type="noConversion"/>
  </si>
  <si>
    <t>Y: 구매입고/외주입고
N:예외입고/센터입고/외주센터입고</t>
    <phoneticPr fontId="1" type="noConversion"/>
  </si>
  <si>
    <t>YN_PURSALE</t>
    <phoneticPr fontId="1" type="noConversion"/>
  </si>
  <si>
    <t>거래여부</t>
    <phoneticPr fontId="1" type="noConversion"/>
  </si>
  <si>
    <t>구매반품의 경우 Y, 그 외 Default 값
구매관련 Y, 나머지 N</t>
  </si>
  <si>
    <t>erp_tppo_cd</t>
  </si>
  <si>
    <t>ERP 발주유형</t>
  </si>
  <si>
    <t>CD_TPPO</t>
    <phoneticPr fontId="1" type="noConversion"/>
  </si>
  <si>
    <t>NVARCHAR(7)</t>
    <phoneticPr fontId="1" type="noConversion"/>
  </si>
  <si>
    <t>발주유형</t>
    <phoneticPr fontId="1" type="noConversion"/>
  </si>
  <si>
    <t>erp_qtiotp_cd</t>
  </si>
  <si>
    <t>VARCHAR(3)</t>
  </si>
  <si>
    <t>ERP 수불유형</t>
  </si>
  <si>
    <t>CD_QTIOTP</t>
    <phoneticPr fontId="1" type="noConversion"/>
  </si>
  <si>
    <t>구매+B32:P32입고(100), 구매반품(130), 재고이동(500), 계정대체출고</t>
    <phoneticPr fontId="1" type="noConversion"/>
  </si>
  <si>
    <t>erp_io_fg</t>
  </si>
  <si>
    <t>ERP 수불구분</t>
  </si>
  <si>
    <t>FG_IO</t>
    <phoneticPr fontId="1" type="noConversion"/>
  </si>
  <si>
    <t>NCHAR(3)</t>
    <phoneticPr fontId="1" type="noConversion"/>
  </si>
  <si>
    <t>수불구분</t>
    <phoneticPr fontId="1" type="noConversion"/>
  </si>
  <si>
    <t>012' 계정대체출고, '022'창고이동, '030' 구매반품 고정</t>
    <phoneticPr fontId="1" type="noConversion"/>
  </si>
  <si>
    <t>FG_TPIO</t>
    <phoneticPr fontId="1" type="noConversion"/>
  </si>
  <si>
    <t>대체유형</t>
    <phoneticPr fontId="1" type="noConversion"/>
  </si>
  <si>
    <t>출고요청 시, FG_GIREQ = '401' 인 경우 FG_GI값</t>
  </si>
  <si>
    <t>prod_seq</t>
    <phoneticPr fontId="1" type="noConversion"/>
  </si>
  <si>
    <t>int4</t>
    <phoneticPr fontId="1" type="noConversion"/>
  </si>
  <si>
    <t>품목_SEQ</t>
    <phoneticPr fontId="1" type="noConversion"/>
  </si>
  <si>
    <t>IF_PROD_ID로 컨버팅 후 입력</t>
    <phoneticPr fontId="1" type="noConversion"/>
  </si>
  <si>
    <t>CD_ITEM</t>
    <phoneticPr fontId="1" type="noConversion"/>
  </si>
  <si>
    <t>품목코드</t>
    <phoneticPr fontId="1" type="noConversion"/>
  </si>
  <si>
    <t>ex_qty</t>
  </si>
  <si>
    <t>decimal(10,2)</t>
    <phoneticPr fontId="1" type="noConversion"/>
  </si>
  <si>
    <t>기처리_수량(입고)</t>
    <phoneticPr fontId="1" type="noConversion"/>
  </si>
  <si>
    <t>QT_IO</t>
    <phoneticPr fontId="1" type="noConversion"/>
  </si>
  <si>
    <t>NUMERIC(17, 4)</t>
  </si>
  <si>
    <t>수불수량</t>
    <phoneticPr fontId="1" type="noConversion"/>
  </si>
  <si>
    <t>실적수량
정수만….(재고단위 수량 EA수량으로)</t>
  </si>
  <si>
    <t>cont_seq</t>
  </si>
  <si>
    <t>거래처SEQ =&gt; 거래처ID 변환 후 저장</t>
    <phoneticPr fontId="1" type="noConversion"/>
  </si>
  <si>
    <t>거래처</t>
    <phoneticPr fontId="1" type="noConversion"/>
  </si>
  <si>
    <t>있으면 주고 없으면 NULL</t>
  </si>
  <si>
    <t>proc_user_id</t>
    <phoneticPr fontId="1" type="noConversion"/>
  </si>
  <si>
    <t>varchar(20)</t>
    <phoneticPr fontId="1" type="noConversion"/>
  </si>
  <si>
    <t>처리_자_ID(입고)</t>
    <phoneticPr fontId="1" type="noConversion"/>
  </si>
  <si>
    <t>품목별 처리자 그룹핑 후 마지막 처리자 전달
처리자ID =&gt; 사번으로 변환 후 입력</t>
    <phoneticPr fontId="1" type="noConversion"/>
  </si>
  <si>
    <t>NO_EMP</t>
    <phoneticPr fontId="1" type="noConversion"/>
  </si>
  <si>
    <t>담당자</t>
    <phoneticPr fontId="1" type="noConversion"/>
  </si>
  <si>
    <t>WMS실적처리담당자
사번으로 넘겨</t>
  </si>
  <si>
    <t>erp_purgrp_cd</t>
  </si>
  <si>
    <t>ERP 구매그룹</t>
  </si>
  <si>
    <t>CD_GROUP</t>
    <phoneticPr fontId="1" type="noConversion"/>
  </si>
  <si>
    <t>그룹코드</t>
    <phoneticPr fontId="1" type="noConversion"/>
  </si>
  <si>
    <t>구매입고/반품일 경우 INSERT(CD_PURGRP), 그 외 NULL</t>
  </si>
  <si>
    <t>erp_grsl_cd</t>
    <phoneticPr fontId="1" type="noConversion"/>
  </si>
  <si>
    <t>ERP 창고코드(TO)</t>
    <phoneticPr fontId="1" type="noConversion"/>
  </si>
  <si>
    <t>예외입고 : 
 - 수신 시 전달받은 값(erp_grsl_cd)
센터입고/외주센터입고 :
 - 입고D2의 처리창고의 ERP IF 창고코드</t>
    <phoneticPr fontId="1" type="noConversion"/>
  </si>
  <si>
    <t>CD_SL_REF</t>
    <phoneticPr fontId="1" type="noConversion"/>
  </si>
  <si>
    <t>창고코드(연계)</t>
    <phoneticPr fontId="1" type="noConversion"/>
  </si>
  <si>
    <t>센터간 재고이동일 경우 입고창고 insert, 그 외 null</t>
  </si>
  <si>
    <t>note</t>
    <phoneticPr fontId="1" type="noConversion"/>
  </si>
  <si>
    <t>varchar(1000)</t>
    <phoneticPr fontId="1" type="noConversion"/>
  </si>
  <si>
    <t>DC_RMK</t>
    <phoneticPr fontId="1" type="noConversion"/>
  </si>
  <si>
    <t>NVARCHAR(100)</t>
  </si>
  <si>
    <t>WMS실적비고정보</t>
  </si>
  <si>
    <t>erp_exch_cd</t>
  </si>
  <si>
    <t>ERP 환종</t>
  </si>
  <si>
    <t>CD_EXCH</t>
    <phoneticPr fontId="1" type="noConversion"/>
  </si>
  <si>
    <t>환종</t>
    <phoneticPr fontId="1" type="noConversion"/>
  </si>
  <si>
    <t>요청데이터 존재 시 출고요청의 동일한 CD_EXCH, 그 외 Default</t>
  </si>
  <si>
    <t>erp_exch_rt</t>
  </si>
  <si>
    <t>ERP 환율</t>
  </si>
  <si>
    <t>RT_EXCH</t>
    <phoneticPr fontId="1" type="noConversion"/>
  </si>
  <si>
    <t>환율</t>
    <phoneticPr fontId="1" type="noConversion"/>
  </si>
  <si>
    <t>요청데이터 존재 시 출고요청의 동일한 RT_EXCH, 그 외 Default</t>
  </si>
  <si>
    <t>erp_ex_um</t>
  </si>
  <si>
    <t>decimal(19,6)</t>
  </si>
  <si>
    <t>ERP 단가</t>
  </si>
  <si>
    <t>UM_EX</t>
    <phoneticPr fontId="1" type="noConversion"/>
  </si>
  <si>
    <t>단가</t>
    <phoneticPr fontId="1" type="noConversion"/>
  </si>
  <si>
    <t>erp_ex_am</t>
  </si>
  <si>
    <t>ERP 금액</t>
  </si>
  <si>
    <t>AM_EX</t>
    <phoneticPr fontId="1" type="noConversion"/>
  </si>
  <si>
    <t>금액</t>
    <phoneticPr fontId="1" type="noConversion"/>
  </si>
  <si>
    <t>수불수량*단가</t>
  </si>
  <si>
    <t>erp_cc_cd</t>
  </si>
  <si>
    <t>VARCHAR(12)</t>
  </si>
  <si>
    <t>ERP 코스트센터</t>
  </si>
  <si>
    <t>CD_CC</t>
    <phoneticPr fontId="1" type="noConversion"/>
  </si>
  <si>
    <t>C/C</t>
    <phoneticPr fontId="1" type="noConversion"/>
  </si>
  <si>
    <t>입고예정, 출고요청 시트의 CD_CC</t>
  </si>
  <si>
    <t>insert 시 getdate() 입력</t>
    <phoneticPr fontId="1" type="noConversion"/>
  </si>
  <si>
    <t>DTS_INSERT</t>
    <phoneticPr fontId="1" type="noConversion"/>
  </si>
  <si>
    <t>NVARCHAR(14)</t>
  </si>
  <si>
    <t>입력일시</t>
    <phoneticPr fontId="1" type="noConversion"/>
  </si>
  <si>
    <t>시스템일시</t>
  </si>
  <si>
    <t>마감처리한 유저의 사번으로 입력</t>
    <phoneticPr fontId="1" type="noConversion"/>
  </si>
  <si>
    <t>ID_INSERT</t>
    <phoneticPr fontId="1" type="noConversion"/>
  </si>
  <si>
    <t>입력자</t>
    <phoneticPr fontId="1" type="noConversion"/>
  </si>
  <si>
    <t>연동처리담당자 사번</t>
  </si>
  <si>
    <t>디폴트 N으로 셋팅</t>
    <phoneticPr fontId="1" type="noConversion"/>
  </si>
  <si>
    <t>FG_STAT</t>
    <phoneticPr fontId="1" type="noConversion"/>
  </si>
  <si>
    <t>처리상태</t>
    <phoneticPr fontId="1" type="noConversion"/>
  </si>
  <si>
    <t>N : 검토전(연동시스템 디폴트값)
Y : 처리완료(ERP UPDATE)
P : 검토완료(ERP UPDATE)
E : 오류(ERP UPDATE)</t>
  </si>
  <si>
    <t>ERR_MSG</t>
    <phoneticPr fontId="1" type="noConversion"/>
  </si>
  <si>
    <t>TEXT()</t>
  </si>
  <si>
    <t>에러메세지</t>
    <phoneticPr fontId="1" type="noConversion"/>
  </si>
  <si>
    <t>SIF_ERR_MSG 과 동일 값 INSERT</t>
  </si>
  <si>
    <t>erp_return_yn</t>
  </si>
  <si>
    <t>ERP 반품여부</t>
  </si>
  <si>
    <t>YN_RETURN</t>
    <phoneticPr fontId="1" type="noConversion"/>
  </si>
  <si>
    <t>반품여부</t>
    <phoneticPr fontId="1" type="noConversion"/>
  </si>
  <si>
    <t>N: 정상구매, 출고요청, 창고이동
Y: 구매반품</t>
  </si>
  <si>
    <t>YN_FINAL</t>
    <phoneticPr fontId="1" type="noConversion"/>
  </si>
  <si>
    <t>최종 연동로우</t>
    <phoneticPr fontId="1" type="noConversion"/>
  </si>
  <si>
    <t>WMS에서 마감데이터 INSERT 시, 마지막로우 체크용,
연동번호항번 기준 최종 로우일 경우 Y, 그 외 N</t>
  </si>
  <si>
    <t>IW_PO_REG</t>
    <phoneticPr fontId="1" type="noConversion"/>
  </si>
  <si>
    <t>IW_STO_REG</t>
    <phoneticPr fontId="1" type="noConversion"/>
  </si>
  <si>
    <t>반품마감</t>
    <phoneticPr fontId="1" type="noConversion"/>
  </si>
  <si>
    <t>인터페이스 개요</t>
    <phoneticPr fontId="1" type="noConversion"/>
  </si>
  <si>
    <t>1. WMS  연동 (WMS → ERP)</t>
    <phoneticPr fontId="1" type="noConversion"/>
  </si>
  <si>
    <t>IF테이블은 WMS DB 스키마에 생성 및 데이터 관리
ERP에서 WMS DB에 직접 접근해 데이터 입력함</t>
    <phoneticPr fontId="1" type="noConversion"/>
  </si>
  <si>
    <t>인터페이스 유형</t>
    <phoneticPr fontId="1" type="noConversion"/>
  </si>
  <si>
    <t>시스템</t>
    <phoneticPr fontId="1" type="noConversion"/>
  </si>
  <si>
    <t>WMS</t>
    <phoneticPr fontId="1" type="noConversion"/>
  </si>
  <si>
    <t>ERP</t>
    <phoneticPr fontId="1" type="noConversion"/>
  </si>
  <si>
    <t>INPUT</t>
    <phoneticPr fontId="1" type="noConversion"/>
  </si>
  <si>
    <t>Null</t>
    <phoneticPr fontId="1" type="noConversion"/>
  </si>
  <si>
    <t>Default Value</t>
    <phoneticPr fontId="1" type="noConversion"/>
  </si>
  <si>
    <t>PK</t>
    <phoneticPr fontId="1" type="noConversion"/>
  </si>
  <si>
    <t>Null</t>
    <phoneticPr fontId="1" type="noConversion"/>
  </si>
  <si>
    <t>Description</t>
    <phoneticPr fontId="1" type="noConversion"/>
  </si>
  <si>
    <t>비고</t>
    <phoneticPr fontId="1" type="noConversion"/>
  </si>
  <si>
    <t>생성순번(IDENTITY)</t>
    <phoneticPr fontId="1" type="noConversion"/>
  </si>
  <si>
    <t>최초 1, 데이터 INSERT 될때마다, MAX+1</t>
    <phoneticPr fontId="1" type="noConversion"/>
  </si>
  <si>
    <t>SA_Z_KCFNB_GI_PROC_IF</t>
    <phoneticPr fontId="1" type="noConversion"/>
  </si>
  <si>
    <t>신규,수정/삭제 (A/D)</t>
    <phoneticPr fontId="1" type="noConversion"/>
  </si>
  <si>
    <t>SA_Z_KCFNB_GI_PROC_IF</t>
    <phoneticPr fontId="1" type="noConversion"/>
  </si>
  <si>
    <t>디폴트 1000으로 셋팅</t>
  </si>
  <si>
    <t>SA_Z_KCFNB_GI_PROC_IF</t>
    <phoneticPr fontId="1" type="noConversion"/>
  </si>
  <si>
    <t>Default</t>
  </si>
  <si>
    <t>CD_PLANT</t>
  </si>
  <si>
    <t>공장코드</t>
  </si>
  <si>
    <t>WMS_RETURN</t>
    <phoneticPr fontId="1" type="noConversion"/>
  </si>
  <si>
    <t>return_no</t>
    <phoneticPr fontId="1" type="noConversion"/>
  </si>
  <si>
    <t>varchar(30)</t>
    <phoneticPr fontId="1" type="noConversion"/>
  </si>
  <si>
    <t>반품_번호</t>
    <phoneticPr fontId="1" type="noConversion"/>
  </si>
  <si>
    <t>WMS 반품 업무번호</t>
    <phoneticPr fontId="1" type="noConversion"/>
  </si>
  <si>
    <t>NO_POS</t>
  </si>
  <si>
    <t>연동번호</t>
  </si>
  <si>
    <t>WMS 출하번호
판매반품일 경우 WMS 반품번호</t>
    <phoneticPr fontId="1" type="noConversion"/>
  </si>
  <si>
    <t>insert 시 품목순번 채번하여 입력</t>
    <phoneticPr fontId="1" type="noConversion"/>
  </si>
  <si>
    <t>NO_POS_LINE</t>
  </si>
  <si>
    <t>연동항번</t>
  </si>
  <si>
    <t>WMS 품목라인번호SEQ</t>
    <phoneticPr fontId="1" type="noConversion"/>
  </si>
  <si>
    <t>WMS_RETURN</t>
    <phoneticPr fontId="1" type="noConversion"/>
  </si>
  <si>
    <t>req_ymd</t>
  </si>
  <si>
    <t>varchar(8)</t>
    <phoneticPr fontId="1" type="noConversion"/>
  </si>
  <si>
    <t>예정_연월일(반품)</t>
    <phoneticPr fontId="1" type="noConversion"/>
  </si>
  <si>
    <t>DT_SO</t>
  </si>
  <si>
    <t>NVARCHAR(8)</t>
  </si>
  <si>
    <t>주문일자</t>
  </si>
  <si>
    <t>OMS 기준 주문일자
OMS 반품주문 등록일자</t>
    <phoneticPr fontId="1" type="noConversion"/>
  </si>
  <si>
    <t>WMS_RETURN</t>
    <phoneticPr fontId="1" type="noConversion"/>
  </si>
  <si>
    <t>cont_seq</t>
    <phoneticPr fontId="1" type="noConversion"/>
  </si>
  <si>
    <t>int4</t>
    <phoneticPr fontId="1" type="noConversion"/>
  </si>
  <si>
    <t>거래처_SEQ</t>
    <phoneticPr fontId="1" type="noConversion"/>
  </si>
  <si>
    <t>거래처SEQ =&gt; 거래처ID 변환 후 입력</t>
    <phoneticPr fontId="1" type="noConversion"/>
  </si>
  <si>
    <t>가맹점 코드</t>
  </si>
  <si>
    <t>WMS_RETURN_PROD</t>
    <phoneticPr fontId="1" type="noConversion"/>
  </si>
  <si>
    <t>erp_exch_cd</t>
    <phoneticPr fontId="1" type="noConversion"/>
  </si>
  <si>
    <t>ERP 환종</t>
    <phoneticPr fontId="1" type="noConversion"/>
  </si>
  <si>
    <t>반품예정 OMS IF 수신 가능 확인 필요</t>
    <phoneticPr fontId="1" type="noConversion"/>
  </si>
  <si>
    <t>Default 값
OMS에서 못주면 디폴트 셋팅</t>
    <phoneticPr fontId="1" type="noConversion"/>
  </si>
  <si>
    <t>WMS_RETURN_PROD</t>
    <phoneticPr fontId="1" type="noConversion"/>
  </si>
  <si>
    <t>int4</t>
    <phoneticPr fontId="1" type="noConversion"/>
  </si>
  <si>
    <t>ERP 환율</t>
    <phoneticPr fontId="1" type="noConversion"/>
  </si>
  <si>
    <t>반품예정 OMS IF 수신 가능 확인 필요</t>
    <phoneticPr fontId="1" type="noConversion"/>
  </si>
  <si>
    <t>Default 값
OMS에서 못주면 디폴트 셋팅</t>
    <phoneticPr fontId="1" type="noConversion"/>
  </si>
  <si>
    <t>erp_salegrp_cd</t>
  </si>
  <si>
    <t>ERP 영업그룹</t>
    <phoneticPr fontId="1" type="noConversion"/>
  </si>
  <si>
    <t>SA_Z_KCFNB_GI_PROC_IF</t>
    <phoneticPr fontId="1" type="noConversion"/>
  </si>
  <si>
    <t>CD_SALEGRP</t>
  </si>
  <si>
    <t>영업그룹</t>
  </si>
  <si>
    <t>OMS 참조값</t>
  </si>
  <si>
    <t>erp_emp_no</t>
  </si>
  <si>
    <t>VARCHAR(10)</t>
    <phoneticPr fontId="1" type="noConversion"/>
  </si>
  <si>
    <t>ERP 영업담당자 사번</t>
    <phoneticPr fontId="1" type="noConversion"/>
  </si>
  <si>
    <t>반품예정 OMS IF 수신 가능 확인 필요</t>
    <phoneticPr fontId="1" type="noConversion"/>
  </si>
  <si>
    <t>SA_Z_KCFNB_GI_PROC_IF</t>
    <phoneticPr fontId="1" type="noConversion"/>
  </si>
  <si>
    <t>영업담당자</t>
  </si>
  <si>
    <t>OMS 참조, 영업사원 사번</t>
    <phoneticPr fontId="1" type="noConversion"/>
  </si>
  <si>
    <t>erp_so_tp</t>
  </si>
  <si>
    <t>VARCHAR(4)</t>
    <phoneticPr fontId="1" type="noConversion"/>
  </si>
  <si>
    <t>ERP 수주형태</t>
    <phoneticPr fontId="1" type="noConversion"/>
  </si>
  <si>
    <t>반품예정 OMS IF 수신 가능 확인 필요</t>
    <phoneticPr fontId="1" type="noConversion"/>
  </si>
  <si>
    <t>TP_SO</t>
  </si>
  <si>
    <t>수주형태</t>
  </si>
  <si>
    <t>OMS 참조값
정상판매출고, 판매출고랑 다를거임</t>
    <phoneticPr fontId="1" type="noConversion"/>
  </si>
  <si>
    <t>디폴트 Y로 셋팅</t>
    <phoneticPr fontId="1" type="noConversion"/>
  </si>
  <si>
    <t>정상출하 "N",반품출하 "Y"
정상판매출고, 판매출고랑 다를거임</t>
    <phoneticPr fontId="1" type="noConversion"/>
  </si>
  <si>
    <t>WMS_RETURN_PROD</t>
    <phoneticPr fontId="1" type="noConversion"/>
  </si>
  <si>
    <t>prod_seq</t>
  </si>
  <si>
    <t>품목SEQ</t>
  </si>
  <si>
    <t>IF_PROD_ID로 컨버팅 후 입력</t>
    <phoneticPr fontId="1" type="noConversion"/>
  </si>
  <si>
    <t>WMS 반품처리 창고의 ERP IF 창고 코드 조회 후 삽입</t>
    <phoneticPr fontId="1" type="noConversion"/>
  </si>
  <si>
    <t>창고코드</t>
  </si>
  <si>
    <t>출고창고코드</t>
    <phoneticPr fontId="1" type="noConversion"/>
  </si>
  <si>
    <t>WMS_RETURN_PROD</t>
    <phoneticPr fontId="1" type="noConversion"/>
  </si>
  <si>
    <t>ex_qty</t>
    <phoneticPr fontId="1" type="noConversion"/>
  </si>
  <si>
    <t>decimal(10,2)</t>
    <phoneticPr fontId="1" type="noConversion"/>
  </si>
  <si>
    <t>기처리_수량(반품)</t>
    <phoneticPr fontId="1" type="noConversion"/>
  </si>
  <si>
    <t>QT_SO</t>
  </si>
  <si>
    <t>주문수량(확정)</t>
  </si>
  <si>
    <t>출하수량</t>
    <phoneticPr fontId="1" type="noConversion"/>
  </si>
  <si>
    <t>단가</t>
    <phoneticPr fontId="1" type="noConversion"/>
  </si>
  <si>
    <t>UM_SO</t>
  </si>
  <si>
    <t>OMS 참조데이터</t>
    <phoneticPr fontId="1" type="noConversion"/>
  </si>
  <si>
    <t>WMS에서 계산 후 입력(단가 * 처리수량)</t>
    <phoneticPr fontId="1" type="noConversion"/>
  </si>
  <si>
    <t>AM_WONAMT</t>
  </si>
  <si>
    <t>공급가액</t>
  </si>
  <si>
    <t>WMS_RETURN_PROD</t>
    <phoneticPr fontId="1" type="noConversion"/>
  </si>
  <si>
    <t>AM_VAT</t>
  </si>
  <si>
    <t>부가세</t>
  </si>
  <si>
    <t>erp_vat_tp</t>
  </si>
  <si>
    <t>ERP 부가세율</t>
    <phoneticPr fontId="1" type="noConversion"/>
  </si>
  <si>
    <t>TP_VAT</t>
  </si>
  <si>
    <t>부가세율</t>
  </si>
  <si>
    <t>OMS 참조데이터</t>
    <phoneticPr fontId="1" type="noConversion"/>
  </si>
  <si>
    <t>erp_vat_fg</t>
  </si>
  <si>
    <t>ERP 부가세코드</t>
    <phoneticPr fontId="1" type="noConversion"/>
  </si>
  <si>
    <t>반품예정 OMS IF 수신 가능 확인 필요</t>
    <phoneticPr fontId="1" type="noConversion"/>
  </si>
  <si>
    <t>FG_VAT</t>
  </si>
  <si>
    <t>부가세코드</t>
  </si>
  <si>
    <t>디폴트 WMS로 셋팅</t>
    <phoneticPr fontId="1" type="noConversion"/>
  </si>
  <si>
    <t>FG_DATA</t>
  </si>
  <si>
    <t>연동구분</t>
  </si>
  <si>
    <t>입력시스템구분 "OMS", "WMS"
어디에서 수불처리를 했는지(WMS에서 처리)</t>
    <phoneticPr fontId="1" type="noConversion"/>
  </si>
  <si>
    <t>WMS_RETURN_TRAN</t>
    <phoneticPr fontId="1" type="noConversion"/>
  </si>
  <si>
    <t>proc_ymd</t>
    <phoneticPr fontId="1" type="noConversion"/>
  </si>
  <si>
    <t>varchar(8)</t>
    <phoneticPr fontId="1" type="noConversion"/>
  </si>
  <si>
    <t>처리_연월일(반품)</t>
    <phoneticPr fontId="1" type="noConversion"/>
  </si>
  <si>
    <t>품목별 처리일자 그룹핑 후 MAX값으로 전달</t>
    <phoneticPr fontId="1" type="noConversion"/>
  </si>
  <si>
    <t>DT_DUEDATE</t>
  </si>
  <si>
    <t>배송일자</t>
  </si>
  <si>
    <t>WMS : 출하일자 / OMS : 배송요청일
반품처리일자</t>
    <phoneticPr fontId="1" type="noConversion"/>
  </si>
  <si>
    <t>디폴트 N으로 셋팅</t>
    <phoneticPr fontId="1" type="noConversion"/>
  </si>
  <si>
    <t>FG_STAT</t>
  </si>
  <si>
    <t>처리상태</t>
  </si>
  <si>
    <t>N : 검토전(연동시스템 디폴트값)
Y : 처리완료(ERP UPDATE)
P : 검토완료(ERP UPDATE)
E : 오류(ERP UPDATE)</t>
    <phoneticPr fontId="1" type="noConversion"/>
  </si>
  <si>
    <t>디폴트 null로 셋팅</t>
    <phoneticPr fontId="1" type="noConversion"/>
  </si>
  <si>
    <t>SA_Z_KCFNB_GI_PROC_IF</t>
    <phoneticPr fontId="1" type="noConversion"/>
  </si>
  <si>
    <t>ERR_MSG</t>
  </si>
  <si>
    <t>에러메세지</t>
  </si>
  <si>
    <t>FG_STAT = 'E' 일 경우 에러메세지</t>
    <phoneticPr fontId="1" type="noConversion"/>
  </si>
  <si>
    <t>sysdate</t>
    <phoneticPr fontId="1" type="noConversion"/>
  </si>
  <si>
    <t>마감처리한 유저의 사번으로 입력</t>
    <phoneticPr fontId="1" type="noConversion"/>
  </si>
  <si>
    <t>사번</t>
    <phoneticPr fontId="1" type="noConversion"/>
  </si>
  <si>
    <t>디폴트 null로 셋팅</t>
    <phoneticPr fontId="1" type="noConversion"/>
  </si>
  <si>
    <t>SA_Z_KCFNB_GI_PROC_IF</t>
    <phoneticPr fontId="1" type="noConversion"/>
  </si>
  <si>
    <t>proc_user_id</t>
    <phoneticPr fontId="1" type="noConversion"/>
  </si>
  <si>
    <t>varchar(20)</t>
    <phoneticPr fontId="1" type="noConversion"/>
  </si>
  <si>
    <t>처리_자_ID(반품)</t>
    <phoneticPr fontId="1" type="noConversion"/>
  </si>
  <si>
    <t>SA_Z_KCFNB_GI_PROC_IF</t>
    <phoneticPr fontId="1" type="noConversion"/>
  </si>
  <si>
    <t>NO_EMP_QTIO</t>
  </si>
  <si>
    <t>출하담당자</t>
  </si>
  <si>
    <t>WMS : 출하담당자 사번 / OMS : ??
반품처리담당자</t>
    <phoneticPr fontId="1" type="noConversion"/>
  </si>
  <si>
    <t>insert 시 품목순번 채번하여 입력</t>
    <phoneticPr fontId="1" type="noConversion"/>
  </si>
  <si>
    <t>YN_FINAL</t>
  </si>
  <si>
    <t>최종 연동로우</t>
  </si>
  <si>
    <t>WMS에서 마감데이터 INSERT 시, 마지막로우 체크용, 연동번호항번 기준 최종 로우일 경우 Y, 그 외 N</t>
    <phoneticPr fontId="1" type="noConversion"/>
  </si>
  <si>
    <t>기타</t>
    <phoneticPr fontId="99" type="noConversion"/>
  </si>
  <si>
    <t>인터페이스명</t>
    <phoneticPr fontId="1" type="noConversion"/>
  </si>
  <si>
    <t>예외출고_등록</t>
    <phoneticPr fontId="1" type="noConversion"/>
  </si>
  <si>
    <t>인터페이스 개요</t>
    <phoneticPr fontId="1" type="noConversion"/>
  </si>
  <si>
    <t>인터페이스 상세</t>
    <phoneticPr fontId="1" type="noConversion"/>
  </si>
  <si>
    <t>1. ERP  연동 (ERP → WMS)</t>
    <phoneticPr fontId="1" type="noConversion"/>
  </si>
  <si>
    <t>Description</t>
    <phoneticPr fontId="1" type="noConversion"/>
  </si>
  <si>
    <t>WMS에서 ERP DB 접근하여 데이터 추출
계정대체_등록(삭제) / 재고이동_등록(삭제) / 구매반품_등록(삭제) 6개의 API 통합하여 관리
ERP의 재고이동요청/출고요청/매입반품의뢰</t>
    <phoneticPr fontId="1" type="noConversion"/>
  </si>
  <si>
    <t>인터페이스 유형</t>
    <phoneticPr fontId="1" type="noConversion"/>
  </si>
  <si>
    <t>적용방식</t>
    <phoneticPr fontId="1" type="noConversion"/>
  </si>
  <si>
    <t>DB2DB</t>
    <phoneticPr fontId="1" type="noConversion"/>
  </si>
  <si>
    <t>발생주기</t>
    <phoneticPr fontId="1" type="noConversion"/>
  </si>
  <si>
    <t>SOURCE</t>
    <phoneticPr fontId="1" type="noConversion"/>
  </si>
  <si>
    <t>TARGET</t>
    <phoneticPr fontId="1" type="noConversion"/>
  </si>
  <si>
    <t>시스템</t>
    <phoneticPr fontId="1" type="noConversion"/>
  </si>
  <si>
    <t>INPUT</t>
    <phoneticPr fontId="1" type="noConversion"/>
  </si>
  <si>
    <t>Table Name</t>
    <phoneticPr fontId="1" type="noConversion"/>
  </si>
  <si>
    <t>Field</t>
    <phoneticPr fontId="1" type="noConversion"/>
  </si>
  <si>
    <t>Data Type</t>
    <phoneticPr fontId="1" type="noConversion"/>
  </si>
  <si>
    <t>PK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</si>
  <si>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</si>
  <si>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</si>
  <si>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</si>
  <si>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Field</t>
    <phoneticPr fontId="1" type="noConversion"/>
  </si>
  <si>
    <t>Null</t>
    <phoneticPr fontId="1" type="noConversion"/>
  </si>
  <si>
    <t>MM_Z_KCFNB_GIREQ_IF</t>
    <phoneticPr fontId="1" type="noConversion"/>
  </si>
  <si>
    <t>BIGINT</t>
    <phoneticPr fontId="1" type="noConversion"/>
  </si>
  <si>
    <t>NN</t>
    <phoneticPr fontId="1" type="noConversion"/>
  </si>
  <si>
    <t>최초 1, 데이터 INSERT 될때마다, MAX+1</t>
    <phoneticPr fontId="1" type="noConversion"/>
  </si>
  <si>
    <t>신규,수정/삭제 (A/D)</t>
    <phoneticPr fontId="1" type="noConversion"/>
  </si>
  <si>
    <t>A : 생성 데이터 insert 시
D : PU_RCV(H/L) 데이터 삭제 시</t>
    <phoneticPr fontId="1" type="noConversion"/>
  </si>
  <si>
    <t>MM_Z_KCFNB_GIREQ_IF</t>
    <phoneticPr fontId="1" type="noConversion"/>
  </si>
  <si>
    <t>insert 시점의 sysdate</t>
    <phoneticPr fontId="1" type="noConversion"/>
  </si>
  <si>
    <t>CHAR(1)</t>
    <phoneticPr fontId="1" type="noConversion"/>
  </si>
  <si>
    <t>N</t>
    <phoneticPr fontId="1" type="noConversion"/>
  </si>
  <si>
    <t>WMS 미수신 = N
WMS 수신 = Y
WMS 처리중 또는 처리완료 = P (ERP 수정불가)
에러 = E</t>
    <phoneticPr fontId="1" type="noConversion"/>
  </si>
  <si>
    <t>MM_Z_KCFNB_GIREQ_IF</t>
    <phoneticPr fontId="1" type="noConversion"/>
  </si>
  <si>
    <t>DATETIME</t>
    <phoneticPr fontId="1" type="noConversion"/>
  </si>
  <si>
    <t>WMS 데이터 수신 후 getdate()로 업데이트 처리</t>
    <phoneticPr fontId="1" type="noConversion"/>
  </si>
  <si>
    <t>사업장 SEQ</t>
    <phoneticPr fontId="1" type="noConversion"/>
  </si>
  <si>
    <t>1: 교촌에프앤비</t>
    <phoneticPr fontId="1" type="noConversion"/>
  </si>
  <si>
    <t>WMS_INVEN_ETC</t>
    <phoneticPr fontId="1" type="noConversion"/>
  </si>
  <si>
    <t>TEXT</t>
    <phoneticPr fontId="1" type="noConversion"/>
  </si>
  <si>
    <t>최초 등록자(사용자I/F 의 UserID)</t>
    <phoneticPr fontId="1" type="noConversion"/>
  </si>
  <si>
    <t>등록일</t>
    <phoneticPr fontId="1" type="noConversion"/>
  </si>
  <si>
    <t>최초 등록일시</t>
    <phoneticPr fontId="1" type="noConversion"/>
  </si>
  <si>
    <t>데이터 최종수정자(사용자I/F 의 UserID)</t>
    <phoneticPr fontId="1" type="noConversion"/>
  </si>
  <si>
    <t>mod_id</t>
    <phoneticPr fontId="1" type="noConversion"/>
  </si>
  <si>
    <t>WMS_INVEN_ETC</t>
    <phoneticPr fontId="1" type="noConversion"/>
  </si>
  <si>
    <t>if_key</t>
    <phoneticPr fontId="1" type="noConversion"/>
  </si>
  <si>
    <t>PK</t>
    <phoneticPr fontId="1" type="noConversion"/>
  </si>
  <si>
    <t>ERP의 요청번호(NO_GIREQ) 셋팅</t>
    <phoneticPr fontId="1" type="noConversion"/>
  </si>
  <si>
    <t>WMS_INVEN_ETC_PROD</t>
    <phoneticPr fontId="1" type="noConversion"/>
  </si>
  <si>
    <t>if_idx</t>
    <phoneticPr fontId="1" type="noConversion"/>
  </si>
  <si>
    <t>I/F 서브키</t>
    <phoneticPr fontId="1" type="noConversion"/>
  </si>
  <si>
    <t>ERP의 요청항번(NO_LINE) 셋팅</t>
    <phoneticPr fontId="1" type="noConversion"/>
  </si>
  <si>
    <t>CD_COMPANY</t>
    <phoneticPr fontId="1" type="noConversion"/>
  </si>
  <si>
    <t>예외출고 마감 시 ERP 전달용</t>
    <phoneticPr fontId="1" type="noConversion"/>
  </si>
  <si>
    <t>erp_company_cd</t>
    <phoneticPr fontId="1" type="noConversion"/>
  </si>
  <si>
    <t>ERP 회사코드</t>
    <phoneticPr fontId="1" type="noConversion"/>
  </si>
  <si>
    <t>신규컬럼 추가</t>
    <phoneticPr fontId="1" type="noConversion"/>
  </si>
  <si>
    <t>CD_BIZAREA</t>
    <phoneticPr fontId="1" type="noConversion"/>
  </si>
  <si>
    <t>사업장코드</t>
    <phoneticPr fontId="1" type="noConversion"/>
  </si>
  <si>
    <t>erp_bizarea_cd</t>
    <phoneticPr fontId="1" type="noConversion"/>
  </si>
  <si>
    <t>ERP 사업장코드</t>
    <phoneticPr fontId="1" type="noConversion"/>
  </si>
  <si>
    <t>신규컬럼 추가</t>
    <phoneticPr fontId="1" type="noConversion"/>
  </si>
  <si>
    <t>PK</t>
    <phoneticPr fontId="1" type="noConversion"/>
  </si>
  <si>
    <t>공장코드</t>
    <phoneticPr fontId="1" type="noConversion"/>
  </si>
  <si>
    <t>예외출고 마감 시 ERP 전달용</t>
    <phoneticPr fontId="1" type="noConversion"/>
  </si>
  <si>
    <t>erp_plant_cd</t>
    <phoneticPr fontId="1" type="noConversion"/>
  </si>
  <si>
    <t>VARCHAR(7)</t>
    <phoneticPr fontId="1" type="noConversion"/>
  </si>
  <si>
    <t>ERP 공장코드</t>
    <phoneticPr fontId="1" type="noConversion"/>
  </si>
  <si>
    <t>WMS_INVEN_ETC</t>
    <phoneticPr fontId="1" type="noConversion"/>
  </si>
  <si>
    <t>etc_type_cd</t>
    <phoneticPr fontId="1" type="noConversion"/>
  </si>
  <si>
    <t>ERP의 수불구분(FG_IO)/대체유형(FG_GI) 기준으로 셋팅
012:계정대체 / 대체유형 {
  EX01(폐기), EX03(판매촉진비), EX05(연구개발비), 
  EX07(소모품비), EX09(신규교육), EX11(보수교육), 
  EX13(견본비), EX15(현물기부)
}
재고이동(022) {
  EX31(원자재외주창고이동)
}
구매반품(030) {
  EX95(구매반품)
}</t>
    <phoneticPr fontId="1" type="noConversion"/>
  </si>
  <si>
    <t>NO_GIREQ</t>
    <phoneticPr fontId="1" type="noConversion"/>
  </si>
  <si>
    <t>NVARCHAR(20)</t>
    <phoneticPr fontId="1" type="noConversion"/>
  </si>
  <si>
    <t>NN</t>
    <phoneticPr fontId="1" type="noConversion"/>
  </si>
  <si>
    <t>요청번호</t>
    <phoneticPr fontId="1" type="noConversion"/>
  </si>
  <si>
    <t>req_no</t>
    <phoneticPr fontId="1" type="noConversion"/>
  </si>
  <si>
    <t>VARCHAR(30)</t>
    <phoneticPr fontId="1" type="noConversion"/>
  </si>
  <si>
    <t>ERP_요청번호</t>
  </si>
  <si>
    <t>NO_LINE</t>
    <phoneticPr fontId="1" type="noConversion"/>
  </si>
  <si>
    <t>NUMERIC(5,0)</t>
    <phoneticPr fontId="1" type="noConversion"/>
  </si>
  <si>
    <t>요청항번</t>
    <phoneticPr fontId="1" type="noConversion"/>
  </si>
  <si>
    <t>예외출고 마감 시 ERP 전달용</t>
    <phoneticPr fontId="1" type="noConversion"/>
  </si>
  <si>
    <t>WMS_INVEN_ETC_PROD</t>
    <phoneticPr fontId="1" type="noConversion"/>
  </si>
  <si>
    <t>erp_line_no</t>
    <phoneticPr fontId="1" type="noConversion"/>
  </si>
  <si>
    <t>ERP 요청항번</t>
    <phoneticPr fontId="1" type="noConversion"/>
  </si>
  <si>
    <t>D1에 신규컬럼 추가 필요</t>
    <phoneticPr fontId="1" type="noConversion"/>
  </si>
  <si>
    <t>NO_PO</t>
    <phoneticPr fontId="1" type="noConversion"/>
  </si>
  <si>
    <t>NULL</t>
    <phoneticPr fontId="1" type="noConversion"/>
  </si>
  <si>
    <t>발주번호</t>
    <phoneticPr fontId="1" type="noConversion"/>
  </si>
  <si>
    <t>예외출고 마감 시 ERP 전달용
매입반품의뢰 시 값 INSERT, 그 외 NULL</t>
    <phoneticPr fontId="1" type="noConversion"/>
  </si>
  <si>
    <t>D1에 신규컬럼 추가 필요</t>
  </si>
  <si>
    <t>NO_POLINE</t>
    <phoneticPr fontId="1" type="noConversion"/>
  </si>
  <si>
    <t>NUMERIC(5,0)</t>
    <phoneticPr fontId="1" type="noConversion"/>
  </si>
  <si>
    <t>발주항번</t>
    <phoneticPr fontId="1" type="noConversion"/>
  </si>
  <si>
    <t>예외출고 마감 시 ERP 전달용
매입반품의뢰 시 값 INSERT, 그 외 0</t>
    <phoneticPr fontId="1" type="noConversion"/>
  </si>
  <si>
    <t>ERP창고코드(FROM) 기준으로 센터정보 셋팅 
"센터정보" 시트 참조</t>
    <phoneticPr fontId="1" type="noConversion"/>
  </si>
  <si>
    <t>CD_SL</t>
    <phoneticPr fontId="1" type="noConversion"/>
  </si>
  <si>
    <t>창고코드(FROM)</t>
    <phoneticPr fontId="1" type="noConversion"/>
  </si>
  <si>
    <t>예외출고 마감 시 ERP 전달용
출고창고</t>
    <phoneticPr fontId="1" type="noConversion"/>
  </si>
  <si>
    <t>erp_wh_cd</t>
    <phoneticPr fontId="1" type="noConversion"/>
  </si>
  <si>
    <t>예외출고처</t>
    <phoneticPr fontId="1" type="noConversion"/>
  </si>
  <si>
    <t>ERP 출고창고</t>
    <phoneticPr fontId="1" type="noConversion"/>
  </si>
  <si>
    <t>MM_Z_KCFNB_GIREQ_IF</t>
    <phoneticPr fontId="1" type="noConversion"/>
  </si>
  <si>
    <t xml:space="preserve">CD_GRSL </t>
  </si>
  <si>
    <t>NVARCHAR(7)</t>
    <phoneticPr fontId="1" type="noConversion"/>
  </si>
  <si>
    <t>창고코드(TO)</t>
    <phoneticPr fontId="1" type="noConversion"/>
  </si>
  <si>
    <t>예외출고 마감 시 ERP 전달용
재고이동일 경우 입고창고 INSERT, 그 외 NULL</t>
    <phoneticPr fontId="1" type="noConversion"/>
  </si>
  <si>
    <t>erp_grsl_cd</t>
    <phoneticPr fontId="1" type="noConversion"/>
  </si>
  <si>
    <t>이동창고(TO)</t>
    <phoneticPr fontId="1" type="noConversion"/>
  </si>
  <si>
    <t>신규컬럼 추가 필요
ERP의 재고이동(수도권센터 -&gt;원자재외부센터) 처리 시 to창고</t>
    <phoneticPr fontId="1" type="noConversion"/>
  </si>
  <si>
    <t>FG_GIREQ</t>
    <phoneticPr fontId="1" type="noConversion"/>
  </si>
  <si>
    <t>수불유형</t>
    <phoneticPr fontId="1" type="noConversion"/>
  </si>
  <si>
    <t>예외출고 마감 시 ERP 전달용
계정대체출고(401), 구매반품(132), 재고이동(501, 502)</t>
    <phoneticPr fontId="1" type="noConversion"/>
  </si>
  <si>
    <t>erp_gireq_fg</t>
    <phoneticPr fontId="1" type="noConversion"/>
  </si>
  <si>
    <t>VARCHAR(3)</t>
    <phoneticPr fontId="1" type="noConversion"/>
  </si>
  <si>
    <t>ERP 수불유형</t>
    <phoneticPr fontId="1" type="noConversion"/>
  </si>
  <si>
    <t>001    판매촉진비</t>
  </si>
  <si>
    <t>EX03(판매촉진비)</t>
  </si>
  <si>
    <t>FG_IO</t>
    <phoneticPr fontId="1" type="noConversion"/>
  </si>
  <si>
    <t>수불구분</t>
    <phoneticPr fontId="1" type="noConversion"/>
  </si>
  <si>
    <t>예외출고 마감 시 ERP 전달용
012:계정대체출고 / 030:구매반품 / 022:창고이동</t>
    <phoneticPr fontId="1" type="noConversion"/>
  </si>
  <si>
    <t>erp_io_fg</t>
    <phoneticPr fontId="1" type="noConversion"/>
  </si>
  <si>
    <t>ERP 수불구분</t>
    <phoneticPr fontId="1" type="noConversion"/>
  </si>
  <si>
    <t>002    연구개발비</t>
  </si>
  <si>
    <t>EX05(연구개발비)</t>
  </si>
  <si>
    <t>FG_GI</t>
    <phoneticPr fontId="1" type="noConversion"/>
  </si>
  <si>
    <t>대체유형</t>
    <phoneticPr fontId="1" type="noConversion"/>
  </si>
  <si>
    <t>1.FG_GIREQ = '401' 일 때 INSERT, 그 외 null
2.공통코드 中 '대체유형' 참조
3.ERP 대체유형 코드 INSERT 예정</t>
    <phoneticPr fontId="1" type="noConversion"/>
  </si>
  <si>
    <t>erp_gi_fg</t>
    <phoneticPr fontId="1" type="noConversion"/>
  </si>
  <si>
    <t>ERP 대체유형</t>
    <phoneticPr fontId="1" type="noConversion"/>
  </si>
  <si>
    <t>003    소모품비</t>
  </si>
  <si>
    <t>EX07(소모품비)</t>
  </si>
  <si>
    <t>NCHAR(8)</t>
    <phoneticPr fontId="1" type="noConversion"/>
  </si>
  <si>
    <t>요청등록일</t>
    <phoneticPr fontId="1" type="noConversion"/>
  </si>
  <si>
    <t>-</t>
    <phoneticPr fontId="1" type="noConversion"/>
  </si>
  <si>
    <t>WMS 관리 X</t>
  </si>
  <si>
    <t>004    신규교육</t>
  </si>
  <si>
    <t>EX09(신규교육)</t>
  </si>
  <si>
    <t>납품예정일</t>
    <phoneticPr fontId="1" type="noConversion"/>
  </si>
  <si>
    <t>req_ymd</t>
    <phoneticPr fontId="1" type="noConversion"/>
  </si>
  <si>
    <t>VARCHAR(8)</t>
    <phoneticPr fontId="1" type="noConversion"/>
  </si>
  <si>
    <t>예정일</t>
  </si>
  <si>
    <t>양식: yyyymmdd
ERP 납기일</t>
  </si>
  <si>
    <t>005    보수교육</t>
  </si>
  <si>
    <t>EX11(보수교육)</t>
  </si>
  <si>
    <t>NVARCHAR(10)</t>
    <phoneticPr fontId="1" type="noConversion"/>
  </si>
  <si>
    <t>요청자</t>
    <phoneticPr fontId="1" type="noConversion"/>
  </si>
  <si>
    <t>ERP 사번</t>
    <phoneticPr fontId="1" type="noConversion"/>
  </si>
  <si>
    <t>006    견본비</t>
  </si>
  <si>
    <t>EX13(견본비)</t>
  </si>
  <si>
    <t>NM_KOR</t>
    <phoneticPr fontId="1" type="noConversion"/>
  </si>
  <si>
    <t>NVARCHAR(40)</t>
    <phoneticPr fontId="1" type="noConversion"/>
  </si>
  <si>
    <t>req_user_nm</t>
    <phoneticPr fontId="1" type="noConversion"/>
  </si>
  <si>
    <t>VARCHAR(100)</t>
    <phoneticPr fontId="1" type="noConversion"/>
  </si>
  <si>
    <t>007    폐기</t>
  </si>
  <si>
    <t>EX01(폐기)</t>
  </si>
  <si>
    <t>NVARCHAR(10)</t>
    <phoneticPr fontId="1" type="noConversion"/>
  </si>
  <si>
    <t>요청자부서</t>
    <phoneticPr fontId="1" type="noConversion"/>
  </si>
  <si>
    <t>008    가맹점상품</t>
  </si>
  <si>
    <t>NM_DEPT</t>
    <phoneticPr fontId="1" type="noConversion"/>
  </si>
  <si>
    <t>NVARCHAR(50)</t>
    <phoneticPr fontId="1" type="noConversion"/>
  </si>
  <si>
    <t>요청부서명</t>
  </si>
  <si>
    <t>req_dept_nm</t>
    <phoneticPr fontId="1" type="noConversion"/>
  </si>
  <si>
    <t>009    직영점손익처리</t>
  </si>
  <si>
    <t>품목코드</t>
    <phoneticPr fontId="1" type="noConversion"/>
  </si>
  <si>
    <t>품목ID</t>
  </si>
  <si>
    <t>010    재고조정</t>
  </si>
  <si>
    <t>NUMERIC(17,4)</t>
    <phoneticPr fontId="1" type="noConversion"/>
  </si>
  <si>
    <t>요청수량</t>
    <phoneticPr fontId="1" type="noConversion"/>
  </si>
  <si>
    <t>req_qty</t>
    <phoneticPr fontId="1" type="noConversion"/>
  </si>
  <si>
    <t>011    무상입고</t>
  </si>
  <si>
    <t>비고</t>
    <phoneticPr fontId="1" type="noConversion"/>
  </si>
  <si>
    <t>note</t>
    <phoneticPr fontId="1" type="noConversion"/>
  </si>
  <si>
    <t>012    품질비용</t>
  </si>
  <si>
    <t>N</t>
    <phoneticPr fontId="1" type="noConversion"/>
  </si>
  <si>
    <t>반품여부</t>
    <phoneticPr fontId="1" type="noConversion"/>
  </si>
  <si>
    <t>예외출고 마감 시 ERP 전달용
매입반품의뢰 시 사용</t>
    <phoneticPr fontId="1" type="noConversion"/>
  </si>
  <si>
    <t>erp_return_yn</t>
    <phoneticPr fontId="1" type="noConversion"/>
  </si>
  <si>
    <t>ERP 반품여부</t>
    <phoneticPr fontId="1" type="noConversion"/>
  </si>
  <si>
    <t>C01    품목전환</t>
  </si>
  <si>
    <t>발주유형</t>
    <phoneticPr fontId="1" type="noConversion"/>
  </si>
  <si>
    <t>erp_tppo_cd</t>
    <phoneticPr fontId="1" type="noConversion"/>
  </si>
  <si>
    <t>ERP 발주유형</t>
    <phoneticPr fontId="1" type="noConversion"/>
  </si>
  <si>
    <t>거래처코드</t>
    <phoneticPr fontId="1" type="noConversion"/>
  </si>
  <si>
    <t>cont_seq</t>
    <phoneticPr fontId="1" type="noConversion"/>
  </si>
  <si>
    <t>IF_거래처_ID</t>
    <phoneticPr fontId="1" type="noConversion"/>
  </si>
  <si>
    <t>거래처(출고지, 매입처) 코드
EX31(원자재외주창고이동) / EX95(구매반품) 시 필수
거래처ID =&gt; 거래처SEQ 변환 후 저장</t>
    <phoneticPr fontId="1" type="noConversion"/>
  </si>
  <si>
    <t>C02    소모품비(제조)</t>
  </si>
  <si>
    <t>NVARCHAR(3)</t>
    <phoneticPr fontId="1" type="noConversion"/>
  </si>
  <si>
    <t>예외출고 마감 시 ERP 전달</t>
    <phoneticPr fontId="1" type="noConversion"/>
  </si>
  <si>
    <t>erp_exch_cd</t>
    <phoneticPr fontId="1" type="noConversion"/>
  </si>
  <si>
    <t>ERP 환종</t>
    <phoneticPr fontId="1" type="noConversion"/>
  </si>
  <si>
    <t>C11    매각(이익)</t>
  </si>
  <si>
    <t>RT_EXCH</t>
    <phoneticPr fontId="1" type="noConversion"/>
  </si>
  <si>
    <t>NUMERIC(11,4)</t>
    <phoneticPr fontId="1" type="noConversion"/>
  </si>
  <si>
    <t>erp_exch_rt</t>
    <phoneticPr fontId="1" type="noConversion"/>
  </si>
  <si>
    <t>ERP 환율</t>
    <phoneticPr fontId="1" type="noConversion"/>
  </si>
  <si>
    <t>C15    매각(손실)</t>
  </si>
  <si>
    <t>erp_ex_um</t>
    <phoneticPr fontId="1" type="noConversion"/>
  </si>
  <si>
    <t>ERP 단가</t>
    <phoneticPr fontId="1" type="noConversion"/>
  </si>
  <si>
    <t>예외출고 마감 시 ERP 전달
수불수량*단가</t>
    <phoneticPr fontId="1" type="noConversion"/>
  </si>
  <si>
    <t>erp_ex_am</t>
    <phoneticPr fontId="1" type="noConversion"/>
  </si>
  <si>
    <t>ERP 금액</t>
    <phoneticPr fontId="1" type="noConversion"/>
  </si>
  <si>
    <t>CD_PURGRP</t>
    <phoneticPr fontId="1" type="noConversion"/>
  </si>
  <si>
    <t>구매그룹</t>
    <phoneticPr fontId="1" type="noConversion"/>
  </si>
  <si>
    <t>ERP 구매그룹</t>
    <phoneticPr fontId="1" type="noConversion"/>
  </si>
  <si>
    <t>E01    현물기부</t>
  </si>
  <si>
    <t>EX15(현물기부)</t>
  </si>
  <si>
    <t>CD_CC</t>
    <phoneticPr fontId="1" type="noConversion"/>
  </si>
  <si>
    <t>NVARCHAR(12)</t>
    <phoneticPr fontId="1" type="noConversion"/>
  </si>
  <si>
    <t>코스트센터</t>
    <phoneticPr fontId="1" type="noConversion"/>
  </si>
  <si>
    <t>erp_cc_cd</t>
    <phoneticPr fontId="1" type="noConversion"/>
  </si>
  <si>
    <t>VARCHAR(12)</t>
    <phoneticPr fontId="1" type="noConversion"/>
  </si>
  <si>
    <t>ERP 코스트센터</t>
    <phoneticPr fontId="1" type="noConversion"/>
  </si>
  <si>
    <t>F01    배터믹스디스펜서손익</t>
  </si>
  <si>
    <t>EX99(예외출고기타)</t>
    <phoneticPr fontId="1" type="noConversion"/>
  </si>
  <si>
    <t>인터페이스명</t>
    <phoneticPr fontId="1" type="noConversion"/>
  </si>
  <si>
    <t>예외출고_마감</t>
    <phoneticPr fontId="1" type="noConversion"/>
  </si>
  <si>
    <t>인터페이스 개요</t>
    <phoneticPr fontId="1" type="noConversion"/>
  </si>
  <si>
    <t>Description</t>
    <phoneticPr fontId="1" type="noConversion"/>
  </si>
  <si>
    <t>IF테이블은 ERP DB 스키마에 생성 및 데이터 관리
WMS에서 ERP DB에 직접 접근해 데이터 입력함
계정대체_마감 / 재고이동_마감 / 구매반품_마감 3개의 API 통합하여 관리</t>
    <phoneticPr fontId="1" type="noConversion"/>
  </si>
  <si>
    <t>인터페이스 유형</t>
    <phoneticPr fontId="1" type="noConversion"/>
  </si>
  <si>
    <t>시스템</t>
    <phoneticPr fontId="1" type="noConversion"/>
  </si>
  <si>
    <t>WMS</t>
    <phoneticPr fontId="1" type="noConversion"/>
  </si>
  <si>
    <t>ERP</t>
    <phoneticPr fontId="1" type="noConversion"/>
  </si>
  <si>
    <t>INPUT</t>
    <phoneticPr fontId="1" type="noConversion"/>
  </si>
  <si>
    <t>Table Name</t>
    <phoneticPr fontId="1" type="noConversion"/>
  </si>
  <si>
    <t>Null</t>
    <phoneticPr fontId="1" type="noConversion"/>
  </si>
  <si>
    <t>Default Value</t>
    <phoneticPr fontId="1" type="noConversion"/>
  </si>
  <si>
    <t>Description</t>
    <phoneticPr fontId="1" type="noConversion"/>
  </si>
  <si>
    <t>비고</t>
    <phoneticPr fontId="1" type="noConversion"/>
  </si>
  <si>
    <t>최초 1, 데이터 INSERT 될때마다, MAX+1</t>
    <phoneticPr fontId="1" type="noConversion"/>
  </si>
  <si>
    <t>erp_company_cd</t>
    <phoneticPr fontId="1" type="noConversion"/>
  </si>
  <si>
    <t>NN</t>
    <phoneticPr fontId="1" type="noConversion"/>
  </si>
  <si>
    <t>예외출고_등록 시 전달받은 값</t>
    <phoneticPr fontId="1" type="noConversion"/>
  </si>
  <si>
    <t>CD_COMPANY</t>
    <phoneticPr fontId="1" type="noConversion"/>
  </si>
  <si>
    <t>erp_bizarea_cd</t>
    <phoneticPr fontId="1" type="noConversion"/>
  </si>
  <si>
    <t>ERP 사업장코드</t>
    <phoneticPr fontId="1" type="noConversion"/>
  </si>
  <si>
    <t>CD_BIZAREA</t>
    <phoneticPr fontId="1" type="noConversion"/>
  </si>
  <si>
    <t>erp_plant_cd</t>
    <phoneticPr fontId="1" type="noConversion"/>
  </si>
  <si>
    <t>ERP 공장코드</t>
    <phoneticPr fontId="1" type="noConversion"/>
  </si>
  <si>
    <t>예외출고_등록 시 전달받은 값</t>
    <phoneticPr fontId="1" type="noConversion"/>
  </si>
  <si>
    <t>공장코드</t>
    <phoneticPr fontId="1" type="noConversion"/>
  </si>
  <si>
    <t>etc_no</t>
    <phoneticPr fontId="1" type="noConversion"/>
  </si>
  <si>
    <t>varchar(30)</t>
    <phoneticPr fontId="1" type="noConversion"/>
  </si>
  <si>
    <t>예외출고_번호</t>
    <phoneticPr fontId="1" type="noConversion"/>
  </si>
  <si>
    <t>WMS 예외출고 업무번호</t>
    <phoneticPr fontId="1" type="noConversion"/>
  </si>
  <si>
    <t>NO_POP</t>
    <phoneticPr fontId="1" type="noConversion"/>
  </si>
  <si>
    <t>연동번호</t>
    <phoneticPr fontId="1" type="noConversion"/>
  </si>
  <si>
    <t>insert 시 품목순번 채번하여 입력</t>
    <phoneticPr fontId="1" type="noConversion"/>
  </si>
  <si>
    <t>NO_POP_LINE</t>
    <phoneticPr fontId="1" type="noConversion"/>
  </si>
  <si>
    <t>erp_wh_cd</t>
  </si>
  <si>
    <t>예외출고처</t>
  </si>
  <si>
    <t>CD_SL</t>
    <phoneticPr fontId="1" type="noConversion"/>
  </si>
  <si>
    <t>NO_IO</t>
    <phoneticPr fontId="1" type="noConversion"/>
  </si>
  <si>
    <t>수불번호</t>
    <phoneticPr fontId="1" type="noConversion"/>
  </si>
  <si>
    <t>디폴트 0으로 셋팅</t>
    <phoneticPr fontId="1" type="noConversion"/>
  </si>
  <si>
    <t>NO_IOLINE</t>
    <phoneticPr fontId="1" type="noConversion"/>
  </si>
  <si>
    <t>수불항번</t>
    <phoneticPr fontId="1" type="noConversion"/>
  </si>
  <si>
    <t>WMS_INVEN_ETC_TRAN</t>
    <phoneticPr fontId="1" type="noConversion"/>
  </si>
  <si>
    <t>varchar(8)</t>
    <phoneticPr fontId="1" type="noConversion"/>
  </si>
  <si>
    <t>처리_연월일(예외출고)</t>
    <phoneticPr fontId="1" type="noConversion"/>
  </si>
  <si>
    <t>DT_IO</t>
    <phoneticPr fontId="1" type="noConversion"/>
  </si>
  <si>
    <t>수불일자</t>
    <phoneticPr fontId="1" type="noConversion"/>
  </si>
  <si>
    <t>WMS_INVEN_ETC</t>
  </si>
  <si>
    <t>NO_ISURCV</t>
    <phoneticPr fontId="1" type="noConversion"/>
  </si>
  <si>
    <t>의뢰번호</t>
    <phoneticPr fontId="1" type="noConversion"/>
  </si>
  <si>
    <t>WMS_INVEN_ETC_PROD</t>
  </si>
  <si>
    <t>ERP 요청항번</t>
  </si>
  <si>
    <t>예외출고_등록 시 전달받은 값</t>
    <phoneticPr fontId="1" type="noConversion"/>
  </si>
  <si>
    <t>NO_ISURCVLINE</t>
    <phoneticPr fontId="1" type="noConversion"/>
  </si>
  <si>
    <t>의뢰항번</t>
    <phoneticPr fontId="1" type="noConversion"/>
  </si>
  <si>
    <t>WMS_INVEN_ETC_PROD</t>
    <phoneticPr fontId="1" type="noConversion"/>
  </si>
  <si>
    <t>NO_PSO_MGMT</t>
    <phoneticPr fontId="1" type="noConversion"/>
  </si>
  <si>
    <t>오더번호</t>
    <phoneticPr fontId="1" type="noConversion"/>
  </si>
  <si>
    <t>NO_PSOLINE_MGMT</t>
    <phoneticPr fontId="1" type="noConversion"/>
  </si>
  <si>
    <t>오더항번</t>
    <phoneticPr fontId="1" type="noConversion"/>
  </si>
  <si>
    <t>계대출(2), 구매반품(1), 재고이동(2)</t>
    <phoneticPr fontId="1" type="noConversion"/>
  </si>
  <si>
    <t>FG_PS</t>
    <phoneticPr fontId="1" type="noConversion"/>
  </si>
  <si>
    <t>입/출고구분</t>
    <phoneticPr fontId="1" type="noConversion"/>
  </si>
  <si>
    <t>입고 : 1, 출고 : 2 / 재고이동='2'</t>
    <phoneticPr fontId="1" type="noConversion"/>
  </si>
  <si>
    <t>계대출(N), 구매반품(Y), , 재고이동(N)</t>
    <phoneticPr fontId="1" type="noConversion"/>
  </si>
  <si>
    <t>MM_Z_KCFNB_QTIO_IF</t>
    <phoneticPr fontId="1" type="noConversion"/>
  </si>
  <si>
    <t>YN_PURSALE</t>
    <phoneticPr fontId="1" type="noConversion"/>
  </si>
  <si>
    <t>거래여부</t>
    <phoneticPr fontId="1" type="noConversion"/>
  </si>
  <si>
    <t>구매반품의 경우 Y, 그 외 Default 값
구매관련 Y, 나머지 N</t>
    <phoneticPr fontId="1" type="noConversion"/>
  </si>
  <si>
    <t>MM_Z_KCFNB_QTIO_IF</t>
    <phoneticPr fontId="1" type="noConversion"/>
  </si>
  <si>
    <t>CD_TPPO</t>
    <phoneticPr fontId="1" type="noConversion"/>
  </si>
  <si>
    <t>NVARCHAR(7)</t>
    <phoneticPr fontId="1" type="noConversion"/>
  </si>
  <si>
    <t>발주유형</t>
    <phoneticPr fontId="1" type="noConversion"/>
  </si>
  <si>
    <t>erp_gireq_fg</t>
    <phoneticPr fontId="1" type="noConversion"/>
  </si>
  <si>
    <t>CD_QTIOTP</t>
    <phoneticPr fontId="1" type="noConversion"/>
  </si>
  <si>
    <t>수불유형</t>
    <phoneticPr fontId="1" type="noConversion"/>
  </si>
  <si>
    <t>구매+B32:P32입고(100), 구매반품(130), 재고이동(500), 계정대체출고</t>
    <phoneticPr fontId="1" type="noConversion"/>
  </si>
  <si>
    <t>NCHAR(3)</t>
    <phoneticPr fontId="1" type="noConversion"/>
  </si>
  <si>
    <t>erp_gi_fg</t>
  </si>
  <si>
    <t>ERP 대체유형</t>
  </si>
  <si>
    <t>FG_TPIO</t>
    <phoneticPr fontId="1" type="noConversion"/>
  </si>
  <si>
    <t>대체유형</t>
    <phoneticPr fontId="1" type="noConversion"/>
  </si>
  <si>
    <t>품목_SEQ</t>
    <phoneticPr fontId="1" type="noConversion"/>
  </si>
  <si>
    <t>ex_qty</t>
    <phoneticPr fontId="1" type="noConversion"/>
  </si>
  <si>
    <t>기처리_수량(예외출고)</t>
    <phoneticPr fontId="1" type="noConversion"/>
  </si>
  <si>
    <t>QT_IO</t>
    <phoneticPr fontId="1" type="noConversion"/>
  </si>
  <si>
    <t>수불수량</t>
    <phoneticPr fontId="1" type="noConversion"/>
  </si>
  <si>
    <t>cont_seq</t>
    <phoneticPr fontId="1" type="noConversion"/>
  </si>
  <si>
    <t>거래처_SEQ</t>
    <phoneticPr fontId="1" type="noConversion"/>
  </si>
  <si>
    <t>거래처SEQ =&gt; 거래처ID 변환 후 입력</t>
    <phoneticPr fontId="1" type="noConversion"/>
  </si>
  <si>
    <t>CD_PARTNER</t>
    <phoneticPr fontId="1" type="noConversion"/>
  </si>
  <si>
    <t>거래처</t>
    <phoneticPr fontId="1" type="noConversion"/>
  </si>
  <si>
    <t>proc_user_id</t>
    <phoneticPr fontId="1" type="noConversion"/>
  </si>
  <si>
    <t>varchar(20)</t>
    <phoneticPr fontId="1" type="noConversion"/>
  </si>
  <si>
    <t>처리_자_ID(예외출고)</t>
    <phoneticPr fontId="1" type="noConversion"/>
  </si>
  <si>
    <t>NO_EMP</t>
    <phoneticPr fontId="1" type="noConversion"/>
  </si>
  <si>
    <t>CD_GROUP</t>
    <phoneticPr fontId="1" type="noConversion"/>
  </si>
  <si>
    <t>그룹코드</t>
    <phoneticPr fontId="1" type="noConversion"/>
  </si>
  <si>
    <t>erp_grsl_cd</t>
  </si>
  <si>
    <t>이동창고(TO)</t>
  </si>
  <si>
    <t>예외출고_등록 시 전달받은 값
ERP의 재고이동(수도권센터 -&gt;원자재외부센터) 처리 시 to창고</t>
    <phoneticPr fontId="1" type="noConversion"/>
  </si>
  <si>
    <t>창고코드(연계)</t>
    <phoneticPr fontId="1" type="noConversion"/>
  </si>
  <si>
    <t>varchar(1000)</t>
    <phoneticPr fontId="1" type="noConversion"/>
  </si>
  <si>
    <t>CD_EXCH</t>
    <phoneticPr fontId="1" type="noConversion"/>
  </si>
  <si>
    <t>RT_EXCH</t>
    <phoneticPr fontId="1" type="noConversion"/>
  </si>
  <si>
    <t>환율</t>
    <phoneticPr fontId="1" type="noConversion"/>
  </si>
  <si>
    <t>WMS_INVEN_ETC_PROD</t>
    <phoneticPr fontId="1" type="noConversion"/>
  </si>
  <si>
    <t>단가</t>
    <phoneticPr fontId="1" type="noConversion"/>
  </si>
  <si>
    <t>AM_EX</t>
    <phoneticPr fontId="1" type="noConversion"/>
  </si>
  <si>
    <t>신규컬럼 추가 필요</t>
  </si>
  <si>
    <t>CD_CC</t>
    <phoneticPr fontId="1" type="noConversion"/>
  </si>
  <si>
    <t>C/C</t>
    <phoneticPr fontId="1" type="noConversion"/>
  </si>
  <si>
    <t>insert 시 getdate() 입력</t>
    <phoneticPr fontId="1" type="noConversion"/>
  </si>
  <si>
    <t>DTS_INSERT</t>
    <phoneticPr fontId="1" type="noConversion"/>
  </si>
  <si>
    <t>입력일시</t>
    <phoneticPr fontId="1" type="noConversion"/>
  </si>
  <si>
    <t>마감처리한 유저의 사번으로 입력</t>
    <phoneticPr fontId="1" type="noConversion"/>
  </si>
  <si>
    <t>ID_INSERT</t>
    <phoneticPr fontId="1" type="noConversion"/>
  </si>
  <si>
    <t>입력자</t>
    <phoneticPr fontId="1" type="noConversion"/>
  </si>
  <si>
    <t>FG_STAT</t>
    <phoneticPr fontId="1" type="noConversion"/>
  </si>
  <si>
    <t>처리상태</t>
    <phoneticPr fontId="1" type="noConversion"/>
  </si>
  <si>
    <t>디폴트 null로 셋팅</t>
    <phoneticPr fontId="1" type="noConversion"/>
  </si>
  <si>
    <t>ERR_MSG</t>
    <phoneticPr fontId="1" type="noConversion"/>
  </si>
  <si>
    <t>YN_RETURN</t>
    <phoneticPr fontId="1" type="noConversion"/>
  </si>
  <si>
    <t>insert 시 품목순번 채번하여 입력</t>
    <phoneticPr fontId="1" type="noConversion"/>
  </si>
  <si>
    <t>YN_FINAL</t>
    <phoneticPr fontId="1" type="noConversion"/>
  </si>
  <si>
    <t>최종 연동로우</t>
    <phoneticPr fontId="1" type="noConversion"/>
  </si>
  <si>
    <t>기타</t>
    <phoneticPr fontId="99" type="noConversion"/>
  </si>
  <si>
    <t>인터페이스명</t>
    <phoneticPr fontId="1" type="noConversion"/>
  </si>
  <si>
    <t>출하_마감</t>
    <phoneticPr fontId="1" type="noConversion"/>
  </si>
  <si>
    <t>1. WMS  연동 (WMS → ERP)</t>
    <phoneticPr fontId="1" type="noConversion"/>
  </si>
  <si>
    <t>Description</t>
    <phoneticPr fontId="1" type="noConversion"/>
  </si>
  <si>
    <t>IF테이블은 ERP DB 스키마에 생성 및 데이터 관리
WMS에서 ERP DB에 직접 접근해 데이터 입력함</t>
    <phoneticPr fontId="1" type="noConversion"/>
  </si>
  <si>
    <t>인터페이스 유형</t>
    <phoneticPr fontId="1" type="noConversion"/>
  </si>
  <si>
    <t>적용방식</t>
    <phoneticPr fontId="1" type="noConversion"/>
  </si>
  <si>
    <t>DB2DB</t>
    <phoneticPr fontId="1" type="noConversion"/>
  </si>
  <si>
    <t>발생주기</t>
    <phoneticPr fontId="1" type="noConversion"/>
  </si>
  <si>
    <t>TARGET</t>
    <phoneticPr fontId="1" type="noConversion"/>
  </si>
  <si>
    <t>WMS</t>
    <phoneticPr fontId="1" type="noConversion"/>
  </si>
  <si>
    <t>시스템</t>
    <phoneticPr fontId="1" type="noConversion"/>
  </si>
  <si>
    <t>ERP</t>
    <phoneticPr fontId="1" type="noConversion"/>
  </si>
  <si>
    <t>INPUT</t>
    <phoneticPr fontId="1" type="noConversion"/>
  </si>
  <si>
    <t>Table Name</t>
    <phoneticPr fontId="1" type="noConversion"/>
  </si>
  <si>
    <t>Field</t>
    <phoneticPr fontId="1" type="noConversion"/>
  </si>
  <si>
    <t>Data Type</t>
    <phoneticPr fontId="1" type="noConversion"/>
  </si>
  <si>
    <t>PK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</si>
  <si>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</si>
  <si>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</si>
  <si>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</si>
  <si>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신규,수정/삭제 (A/D)</t>
    <phoneticPr fontId="1" type="noConversion"/>
  </si>
  <si>
    <t>A : 생성 데이터 insert 시
D : 데이터 삭제 시</t>
    <phoneticPr fontId="1" type="noConversion"/>
  </si>
  <si>
    <t>SA_Z_KCFNB_GI_PROC_IF</t>
    <phoneticPr fontId="1" type="noConversion"/>
  </si>
  <si>
    <t>디폴트 1000으로 셋팅</t>
    <phoneticPr fontId="1" type="noConversion"/>
  </si>
  <si>
    <t>SA_Z_KCFNB_GI_PROC_IF</t>
    <phoneticPr fontId="1" type="noConversion"/>
  </si>
  <si>
    <t>디폴트 1000으로 셋팅</t>
    <phoneticPr fontId="1" type="noConversion"/>
  </si>
  <si>
    <t>WMS_OUTBIZ</t>
    <phoneticPr fontId="1" type="noConversion"/>
  </si>
  <si>
    <t>outbiz_no</t>
  </si>
  <si>
    <t>WMS_문서번호</t>
  </si>
  <si>
    <t>WMS 출하 업무번호</t>
    <phoneticPr fontId="1" type="noConversion"/>
  </si>
  <si>
    <t>연동번호</t>
    <phoneticPr fontId="1" type="noConversion"/>
  </si>
  <si>
    <t>WMS 출하번호
판매반품일 경우 WMS 반품번호</t>
    <phoneticPr fontId="1" type="noConversion"/>
  </si>
  <si>
    <t>연동항번</t>
    <phoneticPr fontId="1" type="noConversion"/>
  </si>
  <si>
    <t>WMS 품목라인번호SEQ</t>
    <phoneticPr fontId="1" type="noConversion"/>
  </si>
  <si>
    <t>WMS_OUTBIZ</t>
    <phoneticPr fontId="1" type="noConversion"/>
  </si>
  <si>
    <t>so_ymd</t>
    <phoneticPr fontId="1" type="noConversion"/>
  </si>
  <si>
    <t>varchar(8)</t>
    <phoneticPr fontId="1" type="noConversion"/>
  </si>
  <si>
    <t>주문_연월일</t>
    <phoneticPr fontId="1" type="noConversion"/>
  </si>
  <si>
    <t>OMS 기준 주문일자
OMS 반품주문 등록일자</t>
    <phoneticPr fontId="1" type="noConversion"/>
  </si>
  <si>
    <t>cont_seq</t>
    <phoneticPr fontId="1" type="noConversion"/>
  </si>
  <si>
    <t>int4</t>
    <phoneticPr fontId="1" type="noConversion"/>
  </si>
  <si>
    <t>주문처_ID</t>
    <phoneticPr fontId="1" type="noConversion"/>
  </si>
  <si>
    <t>거래처SEQ =&gt; 거래처ID 변환 후 저장</t>
    <phoneticPr fontId="1" type="noConversion"/>
  </si>
  <si>
    <t>WMS_OUTBIZ_PROD</t>
    <phoneticPr fontId="1" type="noConversion"/>
  </si>
  <si>
    <t>erp_exch_cd</t>
    <phoneticPr fontId="1" type="noConversion"/>
  </si>
  <si>
    <t>ERP 환종</t>
    <phoneticPr fontId="1" type="noConversion"/>
  </si>
  <si>
    <t>출하예정 OMS IF 수신 가능 확인 필요</t>
    <phoneticPr fontId="1" type="noConversion"/>
  </si>
  <si>
    <t>Default 값
OMS에서 못주면 디폴트 셋팅</t>
    <phoneticPr fontId="1" type="noConversion"/>
  </si>
  <si>
    <t>WMS_OUTBIZ_PROD</t>
    <phoneticPr fontId="1" type="noConversion"/>
  </si>
  <si>
    <t>ERP 환율</t>
    <phoneticPr fontId="1" type="noConversion"/>
  </si>
  <si>
    <t>출하예정 OMS IF 수신 가능 확인 필요</t>
    <phoneticPr fontId="1" type="noConversion"/>
  </si>
  <si>
    <t>ERP 영업그룹</t>
    <phoneticPr fontId="1" type="noConversion"/>
  </si>
  <si>
    <t>CD_SALEGRP</t>
    <phoneticPr fontId="1" type="noConversion"/>
  </si>
  <si>
    <t>VARCHAR(10)</t>
    <phoneticPr fontId="1" type="noConversion"/>
  </si>
  <si>
    <t>OMS 참조, 영업사원 사번</t>
    <phoneticPr fontId="1" type="noConversion"/>
  </si>
  <si>
    <t>VARCHAR(4)</t>
    <phoneticPr fontId="1" type="noConversion"/>
  </si>
  <si>
    <t>ERP 수주형태</t>
    <phoneticPr fontId="1" type="noConversion"/>
  </si>
  <si>
    <t>SA_Z_KCFNB_GI_PROC_IF</t>
    <phoneticPr fontId="1" type="noConversion"/>
  </si>
  <si>
    <t>디폴트 N로 셋팅</t>
    <phoneticPr fontId="1" type="noConversion"/>
  </si>
  <si>
    <t>정상출하 "N",반품출하 "Y"
정상판매출고, 판매출고랑 다를거임</t>
    <phoneticPr fontId="1" type="noConversion"/>
  </si>
  <si>
    <t>IF_PROD_ID로 컨버팅 후 입력</t>
    <phoneticPr fontId="1" type="noConversion"/>
  </si>
  <si>
    <t>품목코드</t>
    <phoneticPr fontId="1" type="noConversion"/>
  </si>
  <si>
    <t>출고창고코드</t>
    <phoneticPr fontId="1" type="noConversion"/>
  </si>
  <si>
    <t>ex_qty</t>
    <phoneticPr fontId="1" type="noConversion"/>
  </si>
  <si>
    <t>decimal(10,2)</t>
    <phoneticPr fontId="1" type="noConversion"/>
  </si>
  <si>
    <t>기처리_수량(출하)</t>
    <phoneticPr fontId="1" type="noConversion"/>
  </si>
  <si>
    <t>출하수량</t>
    <phoneticPr fontId="1" type="noConversion"/>
  </si>
  <si>
    <t>WMS_OUTBIZ_PROD</t>
    <phoneticPr fontId="1" type="noConversion"/>
  </si>
  <si>
    <t>OMS 참조데이터</t>
    <phoneticPr fontId="1" type="noConversion"/>
  </si>
  <si>
    <t>WMS에서 계산하여 입력(단가 * 처리수량)</t>
    <phoneticPr fontId="1" type="noConversion"/>
  </si>
  <si>
    <t>tax</t>
    <phoneticPr fontId="1" type="noConversion"/>
  </si>
  <si>
    <t>세액</t>
    <phoneticPr fontId="1" type="noConversion"/>
  </si>
  <si>
    <t>ERP 부가세율</t>
    <phoneticPr fontId="1" type="noConversion"/>
  </si>
  <si>
    <t>반품예정 OMS IF 수신 가능 확인 필요</t>
    <phoneticPr fontId="1" type="noConversion"/>
  </si>
  <si>
    <t>TP_VAT</t>
    <phoneticPr fontId="1" type="noConversion"/>
  </si>
  <si>
    <t>ERP 부가세코드</t>
    <phoneticPr fontId="1" type="noConversion"/>
  </si>
  <si>
    <t>반품예정 OMS IF 수신 가능 확인 필요</t>
    <phoneticPr fontId="1" type="noConversion"/>
  </si>
  <si>
    <t>FG_VAT</t>
    <phoneticPr fontId="1" type="noConversion"/>
  </si>
  <si>
    <t>OMS 참조데이터</t>
    <phoneticPr fontId="1" type="noConversion"/>
  </si>
  <si>
    <t>디폴트 WMS로 셋팅</t>
    <phoneticPr fontId="1" type="noConversion"/>
  </si>
  <si>
    <t>입력시스템구분 "OMS", "WMS"
어디에서 수불처리를 했는지(WMS에서 처리)</t>
    <phoneticPr fontId="1" type="noConversion"/>
  </si>
  <si>
    <t>req_ymd</t>
    <phoneticPr fontId="1" type="noConversion"/>
  </si>
  <si>
    <t>처리_연월일(출하)</t>
    <phoneticPr fontId="1" type="noConversion"/>
  </si>
  <si>
    <t>OMS의 배송요청일로 넣어</t>
    <phoneticPr fontId="1" type="noConversion"/>
  </si>
  <si>
    <t>WMS : 출하일자 / OMS : 배송요청일
반품처리일자</t>
    <phoneticPr fontId="1" type="noConversion"/>
  </si>
  <si>
    <t>디폴트 N으로 셋팅</t>
    <phoneticPr fontId="1" type="noConversion"/>
  </si>
  <si>
    <t>N : 검토전(연동시스템 디폴트값)
Y : 처리완료(ERP UPDATE)
P : 검토완료(ERP UPDATE)
E : 오류(ERP UPDATE)</t>
    <phoneticPr fontId="1" type="noConversion"/>
  </si>
  <si>
    <t>디폴트 null로 셋팅</t>
    <phoneticPr fontId="1" type="noConversion"/>
  </si>
  <si>
    <t>FG_STAT = 'E' 일 경우 에러메세지</t>
    <phoneticPr fontId="1" type="noConversion"/>
  </si>
  <si>
    <t>insert 시 getdate() 입력</t>
    <phoneticPr fontId="1" type="noConversion"/>
  </si>
  <si>
    <t>sysdate</t>
    <phoneticPr fontId="1" type="noConversion"/>
  </si>
  <si>
    <t>마감처리한 유저의 사번으로 입력</t>
    <phoneticPr fontId="1" type="noConversion"/>
  </si>
  <si>
    <t>사번</t>
    <phoneticPr fontId="1" type="noConversion"/>
  </si>
  <si>
    <t>WMS_OUTBIZ_TRAN</t>
    <phoneticPr fontId="1" type="noConversion"/>
  </si>
  <si>
    <t>proc_user_id</t>
    <phoneticPr fontId="1" type="noConversion"/>
  </si>
  <si>
    <t>varchar(20)</t>
    <phoneticPr fontId="1" type="noConversion"/>
  </si>
  <si>
    <t>처리_자_ID(출하)</t>
    <phoneticPr fontId="1" type="noConversion"/>
  </si>
  <si>
    <t>품목별 처리자 그룹핑 후 마지막 처리자 전달
처리자ID =&gt; 사번으로 변환 후 입력</t>
    <phoneticPr fontId="1" type="noConversion"/>
  </si>
  <si>
    <t>insert 시 품목순번 채번하여 입력</t>
    <phoneticPr fontId="1" type="noConversion"/>
  </si>
  <si>
    <t>WMS에서 마감데이터 INSERT 시, 마지막로우 체크용, 연동번호항번 기준 최종 로우일 경우 Y, 그 외 N</t>
    <phoneticPr fontId="1" type="noConversion"/>
  </si>
  <si>
    <t>OW001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</si>
  <si>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</si>
  <si>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</si>
  <si>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</si>
  <si>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인터페이스명</t>
    <phoneticPr fontId="1" type="noConversion"/>
  </si>
  <si>
    <t>공통코드</t>
    <phoneticPr fontId="1" type="noConversion"/>
  </si>
  <si>
    <t>인터페이스 상세</t>
    <phoneticPr fontId="1" type="noConversion"/>
  </si>
  <si>
    <t>1. ERP  연동 (ERP → WMS)</t>
    <phoneticPr fontId="1" type="noConversion"/>
  </si>
  <si>
    <t>ERP에서 사용하는 공통코드
View로 제공
참조 데이터로 WMS 공통코드와 자동 동기화 X</t>
    <phoneticPr fontId="1" type="noConversion"/>
  </si>
  <si>
    <t>발생주기</t>
    <phoneticPr fontId="1" type="noConversion"/>
  </si>
  <si>
    <t>SOURCE</t>
    <phoneticPr fontId="1" type="noConversion"/>
  </si>
  <si>
    <t>시스템</t>
    <phoneticPr fontId="1" type="noConversion"/>
  </si>
  <si>
    <t>ERP</t>
    <phoneticPr fontId="1" type="noConversion"/>
  </si>
  <si>
    <t>시스템</t>
    <phoneticPr fontId="1" type="noConversion"/>
  </si>
  <si>
    <t>WMS</t>
    <phoneticPr fontId="1" type="noConversion"/>
  </si>
  <si>
    <t>INPUT</t>
    <phoneticPr fontId="1" type="noConversion"/>
  </si>
  <si>
    <t>Data Type</t>
    <phoneticPr fontId="1" type="noConversion"/>
  </si>
  <si>
    <t>PK</t>
    <phoneticPr fontId="1" type="noConversion"/>
  </si>
  <si>
    <t>Field</t>
    <phoneticPr fontId="1" type="noConversion"/>
  </si>
  <si>
    <t>PK</t>
    <phoneticPr fontId="1" type="noConversion"/>
  </si>
  <si>
    <t>비고</t>
    <phoneticPr fontId="1" type="noConversion"/>
  </si>
  <si>
    <t>V_MA_Z_KCFNB_CODEDTL</t>
    <phoneticPr fontId="1" type="noConversion"/>
  </si>
  <si>
    <t>CD_COMPANY</t>
    <phoneticPr fontId="1" type="noConversion"/>
  </si>
  <si>
    <t>V_MA_Z_KCFNB_CODEDTL</t>
  </si>
  <si>
    <t>CD_FIELD</t>
    <phoneticPr fontId="1" type="noConversion"/>
  </si>
  <si>
    <t>NVARCHAR(10)</t>
    <phoneticPr fontId="1" type="noConversion"/>
  </si>
  <si>
    <t>코드분류</t>
    <phoneticPr fontId="1" type="noConversion"/>
  </si>
  <si>
    <t>EX: CD_FIELD='MA_B000010'</t>
    <phoneticPr fontId="1" type="noConversion"/>
  </si>
  <si>
    <t>CD_SYSDEF</t>
  </si>
  <si>
    <t>NVARCHAR(4)</t>
    <phoneticPr fontId="1" type="noConversion"/>
  </si>
  <si>
    <t>PK</t>
    <phoneticPr fontId="1" type="noConversion"/>
  </si>
  <si>
    <t>구분코드</t>
    <phoneticPr fontId="1" type="noConversion"/>
  </si>
  <si>
    <t>NM_SYSDEF</t>
  </si>
  <si>
    <t>구분코드명</t>
    <phoneticPr fontId="1" type="noConversion"/>
  </si>
  <si>
    <t>USE_YN</t>
  </si>
  <si>
    <t>NULL</t>
    <phoneticPr fontId="1" type="noConversion"/>
  </si>
  <si>
    <t>사용여부</t>
    <phoneticPr fontId="1" type="noConversion"/>
  </si>
  <si>
    <t>CD_FLAG1</t>
    <phoneticPr fontId="1" type="noConversion"/>
  </si>
  <si>
    <t>NVARCHAR(50)</t>
    <phoneticPr fontId="1" type="noConversion"/>
  </si>
  <si>
    <t>구분1</t>
    <phoneticPr fontId="1" type="noConversion"/>
  </si>
  <si>
    <t>매출부가세구분', 'MA_B000046' 일 때 부가세율 계산을 위함</t>
    <phoneticPr fontId="1" type="noConversion"/>
  </si>
  <si>
    <t>입력자</t>
    <phoneticPr fontId="1" type="noConversion"/>
  </si>
  <si>
    <t>등록일</t>
  </si>
  <si>
    <t>수정자</t>
    <phoneticPr fontId="1" type="noConversion"/>
  </si>
  <si>
    <t>NULL</t>
    <phoneticPr fontId="1" type="noConversion"/>
  </si>
  <si>
    <t>수정일</t>
  </si>
  <si>
    <t>기타</t>
    <phoneticPr fontId="99" type="noConversion"/>
  </si>
  <si>
    <t>CD_SYSDEF</t>
    <phoneticPr fontId="1" type="noConversion"/>
  </si>
  <si>
    <t>NM_SYSDEF</t>
    <phoneticPr fontId="1" type="noConversion"/>
  </si>
  <si>
    <t>MA_B000030</t>
    <phoneticPr fontId="1" type="noConversion"/>
  </si>
  <si>
    <t>001</t>
    <phoneticPr fontId="1" type="noConversion"/>
  </si>
  <si>
    <t>육계</t>
    <phoneticPr fontId="1" type="noConversion"/>
  </si>
  <si>
    <t>002</t>
    <phoneticPr fontId="1" type="noConversion"/>
  </si>
  <si>
    <t>전용유</t>
    <phoneticPr fontId="1" type="noConversion"/>
  </si>
  <si>
    <t>003</t>
    <phoneticPr fontId="1" type="noConversion"/>
  </si>
  <si>
    <t>부자재</t>
    <phoneticPr fontId="1" type="noConversion"/>
  </si>
  <si>
    <t>코드분류명</t>
    <phoneticPr fontId="1" type="noConversion"/>
  </si>
  <si>
    <t>CZ_PU00001</t>
    <phoneticPr fontId="1" type="noConversion"/>
  </si>
  <si>
    <t>육계시세</t>
    <phoneticPr fontId="1" type="noConversion"/>
  </si>
  <si>
    <t>MA_B000001</t>
  </si>
  <si>
    <t>거래처구분</t>
    <phoneticPr fontId="1" type="noConversion"/>
  </si>
  <si>
    <t>MA_B000002</t>
  </si>
  <si>
    <t>거래처타입</t>
    <phoneticPr fontId="1" type="noConversion"/>
  </si>
  <si>
    <t>MA_B000003</t>
  </si>
  <si>
    <t>MA_B000004</t>
    <phoneticPr fontId="1" type="noConversion"/>
  </si>
  <si>
    <t>단위</t>
    <phoneticPr fontId="1" type="noConversion"/>
  </si>
  <si>
    <t>ex:묶음,CAN,PAC</t>
    <phoneticPr fontId="1" type="noConversion"/>
  </si>
  <si>
    <t>MA_B000009</t>
    <phoneticPr fontId="1" type="noConversion"/>
  </si>
  <si>
    <t>조달구분</t>
    <phoneticPr fontId="1" type="noConversion"/>
  </si>
  <si>
    <t>MA_B000010</t>
    <phoneticPr fontId="1" type="noConversion"/>
  </si>
  <si>
    <t>MA_B000011</t>
  </si>
  <si>
    <t>품목타입</t>
    <phoneticPr fontId="1" type="noConversion"/>
  </si>
  <si>
    <t>MA_B000018</t>
    <phoneticPr fontId="1" type="noConversion"/>
  </si>
  <si>
    <t>창고구분</t>
    <phoneticPr fontId="1" type="noConversion"/>
  </si>
  <si>
    <t>대분류</t>
    <phoneticPr fontId="1" type="noConversion"/>
  </si>
  <si>
    <t>MA_B000031</t>
  </si>
  <si>
    <t>중분류</t>
    <phoneticPr fontId="1" type="noConversion"/>
  </si>
  <si>
    <t>MA_B000032</t>
  </si>
  <si>
    <t>소분류</t>
    <phoneticPr fontId="1" type="noConversion"/>
  </si>
  <si>
    <t>MA_B000040</t>
    <phoneticPr fontId="1" type="noConversion"/>
  </si>
  <si>
    <t>매출부가세구분</t>
    <phoneticPr fontId="1" type="noConversion"/>
  </si>
  <si>
    <t>MA_B000043</t>
    <phoneticPr fontId="1" type="noConversion"/>
  </si>
  <si>
    <t>거래처정보 은행코드</t>
    <phoneticPr fontId="1" type="noConversion"/>
  </si>
  <si>
    <t>MA_B000046</t>
  </si>
  <si>
    <t>매입부가세구분</t>
    <phoneticPr fontId="1" type="noConversion"/>
  </si>
  <si>
    <t>MA_B000049</t>
    <phoneticPr fontId="1" type="noConversion"/>
  </si>
  <si>
    <t>수불구분</t>
    <phoneticPr fontId="1" type="noConversion"/>
  </si>
  <si>
    <t>MA_B000073</t>
  </si>
  <si>
    <t>MA_B000082</t>
    <phoneticPr fontId="1" type="noConversion"/>
  </si>
  <si>
    <t>MA_B000120</t>
    <phoneticPr fontId="1" type="noConversion"/>
  </si>
  <si>
    <t>시세구분</t>
    <phoneticPr fontId="1" type="noConversion"/>
  </si>
  <si>
    <t>육계시세적용구분</t>
    <phoneticPr fontId="1" type="noConversion"/>
  </si>
  <si>
    <t>SA_B000021</t>
  </si>
  <si>
    <t>단가유형</t>
    <phoneticPr fontId="1" type="noConversion"/>
  </si>
  <si>
    <t>WSR_SRM007</t>
    <phoneticPr fontId="1" type="noConversion"/>
  </si>
  <si>
    <t>주문유형</t>
    <phoneticPr fontId="1" type="noConversion"/>
  </si>
  <si>
    <t>WSR_SRM018</t>
    <phoneticPr fontId="1" type="noConversion"/>
  </si>
  <si>
    <t>주문구분그룹</t>
    <phoneticPr fontId="1" type="noConversion"/>
  </si>
  <si>
    <t>PU_C000021</t>
    <phoneticPr fontId="1" type="noConversion"/>
  </si>
  <si>
    <t>대체유형</t>
    <phoneticPr fontId="1" type="noConversion"/>
  </si>
  <si>
    <t>CD_FLAG1 = 'Y'만 사용</t>
    <phoneticPr fontId="1" type="noConversion"/>
  </si>
  <si>
    <t>인터페이스 개요</t>
    <phoneticPr fontId="1" type="noConversion"/>
  </si>
  <si>
    <t>1. ERP  연동 (ERP → WMS)</t>
    <phoneticPr fontId="1" type="noConversion"/>
  </si>
  <si>
    <t>Description</t>
    <phoneticPr fontId="1" type="noConversion"/>
  </si>
  <si>
    <t>ERP에서 사용하는 품목군코드
View로 제공
참조 데이터로 WMS 공통코드와 자동 동기화 X</t>
    <phoneticPr fontId="1" type="noConversion"/>
  </si>
  <si>
    <t>인터페이스 유형</t>
    <phoneticPr fontId="1" type="noConversion"/>
  </si>
  <si>
    <t>적용방식</t>
    <phoneticPr fontId="1" type="noConversion"/>
  </si>
  <si>
    <t>발생주기</t>
    <phoneticPr fontId="1" type="noConversion"/>
  </si>
  <si>
    <t>SOURCE</t>
    <phoneticPr fontId="1" type="noConversion"/>
  </si>
  <si>
    <t>TARGET</t>
    <phoneticPr fontId="1" type="noConversion"/>
  </si>
  <si>
    <t>시스템</t>
    <phoneticPr fontId="1" type="noConversion"/>
  </si>
  <si>
    <t>시스템</t>
    <phoneticPr fontId="1" type="noConversion"/>
  </si>
  <si>
    <t>INPUT</t>
    <phoneticPr fontId="1" type="noConversion"/>
  </si>
  <si>
    <t>Null</t>
    <phoneticPr fontId="1" type="noConversion"/>
  </si>
  <si>
    <t>Default Value</t>
    <phoneticPr fontId="1" type="noConversion"/>
  </si>
  <si>
    <t>비고</t>
    <phoneticPr fontId="1" type="noConversion"/>
  </si>
  <si>
    <t>Table Name</t>
    <phoneticPr fontId="1" type="noConversion"/>
  </si>
  <si>
    <t>Null</t>
    <phoneticPr fontId="1" type="noConversion"/>
  </si>
  <si>
    <t>V_MA_Z_KCFNB_ITEMGRP</t>
  </si>
  <si>
    <t>CD_COMPANY</t>
    <phoneticPr fontId="1" type="noConversion"/>
  </si>
  <si>
    <t>CD_ITEMGRP</t>
    <phoneticPr fontId="1" type="noConversion"/>
  </si>
  <si>
    <t>NVARCHAR(20)</t>
    <phoneticPr fontId="1" type="noConversion"/>
  </si>
  <si>
    <t>품목군코드</t>
  </si>
  <si>
    <t>NM_ITEMGRP</t>
    <phoneticPr fontId="1" type="noConversion"/>
  </si>
  <si>
    <t>NVARCHAR(50)</t>
    <phoneticPr fontId="1" type="noConversion"/>
  </si>
  <si>
    <t>PK</t>
    <phoneticPr fontId="1" type="noConversion"/>
  </si>
  <si>
    <t>품목군명</t>
  </si>
  <si>
    <t>USE_YN</t>
    <phoneticPr fontId="1" type="noConversion"/>
  </si>
  <si>
    <t>NVARCHAR(1)</t>
    <phoneticPr fontId="1" type="noConversion"/>
  </si>
  <si>
    <t>NVARCHAR(15)</t>
    <phoneticPr fontId="1" type="noConversion"/>
  </si>
  <si>
    <t>NULL</t>
    <phoneticPr fontId="1" type="noConversion"/>
  </si>
  <si>
    <t>CD_FIELD</t>
    <phoneticPr fontId="1" type="noConversion"/>
  </si>
  <si>
    <t>CD_SYSDEF</t>
    <phoneticPr fontId="1" type="noConversion"/>
  </si>
  <si>
    <t>NM_SYSDEF</t>
    <phoneticPr fontId="1" type="noConversion"/>
  </si>
  <si>
    <t>MA_B000030</t>
    <phoneticPr fontId="1" type="noConversion"/>
  </si>
  <si>
    <t>001</t>
    <phoneticPr fontId="1" type="noConversion"/>
  </si>
  <si>
    <t>육계</t>
    <phoneticPr fontId="1" type="noConversion"/>
  </si>
  <si>
    <t>002</t>
    <phoneticPr fontId="1" type="noConversion"/>
  </si>
  <si>
    <t>전용유</t>
    <phoneticPr fontId="1" type="noConversion"/>
  </si>
  <si>
    <t>003</t>
    <phoneticPr fontId="1" type="noConversion"/>
  </si>
  <si>
    <t>부자재</t>
    <phoneticPr fontId="1" type="noConversion"/>
  </si>
  <si>
    <t>코드분류</t>
    <phoneticPr fontId="1" type="noConversion"/>
  </si>
  <si>
    <t>코드분류명</t>
    <phoneticPr fontId="1" type="noConversion"/>
  </si>
  <si>
    <t>비고</t>
    <phoneticPr fontId="1" type="noConversion"/>
  </si>
  <si>
    <t>CZ_PU00001</t>
    <phoneticPr fontId="1" type="noConversion"/>
  </si>
  <si>
    <t>육계시세</t>
    <phoneticPr fontId="1" type="noConversion"/>
  </si>
  <si>
    <t>거래처구분</t>
    <phoneticPr fontId="1" type="noConversion"/>
  </si>
  <si>
    <t>거래처분류</t>
    <phoneticPr fontId="1" type="noConversion"/>
  </si>
  <si>
    <t>MA_B000004</t>
    <phoneticPr fontId="1" type="noConversion"/>
  </si>
  <si>
    <t>단위</t>
    <phoneticPr fontId="1" type="noConversion"/>
  </si>
  <si>
    <t>ex:묶음,CAN,PAC</t>
    <phoneticPr fontId="1" type="noConversion"/>
  </si>
  <si>
    <t>MA_B000009</t>
    <phoneticPr fontId="1" type="noConversion"/>
  </si>
  <si>
    <t>조달구분</t>
    <phoneticPr fontId="1" type="noConversion"/>
  </si>
  <si>
    <t>MA_B000010</t>
    <phoneticPr fontId="1" type="noConversion"/>
  </si>
  <si>
    <t>계정구분</t>
    <phoneticPr fontId="1" type="noConversion"/>
  </si>
  <si>
    <t>품목타입</t>
    <phoneticPr fontId="1" type="noConversion"/>
  </si>
  <si>
    <t>추가</t>
    <phoneticPr fontId="1" type="noConversion"/>
  </si>
  <si>
    <t>MA_B000018</t>
    <phoneticPr fontId="1" type="noConversion"/>
  </si>
  <si>
    <t>MA_B000030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</si>
  <si>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</si>
  <si>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</si>
  <si>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</si>
  <si>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MA_B000040</t>
    <phoneticPr fontId="1" type="noConversion"/>
  </si>
  <si>
    <t>매출부가세구분</t>
    <phoneticPr fontId="1" type="noConversion"/>
  </si>
  <si>
    <t>거래처정보 은행코드</t>
    <phoneticPr fontId="1" type="noConversion"/>
  </si>
  <si>
    <t>MA_B000046</t>
    <phoneticPr fontId="1" type="noConversion"/>
  </si>
  <si>
    <t>매입부가세구분</t>
    <phoneticPr fontId="1" type="noConversion"/>
  </si>
  <si>
    <t>MA_B000049</t>
    <phoneticPr fontId="1" type="noConversion"/>
  </si>
  <si>
    <t>휴폐업구분</t>
    <phoneticPr fontId="1" type="noConversion"/>
  </si>
  <si>
    <t>MA_B000082</t>
    <phoneticPr fontId="1" type="noConversion"/>
  </si>
  <si>
    <t>품온구분</t>
    <phoneticPr fontId="1" type="noConversion"/>
  </si>
  <si>
    <t>MA_B000120</t>
    <phoneticPr fontId="1" type="noConversion"/>
  </si>
  <si>
    <t>시세구분</t>
    <phoneticPr fontId="1" type="noConversion"/>
  </si>
  <si>
    <t>MA_B000120</t>
    <phoneticPr fontId="1" type="noConversion"/>
  </si>
  <si>
    <t>육계시세적용구분</t>
    <phoneticPr fontId="1" type="noConversion"/>
  </si>
  <si>
    <t>추가</t>
    <phoneticPr fontId="1" type="noConversion"/>
  </si>
  <si>
    <t>단가유형</t>
    <phoneticPr fontId="1" type="noConversion"/>
  </si>
  <si>
    <t>WSR_SRM007</t>
    <phoneticPr fontId="1" type="noConversion"/>
  </si>
  <si>
    <t>WSR_SRM018</t>
    <phoneticPr fontId="1" type="noConversion"/>
  </si>
  <si>
    <t>주문구분그룹</t>
    <phoneticPr fontId="1" type="noConversion"/>
  </si>
  <si>
    <t>인터페이스명</t>
    <phoneticPr fontId="1" type="noConversion"/>
  </si>
  <si>
    <t>창고정보</t>
    <phoneticPr fontId="1" type="noConversion"/>
  </si>
  <si>
    <t xml:space="preserve">ERP에서 사용하는 창고정보
View로 제공
참조 데이터로 WMS 공통코드와 자동 동기화 X
</t>
    <phoneticPr fontId="1" type="noConversion"/>
  </si>
  <si>
    <t>DB2DB</t>
    <phoneticPr fontId="1" type="noConversion"/>
  </si>
  <si>
    <t>TARGET</t>
    <phoneticPr fontId="1" type="noConversion"/>
  </si>
  <si>
    <t>Table Name</t>
    <phoneticPr fontId="1" type="noConversion"/>
  </si>
  <si>
    <t>Default Value</t>
    <phoneticPr fontId="1" type="noConversion"/>
  </si>
  <si>
    <t>비고</t>
    <phoneticPr fontId="1" type="noConversion"/>
  </si>
  <si>
    <t>V_MA_Z_KCFNB_SL</t>
    <phoneticPr fontId="1" type="noConversion"/>
  </si>
  <si>
    <t>Y</t>
    <phoneticPr fontId="1" type="noConversion"/>
  </si>
  <si>
    <t>CD_SL</t>
    <phoneticPr fontId="1" type="noConversion"/>
  </si>
  <si>
    <t>ERP기준 창고코드</t>
    <phoneticPr fontId="1" type="noConversion"/>
  </si>
  <si>
    <t>V_MA_Z_KCFNB_SL</t>
    <phoneticPr fontId="1" type="noConversion"/>
  </si>
  <si>
    <t>NM_SL</t>
    <phoneticPr fontId="1" type="noConversion"/>
  </si>
  <si>
    <t>창고명</t>
    <phoneticPr fontId="1" type="noConversion"/>
  </si>
  <si>
    <t>창고명칭</t>
    <phoneticPr fontId="1" type="noConversion"/>
  </si>
  <si>
    <t>V_MA_Z_KCFNB_SL</t>
    <phoneticPr fontId="1" type="noConversion"/>
  </si>
  <si>
    <t>NVARCHAR(15)</t>
    <phoneticPr fontId="1" type="noConversion"/>
  </si>
  <si>
    <t>V_MA_Z_KCFNB_SL</t>
    <phoneticPr fontId="1" type="noConversion"/>
  </si>
  <si>
    <t>NVARCHAR(14)</t>
    <phoneticPr fontId="1" type="noConversion"/>
  </si>
  <si>
    <t>입력일시</t>
    <phoneticPr fontId="1" type="noConversion"/>
  </si>
  <si>
    <t>수정자</t>
    <phoneticPr fontId="1" type="noConversion"/>
  </si>
  <si>
    <t>수정일시</t>
    <phoneticPr fontId="1" type="noConversion"/>
  </si>
  <si>
    <t>--"제주, 강원 클러스터, 부자재창고(4개곳),"</t>
    <phoneticPr fontId="1" type="noConversion"/>
  </si>
  <si>
    <t>&gt; 부자재팀장 협의 중</t>
    <phoneticPr fontId="1" type="noConversion"/>
  </si>
  <si>
    <t>참조 View 목록</t>
    <phoneticPr fontId="1" type="noConversion"/>
  </si>
  <si>
    <t>공통코드_ERP</t>
    <phoneticPr fontId="1" type="noConversion"/>
  </si>
  <si>
    <t>품목군_ERP</t>
    <phoneticPr fontId="1" type="noConversion"/>
  </si>
  <si>
    <t>창고정보_ERP</t>
    <phoneticPr fontId="1" type="noConversion"/>
  </si>
  <si>
    <t>ERP</t>
    <phoneticPr fontId="1" type="noConversion"/>
  </si>
  <si>
    <t>VIEW</t>
    <phoneticPr fontId="1" type="noConversion"/>
  </si>
  <si>
    <t>ERP 공통코드 View</t>
    <phoneticPr fontId="1" type="noConversion"/>
  </si>
  <si>
    <t>ERP 품목군 View</t>
    <phoneticPr fontId="1" type="noConversion"/>
  </si>
  <si>
    <t>ERP 창고정보 View</t>
    <phoneticPr fontId="1" type="noConversion"/>
  </si>
  <si>
    <t>영업그룹</t>
    <phoneticPr fontId="1" type="noConversion"/>
  </si>
  <si>
    <t>noEmp</t>
    <phoneticPr fontId="1" type="noConversion"/>
  </si>
  <si>
    <t>영업담당자</t>
    <phoneticPr fontId="1" type="noConversion"/>
  </si>
  <si>
    <t>수주형태</t>
    <phoneticPr fontId="1" type="noConversion"/>
  </si>
  <si>
    <t>cdExch</t>
    <phoneticPr fontId="1" type="noConversion"/>
  </si>
  <si>
    <t>rtExch</t>
    <phoneticPr fontId="1" type="noConversion"/>
  </si>
  <si>
    <t>tpVat</t>
    <phoneticPr fontId="1" type="noConversion"/>
  </si>
  <si>
    <t>부가세율</t>
    <phoneticPr fontId="1" type="noConversion"/>
  </si>
  <si>
    <t>cdSalegrp</t>
    <phoneticPr fontId="1" type="noConversion"/>
  </si>
  <si>
    <t>영업그룹</t>
    <phoneticPr fontId="1" type="noConversion"/>
  </si>
  <si>
    <t>영업담당자</t>
    <phoneticPr fontId="1" type="noConversion"/>
  </si>
  <si>
    <t>tpSo</t>
    <phoneticPr fontId="1" type="noConversion"/>
  </si>
  <si>
    <t>수주형태</t>
    <phoneticPr fontId="1" type="noConversion"/>
  </si>
  <si>
    <t>환종</t>
    <phoneticPr fontId="1" type="noConversion"/>
  </si>
  <si>
    <t>환율</t>
    <phoneticPr fontId="1" type="noConversion"/>
  </si>
  <si>
    <t>NN</t>
    <phoneticPr fontId="1" type="noConversion"/>
  </si>
  <si>
    <t>부가세코드</t>
    <phoneticPr fontId="1" type="noConversion"/>
  </si>
  <si>
    <t>Seq</t>
  </si>
  <si>
    <t>AUDType</t>
  </si>
  <si>
    <t>CrtDateTime</t>
  </si>
  <si>
    <t>RecvYn</t>
  </si>
  <si>
    <t>RecvDateTime</t>
  </si>
  <si>
    <t>RecvYn_OMS</t>
  </si>
  <si>
    <t>RecvDateTime_OMS</t>
  </si>
  <si>
    <t>BizSeq</t>
  </si>
  <si>
    <t>AUDType</t>
    <phoneticPr fontId="1" type="noConversion"/>
  </si>
  <si>
    <t>AUDType</t>
    <phoneticPr fontId="1" type="noConversion"/>
  </si>
  <si>
    <t>AUDType</t>
    <phoneticPr fontId="1" type="noConversion"/>
  </si>
  <si>
    <t>AUDType</t>
    <phoneticPr fontId="1" type="noConversion"/>
  </si>
  <si>
    <t>OB_PROD_PRICE</t>
    <phoneticPr fontId="1" type="noConversion"/>
  </si>
  <si>
    <t>목록</t>
    <phoneticPr fontId="1" type="noConversion"/>
  </si>
  <si>
    <t>IF명</t>
    <phoneticPr fontId="1" type="noConversion"/>
  </si>
  <si>
    <t>URI</t>
    <phoneticPr fontId="1" type="noConversion"/>
  </si>
  <si>
    <t>HTTP Method</t>
    <phoneticPr fontId="1" type="noConversion"/>
  </si>
  <si>
    <t>Request</t>
    <phoneticPr fontId="1" type="noConversion"/>
  </si>
  <si>
    <t>항목명</t>
    <phoneticPr fontId="1" type="noConversion"/>
  </si>
  <si>
    <t>Type</t>
    <phoneticPr fontId="1" type="noConversion"/>
  </si>
  <si>
    <t>SIZE</t>
    <phoneticPr fontId="1" type="noConversion"/>
  </si>
  <si>
    <t>KEY</t>
    <phoneticPr fontId="1" type="noConversion"/>
  </si>
  <si>
    <t>Null</t>
    <phoneticPr fontId="1" type="noConversion"/>
  </si>
  <si>
    <t>처리시분초</t>
    <phoneticPr fontId="1" type="noConversion"/>
  </si>
  <si>
    <t>Response</t>
    <phoneticPr fontId="1" type="noConversion"/>
  </si>
  <si>
    <t>LV</t>
    <phoneticPr fontId="1" type="noConversion"/>
  </si>
  <si>
    <t>항목</t>
    <phoneticPr fontId="1" type="noConversion"/>
  </si>
  <si>
    <t>설명</t>
    <phoneticPr fontId="1" type="noConversion"/>
  </si>
  <si>
    <t>JSON</t>
    <phoneticPr fontId="1" type="noConversion"/>
  </si>
  <si>
    <t>영업사원 사번</t>
    <phoneticPr fontId="1" type="noConversion"/>
  </si>
  <si>
    <t>fgVat</t>
    <phoneticPr fontId="1" type="noConversion"/>
  </si>
  <si>
    <t>NN</t>
    <phoneticPr fontId="1" type="noConversion"/>
  </si>
  <si>
    <t>NN</t>
    <phoneticPr fontId="1" type="noConversion"/>
  </si>
  <si>
    <t>procHms</t>
    <phoneticPr fontId="1" type="noConversion"/>
  </si>
  <si>
    <t>주문 품목단가수정</t>
    <phoneticPr fontId="1" type="noConversion"/>
  </si>
  <si>
    <t>주문건 품목 단가수정 수신</t>
    <phoneticPr fontId="1" type="noConversion"/>
  </si>
  <si>
    <t>NN</t>
    <phoneticPr fontId="1" type="noConversion"/>
  </si>
  <si>
    <t>WMS 출하처리 창고의 ERP IF 창고 코드 조회 후 삽입</t>
    <phoneticPr fontId="1" type="noConversion"/>
  </si>
  <si>
    <t>soYmd</t>
    <phoneticPr fontId="1" type="noConversion"/>
  </si>
  <si>
    <t>주문일자</t>
    <phoneticPr fontId="1" type="noConversion"/>
  </si>
  <si>
    <t>/{bizSeq}/sif/prod-price/regs</t>
    <phoneticPr fontId="1" type="noConversion"/>
  </si>
  <si>
    <t>/{bizSeq}/sif/w2o/rt/cfm</t>
    <phoneticPr fontId="1" type="noConversion"/>
  </si>
  <si>
    <t>cfd_cd</t>
    <phoneticPr fontId="1" type="noConversion"/>
  </si>
  <si>
    <t>88코드+주류코드(맥주사용중)</t>
    <phoneticPr fontId="1" type="noConversion"/>
  </si>
  <si>
    <t>공통코드 MA_B000003
매입, 매출, 통합, 가맹점, 지사 등
001   매입
002   매출
003   통합
004   기타
005   가맹점
100   지사</t>
    <phoneticPr fontId="1" type="noConversion"/>
  </si>
  <si>
    <t>공통코드 MA_B000082
100 :상온
200 :냉장
300 :냉동</t>
    <phoneticPr fontId="1" type="noConversion"/>
  </si>
  <si>
    <t>품온구분
C : 냉장 =&gt; 200
F : 냉동 =&gt; 300
D : 상온 =&gt; 100</t>
    <phoneticPr fontId="1" type="noConversion"/>
  </si>
  <si>
    <t>WMS_INVEN_ETC_PROD</t>
    <phoneticPr fontId="1" type="noConversion"/>
  </si>
  <si>
    <t>구매입고/반품일 경우 INSERT, 그 외 NULL</t>
    <phoneticPr fontId="1" type="noConversion"/>
  </si>
  <si>
    <t>erp_purgrp_cd</t>
    <phoneticPr fontId="1" type="noConversion"/>
  </si>
  <si>
    <t>ERP 구매그룹</t>
    <phoneticPr fontId="1" type="noConversion"/>
  </si>
  <si>
    <t>TMS응답 상태 코드</t>
  </si>
  <si>
    <t>코드</t>
  </si>
  <si>
    <t>성공</t>
  </si>
  <si>
    <t>클라이언트 오류</t>
  </si>
  <si>
    <t>clientCode 오류 등</t>
  </si>
  <si>
    <t>내부 오류</t>
  </si>
  <si>
    <t>센터 코드 (WMS의 코드를 따름)</t>
  </si>
  <si>
    <t>수도권센터</t>
  </si>
  <si>
    <t>김포센터</t>
  </si>
  <si>
    <t>동부센터</t>
  </si>
  <si>
    <t>남부센터</t>
  </si>
  <si>
    <t>서부센터</t>
  </si>
  <si>
    <t>강원클러스터</t>
  </si>
  <si>
    <t>익산클러스터</t>
  </si>
  <si>
    <t>제주클러스터</t>
  </si>
  <si>
    <t>품온구분 (WMS의 코드를 따름)</t>
  </si>
  <si>
    <t>냉장</t>
  </si>
  <si>
    <t>상온</t>
  </si>
  <si>
    <t>냉동</t>
  </si>
  <si>
    <t>TMS 상태 코드 (orderStatus)</t>
  </si>
  <si>
    <t>CREATED</t>
  </si>
  <si>
    <t>생성</t>
  </si>
  <si>
    <t>ALLOCATED</t>
  </si>
  <si>
    <t>배차</t>
  </si>
  <si>
    <t>ITEM_LOADED</t>
  </si>
  <si>
    <t>상차</t>
  </si>
  <si>
    <t>ITEM_UNLOADED</t>
  </si>
  <si>
    <t>하차</t>
  </si>
  <si>
    <t>FINISHED</t>
  </si>
  <si>
    <t>완료확정</t>
  </si>
  <si>
    <t>CD_COMPANY</t>
    <phoneticPr fontId="1" type="noConversion"/>
  </si>
  <si>
    <t>1(매입) / 2(매출) / 3(매입/매출) / 9(기타)
--&gt; 현재(2025-10-21) ERP 거래처 구분이 나눠지지 않았음
공통코드 MA_B000001
001   주요
002   금융
003   개인
004   신용
005   기타</t>
    <phoneticPr fontId="1" type="noConversion"/>
  </si>
  <si>
    <t>FG_PARTNER</t>
    <phoneticPr fontId="1" type="noConversion"/>
  </si>
  <si>
    <t>CLS_PARTNER</t>
    <phoneticPr fontId="1" type="noConversion"/>
  </si>
  <si>
    <t>-</t>
    <phoneticPr fontId="1" type="noConversion"/>
  </si>
  <si>
    <t>거래처_구분코드</t>
    <phoneticPr fontId="1" type="noConversion"/>
  </si>
  <si>
    <t>cont_div_cd</t>
    <phoneticPr fontId="1" type="noConversion"/>
  </si>
  <si>
    <t>04. 배차 및 상하차 결과 API</t>
    <phoneticPr fontId="1" type="noConversion"/>
  </si>
  <si>
    <t>prodOrderUnitQty</t>
    <phoneticPr fontId="1" type="noConversion"/>
  </si>
  <si>
    <t>품목 주문 단위 수량</t>
    <phoneticPr fontId="1" type="noConversion"/>
  </si>
  <si>
    <t>최소 묶음 수량</t>
    <phoneticPr fontId="1" type="noConversion"/>
  </si>
  <si>
    <t>요청유형코드 : RT01(출하반품), RT51(외주반품)</t>
    <phoneticPr fontId="1" type="noConversion"/>
  </si>
  <si>
    <t>요청유형코드 : OB03(마감후출하). OB53[외주직출(추가)]</t>
    <phoneticPr fontId="1" type="noConversion"/>
  </si>
  <si>
    <t>WMS 구축 프로젝트</t>
    <phoneticPr fontId="5" type="noConversion"/>
  </si>
  <si>
    <t>이택</t>
    <phoneticPr fontId="1" type="noConversion"/>
  </si>
  <si>
    <t>2026.01.01</t>
    <phoneticPr fontId="1" type="noConversion"/>
  </si>
  <si>
    <t>인터페이스설계서</t>
    <phoneticPr fontId="5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</si>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</sst>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₩&quot;* #,##0_ ;_ &quot;₩&quot;* &quot;₩&quot;&quot;₩&quot;\-#,##0_ ;_ &quot;₩&quot;* &quot;-&quot;_ ;_ @_ "/>
    <numFmt numFmtId="178" formatCode="_ * #,##0.00_ ;_ * \-#,##0.00_ ;_ * &quot;-&quot;??_ ;_ @_ "/>
    <numFmt numFmtId="179" formatCode="####"/>
    <numFmt numFmtId="180" formatCode="\,##"/>
    <numFmt numFmtId="181" formatCode="_ * #,##0.00_ ;_ * &quot;₩&quot;&quot;₩&quot;&quot;₩&quot;&quot;₩&quot;\-#,##0.00_ ;_ * &quot;-&quot;??_ ;_ @_ "/>
    <numFmt numFmtId="182" formatCode="#.00"/>
    <numFmt numFmtId="183" formatCode="##"/>
    <numFmt numFmtId="184" formatCode="&quot;₩&quot;#,##0.00;[Red]&quot;₩&quot;&quot;₩&quot;&quot;₩&quot;&quot;₩&quot;&quot;₩&quot;&quot;₩&quot;&quot;₩&quot;&quot;₩&quot;\-#,##0.00"/>
    <numFmt numFmtId="185" formatCode="_ &quot;₩&quot;* #,##0_ ;_ &quot;₩&quot;* &quot;₩&quot;&quot;₩&quot;&quot;₩&quot;&quot;₩&quot;&quot;₩&quot;&quot;₩&quot;&quot;₩&quot;\-#,##0_ ;_ &quot;₩&quot;* &quot;-&quot;_ ;_ @_ "/>
    <numFmt numFmtId="186" formatCode="&quot;$&quot;#,##0.00_);[Red]\(&quot;$&quot;#,##0.00\)"/>
    <numFmt numFmtId="187" formatCode="###"/>
    <numFmt numFmtId="188" formatCode="_ 0.0%_ ;[Red]\(0.0%\)_ ;_ * &quot;-&quot;??_ ;_ @_ "/>
    <numFmt numFmtId="189" formatCode="&quot;$&quot;#,##0_);\(&quot;$&quot;#,##0\)"/>
    <numFmt numFmtId="190" formatCode="0.0_ "/>
    <numFmt numFmtId="191" formatCode="yyyy/mm/dd;@"/>
  </numFmts>
  <fonts count="10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name val="바탕체"/>
      <family val="1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MS Sans Serif"/>
      <family val="2"/>
    </font>
    <font>
      <sz val="12"/>
      <name val="¹UAAA¼"/>
      <family val="1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13"/>
      <name val="신그래픽"/>
      <family val="1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PragmaticaCTT"/>
      <family val="1"/>
    </font>
    <font>
      <u/>
      <sz val="7.5"/>
      <color indexed="36"/>
      <name val="Arial"/>
      <family val="2"/>
    </font>
    <font>
      <sz val="9"/>
      <name val="굴림체"/>
      <family val="3"/>
      <charset val="129"/>
    </font>
    <font>
      <sz val="12"/>
      <name val="뼻뮝"/>
      <family val="1"/>
      <charset val="129"/>
    </font>
    <font>
      <sz val="9"/>
      <color theme="1"/>
      <name val="맑은 고딕"/>
      <family val="3"/>
      <charset val="129"/>
    </font>
    <font>
      <sz val="10"/>
      <name val="명조"/>
      <family val="3"/>
      <charset val="129"/>
    </font>
    <font>
      <sz val="11"/>
      <name val="돋움"/>
      <family val="3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2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trike/>
      <sz val="11"/>
      <color theme="1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9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b/>
      <sz val="9"/>
      <name val="굴림"/>
      <family val="3"/>
      <charset val="129"/>
    </font>
    <font>
      <sz val="8"/>
      <name val="바탕"/>
      <family val="1"/>
      <charset val="129"/>
    </font>
    <font>
      <b/>
      <sz val="9"/>
      <name val="Arial"/>
      <family val="2"/>
    </font>
    <font>
      <b/>
      <sz val="9"/>
      <color indexed="81"/>
      <name val="돋움"/>
      <family val="3"/>
      <charset val="129"/>
    </font>
    <font>
      <strike/>
      <sz val="9"/>
      <color theme="1"/>
      <name val="맑은 고딕"/>
      <family val="3"/>
      <charset val="129"/>
      <scheme val="minor"/>
    </font>
    <font>
      <strike/>
      <sz val="11"/>
      <name val="맑은 고딕"/>
      <family val="2"/>
      <charset val="129"/>
      <scheme val="minor"/>
    </font>
    <font>
      <strike/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5DBE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7D8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62">
    <xf numFmtId="0" fontId="0" fillId="0" borderId="0">
      <alignment vertical="center"/>
    </xf>
    <xf numFmtId="0" fontId="3" fillId="0" borderId="0" applyNumberFormat="0" applyFill="0" applyBorder="0" applyAlignment="0" applyProtection="0"/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/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9" applyNumberFormat="0" applyFont="0" applyAlignment="0" applyProtection="0">
      <alignment vertical="center"/>
    </xf>
    <xf numFmtId="0" fontId="27" fillId="0" borderId="0"/>
    <xf numFmtId="0" fontId="4" fillId="0" borderId="0"/>
    <xf numFmtId="0" fontId="8" fillId="0" borderId="0">
      <alignment vertical="center"/>
    </xf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8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1" fillId="0" borderId="0"/>
    <xf numFmtId="0" fontId="31" fillId="0" borderId="0"/>
    <xf numFmtId="0" fontId="30" fillId="0" borderId="0"/>
    <xf numFmtId="0" fontId="29" fillId="0" borderId="0"/>
    <xf numFmtId="0" fontId="31" fillId="0" borderId="0"/>
    <xf numFmtId="0" fontId="30" fillId="0" borderId="0"/>
    <xf numFmtId="0" fontId="31" fillId="0" borderId="0"/>
    <xf numFmtId="0" fontId="29" fillId="0" borderId="0"/>
    <xf numFmtId="0" fontId="30" fillId="0" borderId="0"/>
    <xf numFmtId="0" fontId="29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1" fillId="0" borderId="0"/>
    <xf numFmtId="0" fontId="31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1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4" fillId="0" borderId="0" applyFill="0" applyBorder="0" applyAlignment="0"/>
    <xf numFmtId="0" fontId="4" fillId="0" borderId="0" applyFill="0" applyBorder="0" applyAlignment="0"/>
    <xf numFmtId="0" fontId="34" fillId="0" borderId="0"/>
    <xf numFmtId="4" fontId="35" fillId="0" borderId="0">
      <protection locked="0"/>
    </xf>
    <xf numFmtId="176" fontId="30" fillId="0" borderId="0" applyFont="0" applyFill="0" applyBorder="0" applyAlignment="0" applyProtection="0"/>
    <xf numFmtId="177" fontId="36" fillId="0" borderId="0"/>
    <xf numFmtId="178" fontId="30" fillId="0" borderId="0" applyFont="0" applyFill="0" applyBorder="0" applyAlignment="0" applyProtection="0"/>
    <xf numFmtId="179" fontId="30" fillId="0" borderId="0">
      <protection locked="0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/>
    <xf numFmtId="180" fontId="30" fillId="0" borderId="0">
      <protection locked="0"/>
    </xf>
    <xf numFmtId="17" fontId="31" fillId="0" borderId="0" applyNumberFormat="0" applyFont="0" applyFill="0" applyBorder="0" applyAlignment="0" applyProtection="0">
      <alignment horizontal="right"/>
    </xf>
    <xf numFmtId="181" fontId="36" fillId="0" borderId="0"/>
    <xf numFmtId="182" fontId="35" fillId="0" borderId="0">
      <protection locked="0"/>
    </xf>
    <xf numFmtId="38" fontId="37" fillId="34" borderId="0" applyNumberFormat="0" applyBorder="0" applyAlignment="0" applyProtection="0"/>
    <xf numFmtId="0" fontId="38" fillId="0" borderId="0">
      <alignment horizontal="left"/>
    </xf>
    <xf numFmtId="0" fontId="39" fillId="0" borderId="14" applyNumberFormat="0" applyAlignment="0" applyProtection="0">
      <alignment horizontal="left" vertical="center"/>
    </xf>
    <xf numFmtId="0" fontId="39" fillId="0" borderId="11">
      <alignment horizontal="left" vertical="center"/>
    </xf>
    <xf numFmtId="183" fontId="30" fillId="0" borderId="0">
      <protection locked="0"/>
    </xf>
    <xf numFmtId="183" fontId="30" fillId="0" borderId="0">
      <protection locked="0"/>
    </xf>
    <xf numFmtId="10" fontId="37" fillId="34" borderId="1" applyNumberFormat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0" fillId="0" borderId="12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6" fontId="4" fillId="0" borderId="0"/>
    <xf numFmtId="186" fontId="4" fillId="0" borderId="0"/>
    <xf numFmtId="0" fontId="30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7" fontId="30" fillId="0" borderId="0">
      <protection locked="0"/>
    </xf>
    <xf numFmtId="10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189" fontId="31" fillId="0" borderId="0">
      <alignment horizontal="right"/>
    </xf>
    <xf numFmtId="0" fontId="40" fillId="0" borderId="0"/>
    <xf numFmtId="183" fontId="30" fillId="0" borderId="15">
      <protection locked="0"/>
    </xf>
    <xf numFmtId="0" fontId="29" fillId="0" borderId="0"/>
    <xf numFmtId="0" fontId="41" fillId="0" borderId="0"/>
    <xf numFmtId="0" fontId="4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4" fillId="0" borderId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31" fillId="0" borderId="0"/>
    <xf numFmtId="0" fontId="31" fillId="0" borderId="0"/>
    <xf numFmtId="0" fontId="46" fillId="0" borderId="13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8" fillId="0" borderId="0"/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/>
    <xf numFmtId="0" fontId="8" fillId="0" borderId="0">
      <alignment vertical="center"/>
    </xf>
    <xf numFmtId="0" fontId="4" fillId="0" borderId="0"/>
    <xf numFmtId="0" fontId="4" fillId="0" borderId="0"/>
    <xf numFmtId="0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0" fontId="8" fillId="0" borderId="0">
      <alignment vertical="center"/>
    </xf>
    <xf numFmtId="0" fontId="4" fillId="0" borderId="0"/>
    <xf numFmtId="0" fontId="4" fillId="0" borderId="0"/>
    <xf numFmtId="0" fontId="47" fillId="0" borderId="0"/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8" fillId="0" borderId="0"/>
    <xf numFmtId="0" fontId="50" fillId="0" borderId="0" applyNumberFormat="0" applyFill="0" applyBorder="0" applyProtection="0">
      <alignment vertical="center"/>
    </xf>
    <xf numFmtId="0" fontId="51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>
      <alignment vertical="center"/>
    </xf>
    <xf numFmtId="0" fontId="4" fillId="0" borderId="0">
      <alignment vertical="center"/>
    </xf>
    <xf numFmtId="0" fontId="105" fillId="0" borderId="0"/>
  </cellStyleXfs>
  <cellXfs count="671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4" fillId="36" borderId="0" xfId="232" applyFont="1" applyFill="1" applyAlignment="1">
      <alignment horizontal="left"/>
    </xf>
    <xf numFmtId="0" fontId="0" fillId="36" borderId="0" xfId="0" applyFill="1">
      <alignment vertical="center"/>
    </xf>
    <xf numFmtId="0" fontId="55" fillId="36" borderId="0" xfId="232" applyFont="1" applyFill="1" applyAlignment="1">
      <alignment horizontal="right"/>
    </xf>
    <xf numFmtId="0" fontId="56" fillId="36" borderId="0" xfId="232" applyFont="1" applyFill="1" applyAlignment="1">
      <alignment horizontal="right"/>
    </xf>
    <xf numFmtId="0" fontId="57" fillId="36" borderId="0" xfId="232" applyFont="1" applyFill="1" applyAlignment="1">
      <alignment vertical="center"/>
    </xf>
    <xf numFmtId="0" fontId="58" fillId="36" borderId="0" xfId="232" applyFont="1" applyFill="1" applyAlignment="1">
      <alignment horizontal="right"/>
    </xf>
    <xf numFmtId="0" fontId="59" fillId="36" borderId="0" xfId="232" applyFont="1" applyFill="1" applyAlignment="1">
      <alignment horizontal="right"/>
    </xf>
    <xf numFmtId="0" fontId="61" fillId="34" borderId="0" xfId="2" applyFont="1" applyFill="1"/>
    <xf numFmtId="0" fontId="61" fillId="34" borderId="0" xfId="2" applyFont="1" applyFill="1" applyAlignment="1">
      <alignment horizontal="center"/>
    </xf>
    <xf numFmtId="0" fontId="53" fillId="35" borderId="1" xfId="2" applyFont="1" applyFill="1" applyBorder="1" applyAlignment="1">
      <alignment horizontal="center" vertical="center" wrapText="1"/>
    </xf>
    <xf numFmtId="190" fontId="62" fillId="34" borderId="1" xfId="2" applyNumberFormat="1" applyFont="1" applyFill="1" applyBorder="1" applyAlignment="1">
      <alignment horizontal="center" vertical="center" wrapText="1"/>
    </xf>
    <xf numFmtId="0" fontId="62" fillId="34" borderId="1" xfId="2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shrinkToFit="1"/>
    </xf>
    <xf numFmtId="191" fontId="62" fillId="34" borderId="1" xfId="2" applyNumberFormat="1" applyFont="1" applyFill="1" applyBorder="1" applyAlignment="1">
      <alignment horizontal="center" vertical="center" wrapText="1"/>
    </xf>
    <xf numFmtId="0" fontId="62" fillId="34" borderId="1" xfId="2" applyFont="1" applyFill="1" applyBorder="1" applyAlignment="1">
      <alignment horizontal="center" vertical="center" wrapText="1"/>
    </xf>
    <xf numFmtId="0" fontId="48" fillId="36" borderId="1" xfId="0" applyFont="1" applyFill="1" applyBorder="1" applyAlignment="1">
      <alignment horizontal="center" vertical="center"/>
    </xf>
    <xf numFmtId="0" fontId="48" fillId="3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6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63" fillId="37" borderId="1" xfId="0" applyFont="1" applyFill="1" applyBorder="1" applyAlignment="1">
      <alignment horizontal="center" vertical="center"/>
    </xf>
    <xf numFmtId="0" fontId="63" fillId="37" borderId="1" xfId="0" applyFont="1" applyFill="1" applyBorder="1" applyAlignment="1">
      <alignment horizontal="center" vertical="center" wrapText="1"/>
    </xf>
    <xf numFmtId="0" fontId="63" fillId="37" borderId="1" xfId="0" applyFont="1" applyFill="1" applyBorder="1" applyAlignment="1">
      <alignment horizontal="left" vertical="center"/>
    </xf>
    <xf numFmtId="0" fontId="63" fillId="37" borderId="1" xfId="0" applyFont="1" applyFill="1" applyBorder="1" applyAlignment="1">
      <alignment horizontal="left" vertical="center" wrapText="1"/>
    </xf>
    <xf numFmtId="0" fontId="65" fillId="37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left" vertical="center"/>
    </xf>
    <xf numFmtId="0" fontId="64" fillId="38" borderId="1" xfId="0" applyFont="1" applyFill="1" applyBorder="1" applyAlignment="1">
      <alignment horizontal="left" vertical="center"/>
    </xf>
    <xf numFmtId="0" fontId="2" fillId="38" borderId="1" xfId="0" applyFont="1" applyFill="1" applyBorder="1" applyAlignment="1">
      <alignment horizontal="left" vertical="center" wrapText="1"/>
    </xf>
    <xf numFmtId="0" fontId="0" fillId="38" borderId="1" xfId="0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left" vertical="center"/>
    </xf>
    <xf numFmtId="0" fontId="64" fillId="39" borderId="1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horizontal="left" vertical="center" wrapText="1"/>
    </xf>
    <xf numFmtId="0" fontId="2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left" vertical="center"/>
    </xf>
    <xf numFmtId="0" fontId="64" fillId="40" borderId="1" xfId="0" applyFont="1" applyFill="1" applyBorder="1" applyAlignment="1">
      <alignment horizontal="left" vertical="center"/>
    </xf>
    <xf numFmtId="0" fontId="2" fillId="40" borderId="1" xfId="0" applyFont="1" applyFill="1" applyBorder="1" applyAlignment="1">
      <alignment horizontal="left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0" fillId="40" borderId="1" xfId="0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shrinkToFi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35" borderId="11" xfId="0" applyFont="1" applyFill="1" applyBorder="1">
      <alignment vertical="center"/>
    </xf>
    <xf numFmtId="0" fontId="63" fillId="35" borderId="11" xfId="0" applyFont="1" applyFill="1" applyBorder="1">
      <alignment vertical="center"/>
    </xf>
    <xf numFmtId="0" fontId="63" fillId="35" borderId="18" xfId="0" applyFont="1" applyFill="1" applyBorder="1">
      <alignment vertical="center"/>
    </xf>
    <xf numFmtId="0" fontId="63" fillId="0" borderId="11" xfId="0" applyFont="1" applyBorder="1">
      <alignment vertical="center"/>
    </xf>
    <xf numFmtId="0" fontId="63" fillId="0" borderId="18" xfId="0" applyFont="1" applyBorder="1">
      <alignment vertical="center"/>
    </xf>
    <xf numFmtId="0" fontId="2" fillId="42" borderId="1" xfId="0" applyFont="1" applyFill="1" applyBorder="1" applyAlignment="1">
      <alignment horizontal="center"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7" fillId="0" borderId="0" xfId="257" applyAlignment="1">
      <alignment horizontal="left" vertical="center"/>
    </xf>
    <xf numFmtId="0" fontId="2" fillId="35" borderId="18" xfId="0" applyFont="1" applyFill="1" applyBorder="1">
      <alignment vertical="center"/>
    </xf>
    <xf numFmtId="0" fontId="2" fillId="0" borderId="1" xfId="0" applyFont="1" applyBorder="1">
      <alignment vertical="center"/>
    </xf>
    <xf numFmtId="0" fontId="76" fillId="0" borderId="0" xfId="0" applyFont="1">
      <alignment vertical="center"/>
    </xf>
    <xf numFmtId="0" fontId="2" fillId="45" borderId="11" xfId="0" applyFont="1" applyFill="1" applyBorder="1">
      <alignment vertical="center"/>
    </xf>
    <xf numFmtId="0" fontId="7" fillId="38" borderId="18" xfId="257" applyFill="1" applyBorder="1" applyAlignment="1">
      <alignment horizontal="left" vertical="center"/>
    </xf>
    <xf numFmtId="0" fontId="7" fillId="39" borderId="18" xfId="257" applyFill="1" applyBorder="1" applyAlignment="1">
      <alignment horizontal="left" vertical="center"/>
    </xf>
    <xf numFmtId="0" fontId="2" fillId="46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/>
    </xf>
    <xf numFmtId="0" fontId="64" fillId="46" borderId="1" xfId="0" applyFont="1" applyFill="1" applyBorder="1" applyAlignment="1">
      <alignment horizontal="left" vertical="center"/>
    </xf>
    <xf numFmtId="0" fontId="2" fillId="46" borderId="1" xfId="0" applyFont="1" applyFill="1" applyBorder="1" applyAlignment="1">
      <alignment horizontal="left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0" fillId="46" borderId="1" xfId="0" applyFill="1" applyBorder="1" applyAlignment="1">
      <alignment horizontal="center" vertical="center" wrapText="1"/>
    </xf>
    <xf numFmtId="0" fontId="7" fillId="46" borderId="18" xfId="257" applyFill="1" applyBorder="1" applyAlignment="1">
      <alignment horizontal="left" vertical="center"/>
    </xf>
    <xf numFmtId="0" fontId="7" fillId="2" borderId="18" xfId="257" applyFill="1" applyBorder="1" applyAlignment="1">
      <alignment horizontal="left" vertical="center"/>
    </xf>
    <xf numFmtId="0" fontId="7" fillId="40" borderId="18" xfId="257" applyFill="1" applyBorder="1" applyAlignment="1">
      <alignment horizontal="left" vertical="center"/>
    </xf>
    <xf numFmtId="0" fontId="7" fillId="37" borderId="18" xfId="257" applyFill="1" applyBorder="1" applyAlignment="1">
      <alignment horizontal="left" vertical="center"/>
    </xf>
    <xf numFmtId="0" fontId="64" fillId="0" borderId="0" xfId="0" applyFont="1">
      <alignment vertical="center"/>
    </xf>
    <xf numFmtId="14" fontId="68" fillId="0" borderId="0" xfId="246" applyNumberFormat="1" applyFont="1" applyAlignment="1">
      <alignment horizontal="right"/>
    </xf>
    <xf numFmtId="0" fontId="2" fillId="45" borderId="1" xfId="0" applyFont="1" applyFill="1" applyBorder="1">
      <alignment vertical="center"/>
    </xf>
    <xf numFmtId="0" fontId="2" fillId="36" borderId="11" xfId="0" applyFont="1" applyFill="1" applyBorder="1">
      <alignment vertical="center"/>
    </xf>
    <xf numFmtId="0" fontId="2" fillId="45" borderId="18" xfId="0" applyFont="1" applyFill="1" applyBorder="1">
      <alignment vertical="center"/>
    </xf>
    <xf numFmtId="0" fontId="8" fillId="0" borderId="0" xfId="0" applyFont="1" applyAlignment="1">
      <alignment horizontal="left" vertical="center"/>
    </xf>
    <xf numFmtId="0" fontId="7" fillId="46" borderId="1" xfId="257" applyFill="1" applyBorder="1" applyAlignment="1">
      <alignment horizontal="left" vertical="center" wrapText="1"/>
    </xf>
    <xf numFmtId="0" fontId="7" fillId="2" borderId="1" xfId="257" applyFill="1" applyBorder="1" applyAlignment="1">
      <alignment horizontal="left" vertical="center" wrapText="1"/>
    </xf>
    <xf numFmtId="0" fontId="7" fillId="40" borderId="1" xfId="257" applyFill="1" applyBorder="1" applyAlignment="1">
      <alignment horizontal="left" vertical="center" wrapText="1"/>
    </xf>
    <xf numFmtId="0" fontId="7" fillId="37" borderId="1" xfId="257" applyFill="1" applyBorder="1" applyAlignment="1">
      <alignment horizontal="left" vertical="center" wrapText="1"/>
    </xf>
    <xf numFmtId="0" fontId="7" fillId="43" borderId="1" xfId="257" applyFill="1" applyBorder="1" applyAlignment="1">
      <alignment horizontal="left" vertical="center" wrapText="1"/>
    </xf>
    <xf numFmtId="0" fontId="7" fillId="38" borderId="1" xfId="257" applyFill="1" applyBorder="1" applyAlignment="1">
      <alignment horizontal="left" vertical="center" wrapText="1"/>
    </xf>
    <xf numFmtId="0" fontId="7" fillId="39" borderId="1" xfId="257" applyFill="1" applyBorder="1" applyAlignment="1">
      <alignment horizontal="left" vertical="center" wrapText="1"/>
    </xf>
    <xf numFmtId="0" fontId="7" fillId="38" borderId="1" xfId="257" applyFill="1" applyBorder="1">
      <alignment vertical="center"/>
    </xf>
    <xf numFmtId="0" fontId="0" fillId="39" borderId="1" xfId="0" applyFill="1" applyBorder="1">
      <alignment vertical="center"/>
    </xf>
    <xf numFmtId="0" fontId="0" fillId="46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0" borderId="1" xfId="0" applyFill="1" applyBorder="1">
      <alignment vertical="center"/>
    </xf>
    <xf numFmtId="0" fontId="8" fillId="37" borderId="1" xfId="0" applyFont="1" applyFill="1" applyBorder="1">
      <alignment vertical="center"/>
    </xf>
    <xf numFmtId="0" fontId="64" fillId="37" borderId="1" xfId="0" applyFont="1" applyFill="1" applyBorder="1" applyAlignment="1">
      <alignment horizontal="left" vertical="center"/>
    </xf>
    <xf numFmtId="0" fontId="2" fillId="45" borderId="17" xfId="0" applyFont="1" applyFill="1" applyBorder="1" applyAlignment="1">
      <alignment horizontal="left" vertical="center"/>
    </xf>
    <xf numFmtId="0" fontId="2" fillId="45" borderId="11" xfId="0" applyFont="1" applyFill="1" applyBorder="1" applyAlignment="1">
      <alignment horizontal="left" vertical="center"/>
    </xf>
    <xf numFmtId="0" fontId="2" fillId="45" borderId="18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center" vertical="center"/>
    </xf>
    <xf numFmtId="0" fontId="2" fillId="42" borderId="17" xfId="0" applyFont="1" applyFill="1" applyBorder="1">
      <alignment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72" fillId="0" borderId="11" xfId="0" applyFont="1" applyBorder="1">
      <alignment vertical="center"/>
    </xf>
    <xf numFmtId="0" fontId="63" fillId="0" borderId="17" xfId="0" applyFont="1" applyBorder="1">
      <alignment vertical="center"/>
    </xf>
    <xf numFmtId="0" fontId="2" fillId="45" borderId="17" xfId="0" applyFont="1" applyFill="1" applyBorder="1">
      <alignment vertical="center"/>
    </xf>
    <xf numFmtId="0" fontId="77" fillId="47" borderId="1" xfId="14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81" fillId="0" borderId="0" xfId="246" applyFont="1" applyAlignment="1">
      <alignment horizontal="left" vertical="center"/>
    </xf>
    <xf numFmtId="0" fontId="81" fillId="0" borderId="0" xfId="246" applyFont="1" applyAlignment="1">
      <alignment horizontal="center" vertical="center"/>
    </xf>
    <xf numFmtId="0" fontId="8" fillId="0" borderId="0" xfId="246" applyFont="1">
      <alignment vertical="center"/>
    </xf>
    <xf numFmtId="0" fontId="2" fillId="0" borderId="0" xfId="246" applyFont="1">
      <alignment vertical="center"/>
    </xf>
    <xf numFmtId="0" fontId="2" fillId="49" borderId="1" xfId="246" applyFont="1" applyFill="1" applyBorder="1" applyAlignment="1">
      <alignment horizontal="center" vertical="center"/>
    </xf>
    <xf numFmtId="0" fontId="2" fillId="44" borderId="1" xfId="246" applyFont="1" applyFill="1" applyBorder="1" applyAlignment="1">
      <alignment horizontal="center" vertical="center"/>
    </xf>
    <xf numFmtId="0" fontId="2" fillId="0" borderId="1" xfId="246" quotePrefix="1" applyFont="1" applyBorder="1" applyAlignment="1">
      <alignment horizontal="center" vertical="center"/>
    </xf>
    <xf numFmtId="0" fontId="2" fillId="0" borderId="1" xfId="246" applyFont="1" applyBorder="1" applyAlignment="1">
      <alignment horizontal="center" vertical="center"/>
    </xf>
    <xf numFmtId="0" fontId="2" fillId="0" borderId="19" xfId="246" applyFont="1" applyBorder="1" applyAlignment="1">
      <alignment horizontal="center" vertical="center" wrapText="1"/>
    </xf>
    <xf numFmtId="0" fontId="2" fillId="0" borderId="19" xfId="246" applyFont="1" applyBorder="1" applyAlignment="1">
      <alignment horizontal="center" vertical="center"/>
    </xf>
    <xf numFmtId="0" fontId="2" fillId="0" borderId="1" xfId="259" applyFont="1" applyBorder="1" applyAlignment="1">
      <alignment horizontal="center" vertical="center"/>
    </xf>
    <xf numFmtId="0" fontId="2" fillId="0" borderId="1" xfId="246" applyFont="1" applyBorder="1" applyAlignment="1">
      <alignment horizontal="center" vertical="center" wrapText="1"/>
    </xf>
    <xf numFmtId="0" fontId="2" fillId="0" borderId="1" xfId="259" applyFont="1" applyBorder="1" applyAlignment="1">
      <alignment horizontal="center" vertical="center" wrapText="1"/>
    </xf>
    <xf numFmtId="0" fontId="77" fillId="47" borderId="1" xfId="14" applyFont="1" applyFill="1" applyBorder="1" applyAlignment="1">
      <alignment vertical="center"/>
    </xf>
    <xf numFmtId="0" fontId="63" fillId="0" borderId="0" xfId="260" applyFont="1">
      <alignment vertical="center"/>
    </xf>
    <xf numFmtId="0" fontId="8" fillId="0" borderId="0" xfId="246" applyFont="1" applyAlignment="1">
      <alignment horizontal="center" vertical="center"/>
    </xf>
    <xf numFmtId="0" fontId="8" fillId="0" borderId="0" xfId="259" applyFont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0" borderId="1" xfId="0" applyFill="1" applyBorder="1">
      <alignment vertical="center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82" fillId="0" borderId="1" xfId="0" applyFont="1" applyBorder="1" applyAlignment="1">
      <alignment horizontal="left" vertical="top" wrapText="1"/>
    </xf>
    <xf numFmtId="0" fontId="0" fillId="52" borderId="1" xfId="0" applyFill="1" applyBorder="1" applyAlignment="1">
      <alignment horizontal="left" vertical="top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41" borderId="1" xfId="0" applyFill="1" applyBorder="1">
      <alignment vertical="center"/>
    </xf>
    <xf numFmtId="0" fontId="83" fillId="0" borderId="0" xfId="0" applyFont="1">
      <alignment vertical="center"/>
    </xf>
    <xf numFmtId="0" fontId="2" fillId="39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7" xfId="0" applyFont="1" applyFill="1" applyBorder="1">
      <alignment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42" borderId="17" xfId="0" applyFont="1" applyFill="1" applyBorder="1" applyAlignment="1">
      <alignment horizontal="left"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2" fillId="42" borderId="1" xfId="0" applyFont="1" applyFill="1" applyBorder="1" applyAlignment="1">
      <alignment horizontal="center" vertical="center"/>
    </xf>
    <xf numFmtId="0" fontId="2" fillId="36" borderId="17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1" xfId="0" applyFont="1" applyFill="1" applyBorder="1">
      <alignment vertical="center"/>
    </xf>
    <xf numFmtId="0" fontId="2" fillId="36" borderId="1" xfId="0" applyFont="1" applyFill="1" applyBorder="1" applyAlignment="1">
      <alignment horizontal="center"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2" fillId="4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51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54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0" xfId="0" applyAlignment="1"/>
    <xf numFmtId="0" fontId="82" fillId="0" borderId="1" xfId="0" applyFont="1" applyBorder="1" applyAlignment="1">
      <alignment horizontal="center" vertical="top"/>
    </xf>
    <xf numFmtId="0" fontId="0" fillId="55" borderId="1" xfId="0" applyFill="1" applyBorder="1" applyAlignment="1">
      <alignment horizontal="center" vertical="top"/>
    </xf>
    <xf numFmtId="0" fontId="0" fillId="55" borderId="1" xfId="0" applyFill="1" applyBorder="1" applyAlignment="1">
      <alignment horizontal="left" vertical="top"/>
    </xf>
    <xf numFmtId="0" fontId="0" fillId="55" borderId="1" xfId="0" applyFill="1" applyBorder="1" applyAlignment="1">
      <alignment horizontal="left" vertical="top" wrapText="1"/>
    </xf>
    <xf numFmtId="14" fontId="0" fillId="55" borderId="1" xfId="0" applyNumberFormat="1" applyFill="1" applyBorder="1" applyAlignment="1">
      <alignment horizontal="left" vertical="top"/>
    </xf>
    <xf numFmtId="0" fontId="0" fillId="55" borderId="0" xfId="0" applyFill="1" applyAlignment="1"/>
    <xf numFmtId="0" fontId="82" fillId="55" borderId="1" xfId="0" applyFont="1" applyFill="1" applyBorder="1" applyAlignment="1">
      <alignment horizontal="center" vertical="top"/>
    </xf>
    <xf numFmtId="49" fontId="0" fillId="55" borderId="1" xfId="0" applyNumberFormat="1" applyFill="1" applyBorder="1" applyAlignment="1">
      <alignment horizontal="left" vertical="top"/>
    </xf>
    <xf numFmtId="0" fontId="0" fillId="55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50" borderId="1" xfId="0" applyFill="1" applyBorder="1" applyAlignment="1">
      <alignment horizontal="left" vertical="center"/>
    </xf>
    <xf numFmtId="0" fontId="8" fillId="0" borderId="1" xfId="0" applyFont="1" applyBorder="1">
      <alignment vertical="center"/>
    </xf>
    <xf numFmtId="0" fontId="84" fillId="0" borderId="1" xfId="0" applyFont="1" applyBorder="1" applyAlignment="1">
      <alignment horizontal="left" vertical="top"/>
    </xf>
    <xf numFmtId="49" fontId="84" fillId="0" borderId="1" xfId="0" applyNumberFormat="1" applyFont="1" applyBorder="1" applyAlignment="1">
      <alignment horizontal="left" vertical="top"/>
    </xf>
    <xf numFmtId="0" fontId="84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4" fontId="62" fillId="34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7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4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42" borderId="11" xfId="0" applyFont="1" applyFill="1" applyBorder="1">
      <alignment vertical="center"/>
    </xf>
    <xf numFmtId="0" fontId="2" fillId="36" borderId="1" xfId="0" applyFont="1" applyFill="1" applyBorder="1" applyAlignment="1">
      <alignment horizontal="center" vertical="center"/>
    </xf>
    <xf numFmtId="49" fontId="65" fillId="0" borderId="1" xfId="0" applyNumberFormat="1" applyFont="1" applyBorder="1" applyAlignment="1">
      <alignment horizontal="left" vertical="top"/>
    </xf>
    <xf numFmtId="0" fontId="2" fillId="0" borderId="11" xfId="0" applyFont="1" applyBorder="1">
      <alignment vertical="center"/>
    </xf>
    <xf numFmtId="0" fontId="2" fillId="36" borderId="1" xfId="0" applyFont="1" applyFill="1" applyBorder="1" applyAlignment="1">
      <alignment horizontal="center" vertical="center"/>
    </xf>
    <xf numFmtId="0" fontId="8" fillId="43" borderId="1" xfId="258" applyFont="1" applyFill="1" applyBorder="1" applyAlignment="1">
      <alignment horizontal="center" vertical="center" wrapText="1"/>
    </xf>
    <xf numFmtId="0" fontId="88" fillId="0" borderId="29" xfId="0" applyFont="1" applyBorder="1">
      <alignment vertical="center"/>
    </xf>
    <xf numFmtId="0" fontId="88" fillId="0" borderId="30" xfId="0" applyFont="1" applyBorder="1">
      <alignment vertical="center"/>
    </xf>
    <xf numFmtId="0" fontId="89" fillId="35" borderId="31" xfId="0" applyFont="1" applyFill="1" applyBorder="1" applyAlignment="1">
      <alignment horizontal="center" vertical="center"/>
    </xf>
    <xf numFmtId="0" fontId="89" fillId="35" borderId="34" xfId="0" applyFont="1" applyFill="1" applyBorder="1" applyAlignment="1">
      <alignment horizontal="center" vertical="center"/>
    </xf>
    <xf numFmtId="0" fontId="62" fillId="0" borderId="30" xfId="0" applyFont="1" applyBorder="1">
      <alignment vertical="center"/>
    </xf>
    <xf numFmtId="0" fontId="89" fillId="35" borderId="1" xfId="0" applyFont="1" applyFill="1" applyBorder="1" applyAlignment="1">
      <alignment horizontal="center" vertical="center"/>
    </xf>
    <xf numFmtId="0" fontId="89" fillId="35" borderId="34" xfId="24" applyFont="1" applyFill="1" applyBorder="1" applyAlignment="1">
      <alignment horizontal="center" vertical="center" wrapText="1"/>
    </xf>
    <xf numFmtId="0" fontId="89" fillId="35" borderId="1" xfId="24" applyFont="1" applyFill="1" applyBorder="1" applyAlignment="1">
      <alignment horizontal="center" vertical="center" wrapText="1"/>
    </xf>
    <xf numFmtId="0" fontId="89" fillId="35" borderId="1" xfId="24" applyFont="1" applyFill="1" applyBorder="1" applyAlignment="1">
      <alignment horizontal="center" vertical="center"/>
    </xf>
    <xf numFmtId="0" fontId="89" fillId="35" borderId="35" xfId="24" applyFont="1" applyFill="1" applyBorder="1" applyAlignment="1">
      <alignment horizontal="center" vertical="center" wrapText="1"/>
    </xf>
    <xf numFmtId="0" fontId="93" fillId="57" borderId="34" xfId="0" applyFont="1" applyFill="1" applyBorder="1">
      <alignment vertical="center"/>
    </xf>
    <xf numFmtId="0" fontId="93" fillId="57" borderId="1" xfId="0" applyFont="1" applyFill="1" applyBorder="1">
      <alignment vertical="center"/>
    </xf>
    <xf numFmtId="0" fontId="93" fillId="57" borderId="1" xfId="0" applyFont="1" applyFill="1" applyBorder="1" applyAlignment="1">
      <alignment horizontal="center" vertical="center"/>
    </xf>
    <xf numFmtId="0" fontId="93" fillId="57" borderId="1" xfId="0" applyFont="1" applyFill="1" applyBorder="1" applyAlignment="1">
      <alignment horizontal="left" vertical="center"/>
    </xf>
    <xf numFmtId="0" fontId="93" fillId="57" borderId="18" xfId="0" applyFont="1" applyFill="1" applyBorder="1">
      <alignment vertical="center"/>
    </xf>
    <xf numFmtId="0" fontId="93" fillId="57" borderId="35" xfId="0" applyFont="1" applyFill="1" applyBorder="1">
      <alignment vertical="center"/>
    </xf>
    <xf numFmtId="0" fontId="88" fillId="0" borderId="36" xfId="0" applyFont="1" applyFill="1" applyBorder="1">
      <alignment vertical="center"/>
    </xf>
    <xf numFmtId="0" fontId="88" fillId="0" borderId="30" xfId="0" applyFont="1" applyFill="1" applyBorder="1">
      <alignment vertical="center"/>
    </xf>
    <xf numFmtId="0" fontId="94" fillId="57" borderId="1" xfId="0" applyFont="1" applyFill="1" applyBorder="1" applyAlignment="1">
      <alignment vertical="center" wrapText="1"/>
    </xf>
    <xf numFmtId="0" fontId="95" fillId="0" borderId="36" xfId="0" applyFont="1" applyFill="1" applyBorder="1">
      <alignment vertical="center"/>
    </xf>
    <xf numFmtId="0" fontId="95" fillId="0" borderId="30" xfId="0" applyFont="1" applyFill="1" applyBorder="1">
      <alignment vertical="center"/>
    </xf>
    <xf numFmtId="0" fontId="96" fillId="57" borderId="1" xfId="0" applyFont="1" applyFill="1" applyBorder="1">
      <alignment vertical="center"/>
    </xf>
    <xf numFmtId="0" fontId="93" fillId="0" borderId="34" xfId="0" applyFont="1" applyFill="1" applyBorder="1">
      <alignment vertical="center"/>
    </xf>
    <xf numFmtId="0" fontId="66" fillId="0" borderId="1" xfId="0" applyFont="1" applyFill="1" applyBorder="1">
      <alignment vertical="center"/>
    </xf>
    <xf numFmtId="0" fontId="93" fillId="0" borderId="1" xfId="0" applyFont="1" applyFill="1" applyBorder="1" applyAlignment="1">
      <alignment horizontal="center" vertical="center"/>
    </xf>
    <xf numFmtId="0" fontId="93" fillId="0" borderId="1" xfId="0" applyFont="1" applyFill="1" applyBorder="1">
      <alignment vertical="center"/>
    </xf>
    <xf numFmtId="0" fontId="93" fillId="0" borderId="35" xfId="0" applyFont="1" applyFill="1" applyBorder="1">
      <alignment vertical="center"/>
    </xf>
    <xf numFmtId="0" fontId="95" fillId="0" borderId="30" xfId="0" applyFont="1" applyBorder="1">
      <alignment vertical="center"/>
    </xf>
    <xf numFmtId="0" fontId="93" fillId="0" borderId="1" xfId="0" quotePrefix="1" applyFont="1" applyFill="1" applyBorder="1">
      <alignment vertical="center"/>
    </xf>
    <xf numFmtId="0" fontId="93" fillId="36" borderId="34" xfId="0" applyFont="1" applyFill="1" applyBorder="1">
      <alignment vertical="center"/>
    </xf>
    <xf numFmtId="0" fontId="93" fillId="0" borderId="1" xfId="0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66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3" fillId="54" borderId="1" xfId="0" applyFont="1" applyFill="1" applyBorder="1">
      <alignment vertical="center"/>
    </xf>
    <xf numFmtId="0" fontId="93" fillId="0" borderId="1" xfId="0" applyFont="1" applyFill="1" applyBorder="1" applyAlignment="1">
      <alignment vertical="center" wrapText="1"/>
    </xf>
    <xf numFmtId="0" fontId="97" fillId="0" borderId="1" xfId="0" applyFont="1" applyFill="1" applyBorder="1">
      <alignment vertical="center"/>
    </xf>
    <xf numFmtId="0" fontId="66" fillId="0" borderId="1" xfId="0" applyFont="1" applyBorder="1">
      <alignment vertical="center"/>
    </xf>
    <xf numFmtId="0" fontId="93" fillId="0" borderId="1" xfId="0" applyFont="1" applyBorder="1" applyAlignment="1">
      <alignment vertical="center" wrapText="1"/>
    </xf>
    <xf numFmtId="0" fontId="93" fillId="54" borderId="1" xfId="0" applyFont="1" applyFill="1" applyBorder="1" applyAlignment="1">
      <alignment horizontal="center" vertical="center"/>
    </xf>
    <xf numFmtId="0" fontId="93" fillId="54" borderId="1" xfId="0" applyFont="1" applyFill="1" applyBorder="1" applyAlignment="1">
      <alignment vertical="center" wrapText="1"/>
    </xf>
    <xf numFmtId="0" fontId="93" fillId="54" borderId="35" xfId="0" applyFont="1" applyFill="1" applyBorder="1">
      <alignment vertical="center"/>
    </xf>
    <xf numFmtId="0" fontId="93" fillId="0" borderId="34" xfId="0" applyFont="1" applyBorder="1">
      <alignment vertical="center"/>
    </xf>
    <xf numFmtId="0" fontId="98" fillId="0" borderId="37" xfId="0" applyFont="1" applyBorder="1">
      <alignment vertical="center"/>
    </xf>
    <xf numFmtId="0" fontId="95" fillId="0" borderId="40" xfId="0" applyFont="1" applyBorder="1">
      <alignment vertical="center"/>
    </xf>
    <xf numFmtId="0" fontId="93" fillId="53" borderId="34" xfId="0" applyFont="1" applyFill="1" applyBorder="1">
      <alignment vertical="center"/>
    </xf>
    <xf numFmtId="0" fontId="93" fillId="53" borderId="1" xfId="0" applyFont="1" applyFill="1" applyBorder="1">
      <alignment vertical="center"/>
    </xf>
    <xf numFmtId="0" fontId="93" fillId="53" borderId="1" xfId="0" applyFont="1" applyFill="1" applyBorder="1" applyAlignment="1">
      <alignment horizontal="center" vertical="center"/>
    </xf>
    <xf numFmtId="0" fontId="93" fillId="53" borderId="1" xfId="0" applyFont="1" applyFill="1" applyBorder="1" applyAlignment="1">
      <alignment vertical="center" wrapText="1"/>
    </xf>
    <xf numFmtId="0" fontId="93" fillId="53" borderId="35" xfId="0" applyFont="1" applyFill="1" applyBorder="1">
      <alignment vertical="center"/>
    </xf>
    <xf numFmtId="0" fontId="66" fillId="53" borderId="1" xfId="0" applyFont="1" applyFill="1" applyBorder="1">
      <alignment vertical="center"/>
    </xf>
    <xf numFmtId="0" fontId="2" fillId="0" borderId="11" xfId="0" applyFont="1" applyFill="1" applyBorder="1">
      <alignment vertical="center"/>
    </xf>
    <xf numFmtId="0" fontId="65" fillId="0" borderId="30" xfId="0" applyFont="1" applyBorder="1">
      <alignment vertical="center"/>
    </xf>
    <xf numFmtId="0" fontId="66" fillId="0" borderId="1" xfId="0" applyFont="1" applyBorder="1" applyAlignment="1">
      <alignment horizontal="center" vertical="center"/>
    </xf>
    <xf numFmtId="0" fontId="93" fillId="0" borderId="17" xfId="0" applyFont="1" applyBorder="1">
      <alignment vertical="center"/>
    </xf>
    <xf numFmtId="0" fontId="48" fillId="0" borderId="1" xfId="0" applyFont="1" applyBorder="1">
      <alignment vertical="center"/>
    </xf>
    <xf numFmtId="0" fontId="2" fillId="0" borderId="19" xfId="246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66" fillId="0" borderId="11" xfId="0" applyFont="1" applyBorder="1">
      <alignment vertical="center"/>
    </xf>
    <xf numFmtId="0" fontId="2" fillId="0" borderId="1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89" fillId="35" borderId="34" xfId="0" applyFont="1" applyFill="1" applyBorder="1" applyAlignment="1">
      <alignment horizontal="center" vertical="center"/>
    </xf>
    <xf numFmtId="0" fontId="2" fillId="36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45" borderId="11" xfId="0" applyFont="1" applyFill="1" applyBorder="1" applyAlignment="1">
      <alignment horizontal="left" vertical="center"/>
    </xf>
    <xf numFmtId="0" fontId="93" fillId="57" borderId="1" xfId="0" applyFont="1" applyFill="1" applyBorder="1" applyAlignment="1">
      <alignment vertical="center" wrapText="1"/>
    </xf>
    <xf numFmtId="0" fontId="96" fillId="57" borderId="1" xfId="0" applyFont="1" applyFill="1" applyBorder="1" applyAlignment="1">
      <alignment horizontal="center" vertical="center"/>
    </xf>
    <xf numFmtId="0" fontId="102" fillId="0" borderId="11" xfId="0" applyFont="1" applyBorder="1">
      <alignment vertical="center"/>
    </xf>
    <xf numFmtId="0" fontId="97" fillId="0" borderId="1" xfId="0" applyFont="1" applyBorder="1">
      <alignment vertical="center"/>
    </xf>
    <xf numFmtId="0" fontId="97" fillId="0" borderId="1" xfId="0" applyFont="1" applyBorder="1" applyAlignment="1">
      <alignment horizontal="center" vertical="center"/>
    </xf>
    <xf numFmtId="0" fontId="97" fillId="0" borderId="1" xfId="0" applyFont="1" applyBorder="1" applyAlignment="1">
      <alignment vertical="center" wrapText="1"/>
    </xf>
    <xf numFmtId="0" fontId="95" fillId="0" borderId="36" xfId="0" applyFont="1" applyBorder="1">
      <alignment vertical="center"/>
    </xf>
    <xf numFmtId="0" fontId="93" fillId="0" borderId="35" xfId="0" applyFont="1" applyFill="1" applyBorder="1" applyAlignment="1">
      <alignment vertical="center" wrapText="1"/>
    </xf>
    <xf numFmtId="0" fontId="93" fillId="0" borderId="35" xfId="0" applyFont="1" applyBorder="1" applyAlignment="1">
      <alignment vertical="center" wrapText="1"/>
    </xf>
    <xf numFmtId="0" fontId="66" fillId="0" borderId="1" xfId="0" applyFont="1" applyFill="1" applyBorder="1" applyAlignment="1">
      <alignment horizontal="center" vertical="center"/>
    </xf>
    <xf numFmtId="0" fontId="2" fillId="54" borderId="11" xfId="0" applyFont="1" applyFill="1" applyBorder="1">
      <alignment vertical="center"/>
    </xf>
    <xf numFmtId="0" fontId="93" fillId="54" borderId="35" xfId="0" applyFont="1" applyFill="1" applyBorder="1" applyAlignment="1">
      <alignment vertical="center" wrapText="1"/>
    </xf>
    <xf numFmtId="0" fontId="102" fillId="0" borderId="11" xfId="0" applyFont="1" applyBorder="1" applyAlignment="1">
      <alignment horizontal="left" vertical="center"/>
    </xf>
    <xf numFmtId="0" fontId="93" fillId="45" borderId="1" xfId="0" applyFont="1" applyFill="1" applyBorder="1">
      <alignment vertical="center"/>
    </xf>
    <xf numFmtId="0" fontId="93" fillId="45" borderId="1" xfId="0" applyFont="1" applyFill="1" applyBorder="1" applyAlignment="1">
      <alignment horizontal="center" vertical="center"/>
    </xf>
    <xf numFmtId="0" fontId="93" fillId="45" borderId="35" xfId="0" applyFont="1" applyFill="1" applyBorder="1" applyAlignment="1">
      <alignment vertical="center" wrapText="1"/>
    </xf>
    <xf numFmtId="0" fontId="96" fillId="0" borderId="35" xfId="0" applyFont="1" applyFill="1" applyBorder="1">
      <alignment vertical="center"/>
    </xf>
    <xf numFmtId="0" fontId="93" fillId="36" borderId="1" xfId="0" applyFont="1" applyFill="1" applyBorder="1" applyAlignment="1">
      <alignment vertical="center" wrapText="1"/>
    </xf>
    <xf numFmtId="0" fontId="2" fillId="54" borderId="11" xfId="0" applyFont="1" applyFill="1" applyBorder="1" applyAlignment="1">
      <alignment horizontal="left" vertical="center"/>
    </xf>
    <xf numFmtId="0" fontId="66" fillId="0" borderId="11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66" fillId="0" borderId="11" xfId="0" applyFont="1" applyFill="1" applyBorder="1">
      <alignment vertical="center"/>
    </xf>
    <xf numFmtId="0" fontId="66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63" fillId="0" borderId="1" xfId="0" applyFont="1" applyBorder="1">
      <alignment vertical="center"/>
    </xf>
    <xf numFmtId="0" fontId="63" fillId="45" borderId="11" xfId="0" applyFont="1" applyFill="1" applyBorder="1">
      <alignment vertical="center"/>
    </xf>
    <xf numFmtId="0" fontId="93" fillId="45" borderId="1" xfId="0" applyFont="1" applyFill="1" applyBorder="1" applyAlignment="1">
      <alignment vertical="center" wrapText="1"/>
    </xf>
    <xf numFmtId="0" fontId="63" fillId="0" borderId="11" xfId="0" applyFont="1" applyFill="1" applyBorder="1">
      <alignment vertical="center"/>
    </xf>
    <xf numFmtId="0" fontId="93" fillId="0" borderId="35" xfId="0" quotePrefix="1" applyFont="1" applyFill="1" applyBorder="1">
      <alignment vertical="center"/>
    </xf>
    <xf numFmtId="0" fontId="96" fillId="0" borderId="1" xfId="0" applyFont="1" applyFill="1" applyBorder="1">
      <alignment vertical="center"/>
    </xf>
    <xf numFmtId="0" fontId="96" fillId="0" borderId="1" xfId="0" applyFont="1" applyFill="1" applyBorder="1" applyAlignment="1">
      <alignment vertical="center" wrapText="1"/>
    </xf>
    <xf numFmtId="0" fontId="93" fillId="0" borderId="18" xfId="0" applyFont="1" applyBorder="1">
      <alignment vertical="center"/>
    </xf>
    <xf numFmtId="0" fontId="89" fillId="57" borderId="1" xfId="0" applyFont="1" applyFill="1" applyBorder="1">
      <alignment vertical="center"/>
    </xf>
    <xf numFmtId="0" fontId="96" fillId="0" borderId="1" xfId="0" applyFont="1" applyBorder="1" applyAlignment="1">
      <alignment vertical="center" wrapText="1"/>
    </xf>
    <xf numFmtId="0" fontId="93" fillId="0" borderId="1" xfId="0" quotePrefix="1" applyFont="1" applyBorder="1">
      <alignment vertical="center"/>
    </xf>
    <xf numFmtId="0" fontId="103" fillId="0" borderId="30" xfId="0" applyFont="1" applyBorder="1">
      <alignment vertical="center"/>
    </xf>
    <xf numFmtId="0" fontId="104" fillId="45" borderId="0" xfId="0" applyFont="1" applyFill="1">
      <alignment vertical="center"/>
    </xf>
    <xf numFmtId="0" fontId="86" fillId="45" borderId="30" xfId="0" applyFont="1" applyFill="1" applyBorder="1">
      <alignment vertical="center"/>
    </xf>
    <xf numFmtId="0" fontId="86" fillId="0" borderId="30" xfId="0" applyFont="1" applyBorder="1">
      <alignment vertical="center"/>
    </xf>
    <xf numFmtId="0" fontId="74" fillId="45" borderId="0" xfId="0" applyFont="1" applyFill="1">
      <alignment vertical="center"/>
    </xf>
    <xf numFmtId="0" fontId="2" fillId="45" borderId="0" xfId="0" applyFont="1" applyFill="1">
      <alignment vertical="center"/>
    </xf>
    <xf numFmtId="0" fontId="95" fillId="45" borderId="30" xfId="0" applyFont="1" applyFill="1" applyBorder="1">
      <alignment vertical="center"/>
    </xf>
    <xf numFmtId="0" fontId="63" fillId="53" borderId="11" xfId="0" applyFont="1" applyFill="1" applyBorder="1">
      <alignment vertical="center"/>
    </xf>
    <xf numFmtId="0" fontId="66" fillId="45" borderId="1" xfId="0" applyFont="1" applyFill="1" applyBorder="1" applyAlignment="1">
      <alignment vertical="center" wrapText="1"/>
    </xf>
    <xf numFmtId="0" fontId="93" fillId="0" borderId="1" xfId="0" applyFont="1" applyBorder="1" applyAlignment="1">
      <alignment horizontal="left" vertical="center"/>
    </xf>
    <xf numFmtId="0" fontId="66" fillId="0" borderId="1" xfId="0" quotePrefix="1" applyFont="1" applyBorder="1">
      <alignment vertical="center"/>
    </xf>
    <xf numFmtId="0" fontId="93" fillId="0" borderId="30" xfId="0" applyFont="1" applyBorder="1">
      <alignment vertical="center"/>
    </xf>
    <xf numFmtId="0" fontId="63" fillId="36" borderId="34" xfId="0" applyFont="1" applyFill="1" applyBorder="1">
      <alignment vertical="center"/>
    </xf>
    <xf numFmtId="0" fontId="63" fillId="0" borderId="35" xfId="0" applyFont="1" applyBorder="1">
      <alignment vertical="center"/>
    </xf>
    <xf numFmtId="0" fontId="63" fillId="0" borderId="1" xfId="0" applyFont="1" applyBorder="1" applyAlignment="1">
      <alignment vertical="center" wrapText="1"/>
    </xf>
    <xf numFmtId="0" fontId="63" fillId="0" borderId="34" xfId="0" applyFont="1" applyBorder="1">
      <alignment vertical="center"/>
    </xf>
    <xf numFmtId="0" fontId="93" fillId="0" borderId="41" xfId="0" applyFont="1" applyBorder="1">
      <alignment vertical="center"/>
    </xf>
    <xf numFmtId="0" fontId="93" fillId="0" borderId="19" xfId="0" applyFont="1" applyBorder="1">
      <alignment vertical="center"/>
    </xf>
    <xf numFmtId="0" fontId="93" fillId="0" borderId="19" xfId="0" applyFont="1" applyBorder="1" applyAlignment="1">
      <alignment horizontal="center" vertical="center"/>
    </xf>
    <xf numFmtId="0" fontId="93" fillId="0" borderId="42" xfId="0" applyFont="1" applyBorder="1">
      <alignment vertical="center"/>
    </xf>
    <xf numFmtId="0" fontId="95" fillId="0" borderId="43" xfId="0" applyFont="1" applyBorder="1">
      <alignment vertical="center"/>
    </xf>
    <xf numFmtId="0" fontId="95" fillId="0" borderId="1" xfId="0" applyFont="1" applyBorder="1">
      <alignment vertical="center"/>
    </xf>
    <xf numFmtId="0" fontId="95" fillId="0" borderId="1" xfId="0" quotePrefix="1" applyFont="1" applyBorder="1">
      <alignment vertical="center"/>
    </xf>
    <xf numFmtId="0" fontId="0" fillId="55" borderId="1" xfId="0" applyFill="1" applyBorder="1" applyAlignment="1">
      <alignment horizontal="center" vertical="center"/>
    </xf>
    <xf numFmtId="0" fontId="2" fillId="48" borderId="1" xfId="0" applyFont="1" applyFill="1" applyBorder="1">
      <alignment vertical="center"/>
    </xf>
    <xf numFmtId="0" fontId="93" fillId="0" borderId="30" xfId="0" applyFont="1" applyBorder="1" applyAlignment="1">
      <alignment vertical="center" wrapText="1"/>
    </xf>
    <xf numFmtId="0" fontId="0" fillId="0" borderId="0" xfId="0" quotePrefix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2" fillId="42" borderId="1" xfId="0" applyFont="1" applyFill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63" fillId="0" borderId="11" xfId="0" applyFont="1" applyBorder="1" applyAlignment="1">
      <alignment horizontal="left" vertical="center"/>
    </xf>
    <xf numFmtId="0" fontId="63" fillId="0" borderId="18" xfId="0" applyFont="1" applyBorder="1" applyAlignment="1">
      <alignment horizontal="left" vertical="center"/>
    </xf>
    <xf numFmtId="0" fontId="63" fillId="0" borderId="11" xfId="0" applyFont="1" applyBorder="1" applyAlignment="1">
      <alignment horizontal="left" vertical="center"/>
    </xf>
    <xf numFmtId="0" fontId="63" fillId="0" borderId="18" xfId="0" applyFont="1" applyBorder="1" applyAlignment="1">
      <alignment horizontal="left" vertical="center"/>
    </xf>
    <xf numFmtId="0" fontId="63" fillId="36" borderId="11" xfId="0" applyFont="1" applyFill="1" applyBorder="1">
      <alignment vertical="center"/>
    </xf>
    <xf numFmtId="0" fontId="63" fillId="36" borderId="18" xfId="0" applyFont="1" applyFill="1" applyBorder="1">
      <alignment vertical="center"/>
    </xf>
    <xf numFmtId="0" fontId="63" fillId="0" borderId="17" xfId="0" applyFont="1" applyBorder="1">
      <alignment vertical="center"/>
    </xf>
    <xf numFmtId="0" fontId="63" fillId="0" borderId="11" xfId="0" applyFont="1" applyBorder="1">
      <alignment vertical="center"/>
    </xf>
    <xf numFmtId="0" fontId="63" fillId="0" borderId="18" xfId="0" applyFont="1" applyBorder="1">
      <alignment vertical="center"/>
    </xf>
    <xf numFmtId="0" fontId="63" fillId="36" borderId="11" xfId="0" applyFont="1" applyFill="1" applyBorder="1" applyAlignment="1">
      <alignment horizontal="left" vertical="center"/>
    </xf>
    <xf numFmtId="0" fontId="63" fillId="36" borderId="18" xfId="0" applyFont="1" applyFill="1" applyBorder="1" applyAlignment="1">
      <alignment horizontal="left" vertical="center"/>
    </xf>
    <xf numFmtId="0" fontId="93" fillId="45" borderId="35" xfId="0" applyFont="1" applyFill="1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5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72" fillId="0" borderId="11" xfId="0" applyFont="1" applyBorder="1" applyAlignment="1">
      <alignment horizontal="left" vertical="center"/>
    </xf>
    <xf numFmtId="0" fontId="72" fillId="0" borderId="18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14" fontId="48" fillId="36" borderId="1" xfId="0" applyNumberFormat="1" applyFont="1" applyFill="1" applyBorder="1" applyAlignment="1">
      <alignment horizontal="center" vertical="center"/>
    </xf>
    <xf numFmtId="0" fontId="48" fillId="36" borderId="1" xfId="0" applyFont="1" applyFill="1" applyBorder="1" applyAlignment="1">
      <alignment horizontal="center" vertical="center" wrapText="1"/>
    </xf>
    <xf numFmtId="0" fontId="60" fillId="34" borderId="0" xfId="2" applyFont="1" applyFill="1" applyAlignment="1">
      <alignment horizontal="center" vertical="center"/>
    </xf>
    <xf numFmtId="0" fontId="2" fillId="49" borderId="1" xfId="246" applyFont="1" applyFill="1" applyBorder="1" applyAlignment="1">
      <alignment horizontal="center" vertical="center"/>
    </xf>
    <xf numFmtId="0" fontId="2" fillId="0" borderId="1" xfId="246" applyFont="1" applyBorder="1" applyAlignment="1">
      <alignment horizontal="center" vertical="center"/>
    </xf>
    <xf numFmtId="0" fontId="81" fillId="0" borderId="0" xfId="246" applyFont="1" applyAlignment="1">
      <alignment horizontal="left" vertical="center"/>
    </xf>
    <xf numFmtId="0" fontId="2" fillId="49" borderId="17" xfId="246" applyFont="1" applyFill="1" applyBorder="1" applyAlignment="1">
      <alignment horizontal="center" vertical="center"/>
    </xf>
    <xf numFmtId="0" fontId="2" fillId="49" borderId="18" xfId="246" applyFont="1" applyFill="1" applyBorder="1" applyAlignment="1">
      <alignment horizontal="center" vertical="center"/>
    </xf>
    <xf numFmtId="0" fontId="2" fillId="44" borderId="1" xfId="246" applyFont="1" applyFill="1" applyBorder="1" applyAlignment="1">
      <alignment horizontal="center" vertical="center"/>
    </xf>
    <xf numFmtId="0" fontId="52" fillId="0" borderId="17" xfId="0" applyFont="1" applyBorder="1" applyAlignment="1">
      <alignment horizontal="left" vertical="center"/>
    </xf>
    <xf numFmtId="0" fontId="52" fillId="0" borderId="11" xfId="0" applyFont="1" applyBorder="1" applyAlignment="1">
      <alignment horizontal="left" vertical="center"/>
    </xf>
    <xf numFmtId="0" fontId="52" fillId="0" borderId="18" xfId="0" applyFont="1" applyBorder="1" applyAlignment="1">
      <alignment horizontal="left" vertical="center"/>
    </xf>
    <xf numFmtId="0" fontId="2" fillId="40" borderId="19" xfId="0" applyFont="1" applyFill="1" applyBorder="1" applyAlignment="1">
      <alignment horizontal="center" vertical="center" wrapText="1"/>
    </xf>
    <xf numFmtId="0" fontId="2" fillId="40" borderId="20" xfId="0" applyFont="1" applyFill="1" applyBorder="1" applyAlignment="1">
      <alignment horizontal="center" vertical="center" wrapText="1"/>
    </xf>
    <xf numFmtId="0" fontId="2" fillId="40" borderId="21" xfId="0" applyFont="1" applyFill="1" applyBorder="1" applyAlignment="1">
      <alignment horizontal="center" vertical="center" wrapText="1"/>
    </xf>
    <xf numFmtId="0" fontId="2" fillId="39" borderId="19" xfId="0" applyFont="1" applyFill="1" applyBorder="1" applyAlignment="1">
      <alignment horizontal="center" vertical="center" wrapText="1"/>
    </xf>
    <xf numFmtId="0" fontId="2" fillId="39" borderId="20" xfId="0" applyFont="1" applyFill="1" applyBorder="1" applyAlignment="1">
      <alignment horizontal="center" vertical="center" wrapText="1"/>
    </xf>
    <xf numFmtId="0" fontId="2" fillId="39" borderId="21" xfId="0" applyFont="1" applyFill="1" applyBorder="1" applyAlignment="1">
      <alignment horizontal="center" vertical="center" wrapText="1"/>
    </xf>
    <xf numFmtId="0" fontId="63" fillId="37" borderId="19" xfId="0" applyFont="1" applyFill="1" applyBorder="1" applyAlignment="1">
      <alignment horizontal="center" vertical="center" wrapText="1"/>
    </xf>
    <xf numFmtId="0" fontId="63" fillId="37" borderId="20" xfId="0" applyFont="1" applyFill="1" applyBorder="1" applyAlignment="1">
      <alignment horizontal="center" vertical="center" wrapText="1"/>
    </xf>
    <xf numFmtId="0" fontId="2" fillId="46" borderId="19" xfId="0" applyFont="1" applyFill="1" applyBorder="1" applyAlignment="1">
      <alignment horizontal="center" vertical="center" wrapText="1"/>
    </xf>
    <xf numFmtId="0" fontId="2" fillId="46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42" borderId="17" xfId="0" applyFont="1" applyFill="1" applyBorder="1" applyAlignment="1">
      <alignment horizontal="center" vertical="center"/>
    </xf>
    <xf numFmtId="0" fontId="2" fillId="42" borderId="18" xfId="0" applyFont="1" applyFill="1" applyBorder="1" applyAlignment="1">
      <alignment horizontal="center" vertical="center"/>
    </xf>
    <xf numFmtId="0" fontId="69" fillId="41" borderId="17" xfId="0" applyFont="1" applyFill="1" applyBorder="1" applyAlignment="1">
      <alignment horizontal="center" vertical="center"/>
    </xf>
    <xf numFmtId="0" fontId="69" fillId="41" borderId="11" xfId="0" applyFont="1" applyFill="1" applyBorder="1" applyAlignment="1">
      <alignment horizontal="center" vertical="center"/>
    </xf>
    <xf numFmtId="0" fontId="69" fillId="41" borderId="18" xfId="0" applyFont="1" applyFill="1" applyBorder="1" applyAlignment="1">
      <alignment horizontal="center" vertical="center"/>
    </xf>
    <xf numFmtId="0" fontId="72" fillId="0" borderId="23" xfId="0" applyFont="1" applyBorder="1" applyAlignment="1">
      <alignment horizontal="left" vertical="top" wrapText="1"/>
    </xf>
    <xf numFmtId="0" fontId="72" fillId="0" borderId="22" xfId="0" applyFont="1" applyBorder="1" applyAlignment="1">
      <alignment horizontal="left" vertical="top"/>
    </xf>
    <xf numFmtId="0" fontId="72" fillId="0" borderId="24" xfId="0" applyFont="1" applyBorder="1" applyAlignment="1">
      <alignment horizontal="left" vertical="top"/>
    </xf>
    <xf numFmtId="0" fontId="72" fillId="0" borderId="25" xfId="0" applyFont="1" applyBorder="1" applyAlignment="1">
      <alignment horizontal="left" vertical="top"/>
    </xf>
    <xf numFmtId="0" fontId="72" fillId="0" borderId="16" xfId="0" applyFont="1" applyBorder="1" applyAlignment="1">
      <alignment horizontal="left" vertical="top"/>
    </xf>
    <xf numFmtId="0" fontId="72" fillId="0" borderId="2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68" fillId="0" borderId="11" xfId="0" applyFont="1" applyBorder="1" applyAlignment="1">
      <alignment horizontal="center" vertical="center"/>
    </xf>
    <xf numFmtId="0" fontId="2" fillId="42" borderId="17" xfId="0" applyFont="1" applyFill="1" applyBorder="1" applyAlignment="1">
      <alignment horizontal="left" vertical="center" wrapText="1"/>
    </xf>
    <xf numFmtId="0" fontId="2" fillId="42" borderId="11" xfId="0" applyFont="1" applyFill="1" applyBorder="1" applyAlignment="1">
      <alignment horizontal="left" vertical="center" wrapText="1"/>
    </xf>
    <xf numFmtId="0" fontId="2" fillId="42" borderId="18" xfId="0" applyFont="1" applyFill="1" applyBorder="1" applyAlignment="1">
      <alignment horizontal="left" vertical="center" wrapText="1"/>
    </xf>
    <xf numFmtId="0" fontId="66" fillId="0" borderId="17" xfId="0" applyFont="1" applyBorder="1">
      <alignment vertical="center"/>
    </xf>
    <xf numFmtId="0" fontId="66" fillId="0" borderId="11" xfId="0" applyFont="1" applyBorder="1">
      <alignment vertical="center"/>
    </xf>
    <xf numFmtId="0" fontId="66" fillId="0" borderId="18" xfId="0" applyFont="1" applyBorder="1">
      <alignment vertical="center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8" xfId="0" applyFont="1" applyBorder="1">
      <alignment vertical="center"/>
    </xf>
    <xf numFmtId="0" fontId="2" fillId="42" borderId="17" xfId="0" applyFont="1" applyFill="1" applyBorder="1">
      <alignment vertical="center"/>
    </xf>
    <xf numFmtId="0" fontId="2" fillId="42" borderId="11" xfId="0" applyFont="1" applyFill="1" applyBorder="1">
      <alignment vertical="center"/>
    </xf>
    <xf numFmtId="0" fontId="2" fillId="42" borderId="18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8" fillId="0" borderId="22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41" borderId="1" xfId="0" applyFont="1" applyFill="1" applyBorder="1" applyAlignment="1">
      <alignment horizontal="left" vertical="center"/>
    </xf>
    <xf numFmtId="0" fontId="73" fillId="41" borderId="1" xfId="257" applyFont="1" applyFill="1" applyBorder="1" applyAlignment="1">
      <alignment horizontal="left" vertical="center"/>
    </xf>
    <xf numFmtId="0" fontId="73" fillId="41" borderId="1" xfId="6" applyFont="1" applyFill="1" applyBorder="1" applyAlignment="1">
      <alignment horizontal="left" vertical="center"/>
    </xf>
    <xf numFmtId="0" fontId="66" fillId="0" borderId="17" xfId="0" applyFont="1" applyBorder="1" applyAlignment="1">
      <alignment horizontal="left" vertical="center"/>
    </xf>
    <xf numFmtId="0" fontId="66" fillId="0" borderId="11" xfId="0" applyFont="1" applyBorder="1" applyAlignment="1">
      <alignment horizontal="left" vertical="center"/>
    </xf>
    <xf numFmtId="0" fontId="66" fillId="0" borderId="18" xfId="0" applyFont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8" fillId="41" borderId="1" xfId="0" applyFont="1" applyFill="1" applyBorder="1" applyAlignment="1">
      <alignment horizontal="center" vertical="center"/>
    </xf>
    <xf numFmtId="0" fontId="71" fillId="0" borderId="23" xfId="0" quotePrefix="1" applyFont="1" applyBorder="1" applyAlignment="1">
      <alignment horizontal="left" vertical="top" wrapText="1"/>
    </xf>
    <xf numFmtId="0" fontId="71" fillId="0" borderId="22" xfId="0" quotePrefix="1" applyFont="1" applyBorder="1" applyAlignment="1">
      <alignment horizontal="left" vertical="top" wrapText="1"/>
    </xf>
    <xf numFmtId="0" fontId="71" fillId="0" borderId="24" xfId="0" quotePrefix="1" applyFont="1" applyBorder="1" applyAlignment="1">
      <alignment horizontal="left" vertical="top" wrapText="1"/>
    </xf>
    <xf numFmtId="0" fontId="71" fillId="0" borderId="27" xfId="0" quotePrefix="1" applyFont="1" applyBorder="1" applyAlignment="1">
      <alignment horizontal="left" vertical="top" wrapText="1"/>
    </xf>
    <xf numFmtId="0" fontId="71" fillId="0" borderId="0" xfId="0" quotePrefix="1" applyFont="1" applyAlignment="1">
      <alignment horizontal="left" vertical="top" wrapText="1"/>
    </xf>
    <xf numFmtId="0" fontId="71" fillId="0" borderId="28" xfId="0" quotePrefix="1" applyFont="1" applyBorder="1" applyAlignment="1">
      <alignment horizontal="left" vertical="top" wrapText="1"/>
    </xf>
    <xf numFmtId="0" fontId="71" fillId="0" borderId="25" xfId="0" quotePrefix="1" applyFont="1" applyBorder="1" applyAlignment="1">
      <alignment horizontal="left" vertical="top" wrapText="1"/>
    </xf>
    <xf numFmtId="0" fontId="71" fillId="0" borderId="16" xfId="0" quotePrefix="1" applyFont="1" applyBorder="1" applyAlignment="1">
      <alignment horizontal="left" vertical="top" wrapText="1"/>
    </xf>
    <xf numFmtId="0" fontId="71" fillId="0" borderId="26" xfId="0" quotePrefix="1" applyFont="1" applyBorder="1" applyAlignment="1">
      <alignment horizontal="left" vertical="top" wrapText="1"/>
    </xf>
    <xf numFmtId="0" fontId="63" fillId="0" borderId="1" xfId="0" applyFont="1" applyBorder="1" applyAlignment="1">
      <alignment horizontal="left" vertical="center"/>
    </xf>
    <xf numFmtId="0" fontId="63" fillId="0" borderId="1" xfId="0" applyFont="1" applyBorder="1" applyAlignment="1">
      <alignment horizontal="center" vertical="center"/>
    </xf>
    <xf numFmtId="0" fontId="3" fillId="41" borderId="1" xfId="258" applyFill="1" applyBorder="1" applyAlignment="1">
      <alignment horizontal="left" vertical="center"/>
    </xf>
    <xf numFmtId="0" fontId="70" fillId="41" borderId="1" xfId="6" applyFont="1" applyFill="1" applyBorder="1" applyAlignment="1">
      <alignment horizontal="left" vertical="center"/>
    </xf>
    <xf numFmtId="0" fontId="63" fillId="0" borderId="1" xfId="0" applyFont="1" applyBorder="1" applyAlignment="1">
      <alignment horizontal="left" vertical="center" wrapText="1"/>
    </xf>
    <xf numFmtId="0" fontId="63" fillId="0" borderId="17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63" fillId="0" borderId="17" xfId="0" applyFont="1" applyBorder="1" applyAlignment="1">
      <alignment horizontal="left" vertical="center"/>
    </xf>
    <xf numFmtId="0" fontId="63" fillId="0" borderId="11" xfId="0" applyFont="1" applyBorder="1" applyAlignment="1">
      <alignment horizontal="left" vertical="center"/>
    </xf>
    <xf numFmtId="0" fontId="63" fillId="0" borderId="18" xfId="0" applyFont="1" applyBorder="1" applyAlignment="1">
      <alignment horizontal="left" vertical="center"/>
    </xf>
    <xf numFmtId="0" fontId="63" fillId="0" borderId="17" xfId="0" applyFont="1" applyBorder="1" applyAlignment="1">
      <alignment horizontal="left" vertical="center" wrapText="1"/>
    </xf>
    <xf numFmtId="0" fontId="63" fillId="0" borderId="11" xfId="0" applyFont="1" applyBorder="1" applyAlignment="1">
      <alignment horizontal="left" vertical="center" wrapText="1"/>
    </xf>
    <xf numFmtId="0" fontId="63" fillId="0" borderId="18" xfId="0" applyFont="1" applyBorder="1" applyAlignment="1">
      <alignment horizontal="left" vertical="center" wrapText="1"/>
    </xf>
    <xf numFmtId="0" fontId="63" fillId="45" borderId="1" xfId="0" applyFont="1" applyFill="1" applyBorder="1" applyAlignment="1">
      <alignment horizontal="left" vertical="center" wrapText="1"/>
    </xf>
    <xf numFmtId="0" fontId="67" fillId="45" borderId="1" xfId="0" applyFont="1" applyFill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top" wrapText="1"/>
    </xf>
    <xf numFmtId="0" fontId="63" fillId="35" borderId="1" xfId="0" applyFont="1" applyFill="1" applyBorder="1" applyAlignment="1">
      <alignment horizontal="left" vertical="center"/>
    </xf>
    <xf numFmtId="0" fontId="63" fillId="35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90" fillId="0" borderId="32" xfId="0" applyFont="1" applyBorder="1" applyAlignment="1">
      <alignment horizontal="center" vertical="center"/>
    </xf>
    <xf numFmtId="0" fontId="90" fillId="0" borderId="33" xfId="0" applyFont="1" applyBorder="1" applyAlignment="1">
      <alignment horizontal="center" vertical="center"/>
    </xf>
    <xf numFmtId="0" fontId="91" fillId="0" borderId="1" xfId="0" applyFont="1" applyBorder="1" applyAlignment="1">
      <alignment horizontal="center" vertical="center"/>
    </xf>
    <xf numFmtId="0" fontId="91" fillId="0" borderId="35" xfId="0" applyFont="1" applyBorder="1" applyAlignment="1">
      <alignment horizontal="center" vertical="center"/>
    </xf>
    <xf numFmtId="0" fontId="91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left" vertical="center"/>
    </xf>
    <xf numFmtId="0" fontId="91" fillId="0" borderId="35" xfId="0" applyFont="1" applyBorder="1" applyAlignment="1">
      <alignment horizontal="left" vertical="center"/>
    </xf>
    <xf numFmtId="0" fontId="89" fillId="35" borderId="34" xfId="0" applyFont="1" applyFill="1" applyBorder="1" applyAlignment="1">
      <alignment horizontal="center" vertical="center"/>
    </xf>
    <xf numFmtId="0" fontId="62" fillId="0" borderId="1" xfId="0" quotePrefix="1" applyFont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/>
    </xf>
    <xf numFmtId="0" fontId="62" fillId="0" borderId="35" xfId="0" applyFont="1" applyBorder="1" applyAlignment="1">
      <alignment horizontal="left" vertical="center"/>
    </xf>
    <xf numFmtId="0" fontId="100" fillId="0" borderId="38" xfId="0" applyFont="1" applyBorder="1" applyAlignment="1">
      <alignment horizontal="center" vertical="center"/>
    </xf>
    <xf numFmtId="0" fontId="100" fillId="0" borderId="39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3" fontId="62" fillId="0" borderId="1" xfId="0" applyNumberFormat="1" applyFont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92" fillId="56" borderId="34" xfId="0" applyFont="1" applyFill="1" applyBorder="1" applyAlignment="1">
      <alignment horizontal="center" vertical="center"/>
    </xf>
    <xf numFmtId="0" fontId="92" fillId="56" borderId="1" xfId="0" applyFont="1" applyFill="1" applyBorder="1" applyAlignment="1">
      <alignment horizontal="center" vertical="center"/>
    </xf>
    <xf numFmtId="0" fontId="89" fillId="45" borderId="1" xfId="0" applyFont="1" applyFill="1" applyBorder="1" applyAlignment="1">
      <alignment horizontal="center" vertical="center"/>
    </xf>
    <xf numFmtId="0" fontId="89" fillId="45" borderId="35" xfId="0" applyFont="1" applyFill="1" applyBorder="1" applyAlignment="1">
      <alignment horizontal="center" vertical="center"/>
    </xf>
    <xf numFmtId="0" fontId="89" fillId="36" borderId="1" xfId="24" applyFont="1" applyFill="1" applyBorder="1" applyAlignment="1">
      <alignment horizontal="center" vertical="center" wrapText="1"/>
    </xf>
    <xf numFmtId="0" fontId="89" fillId="36" borderId="35" xfId="24" applyFont="1" applyFill="1" applyBorder="1" applyAlignment="1">
      <alignment horizontal="center" vertical="center" wrapText="1"/>
    </xf>
    <xf numFmtId="0" fontId="75" fillId="0" borderId="23" xfId="0" applyFont="1" applyBorder="1" applyAlignment="1">
      <alignment horizontal="left" vertical="top" wrapText="1"/>
    </xf>
    <xf numFmtId="0" fontId="66" fillId="0" borderId="1" xfId="0" applyFont="1" applyBorder="1" applyAlignment="1">
      <alignment horizontal="left" vertical="center"/>
    </xf>
    <xf numFmtId="0" fontId="2" fillId="45" borderId="17" xfId="0" applyFont="1" applyFill="1" applyBorder="1" applyAlignment="1">
      <alignment horizontal="center" vertical="center"/>
    </xf>
    <xf numFmtId="0" fontId="2" fillId="45" borderId="18" xfId="0" applyFont="1" applyFill="1" applyBorder="1" applyAlignment="1">
      <alignment horizontal="center" vertical="center"/>
    </xf>
    <xf numFmtId="0" fontId="2" fillId="45" borderId="17" xfId="0" applyFont="1" applyFill="1" applyBorder="1" applyAlignment="1">
      <alignment horizontal="left" vertical="center" wrapText="1"/>
    </xf>
    <xf numFmtId="0" fontId="2" fillId="45" borderId="11" xfId="0" applyFont="1" applyFill="1" applyBorder="1" applyAlignment="1">
      <alignment horizontal="left" vertical="center" wrapText="1"/>
    </xf>
    <xf numFmtId="0" fontId="2" fillId="45" borderId="18" xfId="0" applyFont="1" applyFill="1" applyBorder="1" applyAlignment="1">
      <alignment horizontal="left" vertical="center" wrapText="1"/>
    </xf>
    <xf numFmtId="0" fontId="2" fillId="36" borderId="1" xfId="0" applyFont="1" applyFill="1" applyBorder="1" applyAlignment="1">
      <alignment horizontal="center" vertical="center"/>
    </xf>
    <xf numFmtId="0" fontId="2" fillId="36" borderId="17" xfId="0" applyFont="1" applyFill="1" applyBorder="1" applyAlignment="1">
      <alignment horizontal="center" vertical="center"/>
    </xf>
    <xf numFmtId="0" fontId="2" fillId="36" borderId="18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left" vertical="center"/>
    </xf>
    <xf numFmtId="0" fontId="63" fillId="45" borderId="17" xfId="0" applyFont="1" applyFill="1" applyBorder="1" applyAlignment="1">
      <alignment horizontal="center" vertical="center"/>
    </xf>
    <xf numFmtId="0" fontId="63" fillId="45" borderId="18" xfId="0" applyFont="1" applyFill="1" applyBorder="1" applyAlignment="1">
      <alignment horizontal="center" vertical="center"/>
    </xf>
    <xf numFmtId="0" fontId="63" fillId="45" borderId="17" xfId="0" applyFont="1" applyFill="1" applyBorder="1" applyAlignment="1">
      <alignment horizontal="left" vertical="center" wrapText="1"/>
    </xf>
    <xf numFmtId="0" fontId="63" fillId="45" borderId="11" xfId="0" applyFont="1" applyFill="1" applyBorder="1" applyAlignment="1">
      <alignment horizontal="left" vertical="center" wrapText="1"/>
    </xf>
    <xf numFmtId="0" fontId="63" fillId="45" borderId="18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horizontal="center" vertical="center"/>
    </xf>
    <xf numFmtId="0" fontId="69" fillId="41" borderId="17" xfId="0" applyFont="1" applyFill="1" applyBorder="1" applyAlignment="1">
      <alignment horizontal="left" vertical="center"/>
    </xf>
    <xf numFmtId="0" fontId="69" fillId="41" borderId="11" xfId="0" applyFont="1" applyFill="1" applyBorder="1" applyAlignment="1">
      <alignment horizontal="left" vertical="center"/>
    </xf>
    <xf numFmtId="0" fontId="69" fillId="41" borderId="18" xfId="0" applyFont="1" applyFill="1" applyBorder="1" applyAlignment="1">
      <alignment horizontal="left" vertical="center"/>
    </xf>
    <xf numFmtId="0" fontId="3" fillId="41" borderId="17" xfId="258" applyFill="1" applyBorder="1" applyAlignment="1">
      <alignment horizontal="left" vertical="center"/>
    </xf>
    <xf numFmtId="0" fontId="7" fillId="41" borderId="11" xfId="6" applyFill="1" applyBorder="1" applyAlignment="1">
      <alignment horizontal="left" vertical="center"/>
    </xf>
    <xf numFmtId="0" fontId="7" fillId="41" borderId="18" xfId="6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42" borderId="17" xfId="0" applyFont="1" applyFill="1" applyBorder="1" applyAlignment="1">
      <alignment horizontal="left" vertical="center"/>
    </xf>
    <xf numFmtId="0" fontId="2" fillId="42" borderId="11" xfId="0" applyFont="1" applyFill="1" applyBorder="1" applyAlignment="1">
      <alignment horizontal="left" vertical="center"/>
    </xf>
    <xf numFmtId="0" fontId="2" fillId="42" borderId="18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3" fillId="0" borderId="17" xfId="0" applyFont="1" applyBorder="1">
      <alignment vertical="center"/>
    </xf>
    <xf numFmtId="0" fontId="63" fillId="0" borderId="11" xfId="0" applyFont="1" applyBorder="1">
      <alignment vertical="center"/>
    </xf>
    <xf numFmtId="0" fontId="63" fillId="0" borderId="18" xfId="0" applyFont="1" applyBorder="1">
      <alignment vertical="center"/>
    </xf>
    <xf numFmtId="0" fontId="63" fillId="0" borderId="17" xfId="0" applyFont="1" applyBorder="1" applyAlignment="1">
      <alignment horizontal="left" vertical="top"/>
    </xf>
    <xf numFmtId="0" fontId="63" fillId="0" borderId="11" xfId="0" applyFont="1" applyBorder="1" applyAlignment="1">
      <alignment horizontal="left" vertical="top"/>
    </xf>
    <xf numFmtId="0" fontId="63" fillId="0" borderId="18" xfId="0" applyFont="1" applyBorder="1" applyAlignment="1">
      <alignment horizontal="left" vertical="top"/>
    </xf>
    <xf numFmtId="0" fontId="2" fillId="0" borderId="17" xfId="0" quotePrefix="1" applyFont="1" applyBorder="1" applyAlignment="1">
      <alignment horizontal="left" vertical="center"/>
    </xf>
    <xf numFmtId="0" fontId="63" fillId="36" borderId="17" xfId="0" applyFont="1" applyFill="1" applyBorder="1" applyAlignment="1">
      <alignment horizontal="center" vertical="center"/>
    </xf>
    <xf numFmtId="0" fontId="63" fillId="36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42" borderId="1" xfId="0" applyFont="1" applyFill="1" applyBorder="1" applyAlignment="1">
      <alignment horizontal="center" vertical="center"/>
    </xf>
    <xf numFmtId="0" fontId="63" fillId="36" borderId="17" xfId="0" applyFont="1" applyFill="1" applyBorder="1" applyAlignment="1">
      <alignment horizontal="left" vertical="center" wrapText="1"/>
    </xf>
    <xf numFmtId="0" fontId="63" fillId="36" borderId="11" xfId="0" applyFont="1" applyFill="1" applyBorder="1" applyAlignment="1">
      <alignment horizontal="left" vertical="center" wrapText="1"/>
    </xf>
    <xf numFmtId="0" fontId="63" fillId="36" borderId="18" xfId="0" applyFont="1" applyFill="1" applyBorder="1" applyAlignment="1">
      <alignment horizontal="left" vertical="center" wrapText="1"/>
    </xf>
    <xf numFmtId="0" fontId="63" fillId="36" borderId="17" xfId="0" applyFont="1" applyFill="1" applyBorder="1" applyAlignment="1">
      <alignment horizontal="left" vertical="center"/>
    </xf>
    <xf numFmtId="0" fontId="63" fillId="36" borderId="11" xfId="0" applyFont="1" applyFill="1" applyBorder="1" applyAlignment="1">
      <alignment horizontal="left" vertical="center"/>
    </xf>
    <xf numFmtId="0" fontId="63" fillId="36" borderId="18" xfId="0" applyFont="1" applyFill="1" applyBorder="1" applyAlignment="1">
      <alignment horizontal="left" vertical="center"/>
    </xf>
    <xf numFmtId="0" fontId="63" fillId="0" borderId="17" xfId="0" applyFont="1" applyBorder="1" applyAlignment="1">
      <alignment vertical="center" wrapText="1"/>
    </xf>
    <xf numFmtId="0" fontId="63" fillId="0" borderId="11" xfId="0" applyFont="1" applyBorder="1" applyAlignment="1">
      <alignment vertical="center" wrapText="1"/>
    </xf>
    <xf numFmtId="0" fontId="63" fillId="0" borderId="18" xfId="0" applyFont="1" applyBorder="1" applyAlignment="1">
      <alignment vertical="center" wrapText="1"/>
    </xf>
    <xf numFmtId="0" fontId="63" fillId="36" borderId="1" xfId="0" applyFont="1" applyFill="1" applyBorder="1" applyAlignment="1">
      <alignment vertical="center" wrapText="1"/>
    </xf>
    <xf numFmtId="0" fontId="63" fillId="36" borderId="1" xfId="0" applyFont="1" applyFill="1" applyBorder="1">
      <alignment vertical="center"/>
    </xf>
    <xf numFmtId="0" fontId="3" fillId="41" borderId="11" xfId="258" applyFill="1" applyBorder="1" applyAlignment="1">
      <alignment horizontal="left" vertical="center"/>
    </xf>
    <xf numFmtId="0" fontId="3" fillId="41" borderId="18" xfId="258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63" fillId="0" borderId="1" xfId="0" applyFont="1" applyBorder="1" applyAlignment="1">
      <alignment vertical="center" wrapText="1"/>
    </xf>
    <xf numFmtId="0" fontId="63" fillId="0" borderId="1" xfId="0" applyFont="1" applyBorder="1">
      <alignment vertical="center"/>
    </xf>
    <xf numFmtId="0" fontId="72" fillId="0" borderId="17" xfId="0" applyFont="1" applyBorder="1" applyAlignment="1">
      <alignment horizontal="left" vertical="center"/>
    </xf>
    <xf numFmtId="0" fontId="72" fillId="0" borderId="11" xfId="0" applyFont="1" applyBorder="1" applyAlignment="1">
      <alignment horizontal="left" vertical="center"/>
    </xf>
    <xf numFmtId="0" fontId="72" fillId="0" borderId="18" xfId="0" applyFont="1" applyBorder="1" applyAlignment="1">
      <alignment horizontal="left" vertical="center"/>
    </xf>
    <xf numFmtId="0" fontId="72" fillId="0" borderId="17" xfId="0" applyFont="1" applyBorder="1" applyAlignment="1">
      <alignment horizontal="center" vertical="center"/>
    </xf>
    <xf numFmtId="0" fontId="72" fillId="0" borderId="18" xfId="0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2" fillId="42" borderId="1" xfId="0" applyFont="1" applyFill="1" applyBorder="1" applyAlignment="1">
      <alignment horizontal="left" vertical="center"/>
    </xf>
    <xf numFmtId="0" fontId="3" fillId="41" borderId="1" xfId="258" applyFill="1" applyBorder="1" applyAlignment="1">
      <alignment horizontal="center" vertical="center"/>
    </xf>
    <xf numFmtId="0" fontId="70" fillId="41" borderId="1" xfId="6" applyFont="1" applyFill="1" applyBorder="1" applyAlignment="1">
      <alignment horizontal="center" vertical="center"/>
    </xf>
    <xf numFmtId="0" fontId="72" fillId="0" borderId="17" xfId="0" applyFont="1" applyBorder="1" applyAlignment="1">
      <alignment horizontal="left" vertical="top"/>
    </xf>
    <xf numFmtId="0" fontId="72" fillId="0" borderId="11" xfId="0" applyFont="1" applyBorder="1" applyAlignment="1">
      <alignment horizontal="left" vertical="top"/>
    </xf>
    <xf numFmtId="0" fontId="72" fillId="0" borderId="18" xfId="0" applyFont="1" applyBorder="1" applyAlignment="1">
      <alignment horizontal="left" vertical="top"/>
    </xf>
    <xf numFmtId="0" fontId="63" fillId="0" borderId="17" xfId="0" quotePrefix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7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42" borderId="1" xfId="0" applyFont="1" applyFill="1" applyBorder="1" applyAlignment="1">
      <alignment horizontal="left" vertical="center" wrapText="1"/>
    </xf>
    <xf numFmtId="0" fontId="82" fillId="5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51" borderId="1" xfId="0" applyFill="1" applyBorder="1" applyAlignment="1">
      <alignment horizontal="left" vertical="top"/>
    </xf>
    <xf numFmtId="0" fontId="0" fillId="51" borderId="17" xfId="0" applyFill="1" applyBorder="1" applyAlignment="1">
      <alignment horizontal="left" vertical="top"/>
    </xf>
    <xf numFmtId="0" fontId="0" fillId="51" borderId="18" xfId="0" applyFill="1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83" fillId="51" borderId="17" xfId="0" applyFont="1" applyFill="1" applyBorder="1">
      <alignment vertical="center"/>
    </xf>
    <xf numFmtId="0" fontId="83" fillId="51" borderId="11" xfId="0" applyFont="1" applyFill="1" applyBorder="1">
      <alignment vertical="center"/>
    </xf>
    <xf numFmtId="0" fontId="83" fillId="51" borderId="18" xfId="0" applyFont="1" applyFill="1" applyBorder="1">
      <alignment vertical="center"/>
    </xf>
    <xf numFmtId="0" fontId="0" fillId="0" borderId="1" xfId="0" applyBorder="1" applyAlignment="1">
      <alignment horizontal="center" vertical="top"/>
    </xf>
    <xf numFmtId="0" fontId="0" fillId="55" borderId="19" xfId="0" applyFill="1" applyBorder="1" applyAlignment="1">
      <alignment horizontal="center" vertical="center"/>
    </xf>
    <xf numFmtId="0" fontId="0" fillId="55" borderId="20" xfId="0" applyFill="1" applyBorder="1" applyAlignment="1">
      <alignment horizontal="center" vertical="center"/>
    </xf>
    <xf numFmtId="0" fontId="0" fillId="55" borderId="21" xfId="0" applyFill="1" applyBorder="1" applyAlignment="1">
      <alignment horizontal="center" vertical="center"/>
    </xf>
    <xf numFmtId="0" fontId="82" fillId="50" borderId="1" xfId="0" applyFont="1" applyFill="1" applyBorder="1">
      <alignment vertical="center"/>
    </xf>
    <xf numFmtId="0" fontId="95" fillId="0" borderId="19" xfId="0" applyFont="1" applyBorder="1" applyAlignment="1">
      <alignment horizontal="center" vertical="center"/>
    </xf>
    <xf numFmtId="0" fontId="95" fillId="0" borderId="20" xfId="0" applyFont="1" applyBorder="1" applyAlignment="1">
      <alignment horizontal="center" vertical="center"/>
    </xf>
    <xf numFmtId="0" fontId="95" fillId="0" borderId="21" xfId="0" applyFont="1" applyBorder="1" applyAlignment="1">
      <alignment horizontal="center" vertical="center"/>
    </xf>
    <xf numFmtId="0" fontId="91" fillId="0" borderId="32" xfId="0" applyFont="1" applyBorder="1" applyAlignment="1">
      <alignment horizontal="center" vertical="center"/>
    </xf>
    <xf numFmtId="0" fontId="91" fillId="0" borderId="33" xfId="0" applyFont="1" applyBorder="1" applyAlignment="1">
      <alignment horizontal="center" vertical="center"/>
    </xf>
  </cellXfs>
  <cellStyles count="262">
    <cellStyle name="??&amp;O?&amp;H?_x0008__x000f__x0007_?_x0007__x0001__x0001_" xfId="57"/>
    <cellStyle name="??&amp;O?&amp;H?_x0008_??_x0007__x0001__x0001_" xfId="58"/>
    <cellStyle name="_030409 기창 MSA1000" xfId="59"/>
    <cellStyle name="_050307-VA7110" xfId="60"/>
    <cellStyle name="_070104_T8_PH1_SFA_제작일정표" xfId="61"/>
    <cellStyle name="_0916 DL760 서버" xfId="62"/>
    <cellStyle name="_1012 ML570R MSA1000" xfId="63"/>
    <cellStyle name="_e-HRM 제안견적서(20050525)" xfId="64"/>
    <cellStyle name="_EMC-050520-CX300-2005521" xfId="65"/>
    <cellStyle name="_G4BOFsQedyFBJfuy2tc5fzrLL" xfId="66"/>
    <cellStyle name="_HIT-050425-Single" xfId="67"/>
    <cellStyle name="_HIT-050511-RX" xfId="68"/>
    <cellStyle name="_LTPSTFT_CF일정및사양(REV0811)" xfId="69"/>
    <cellStyle name="_MS SW 견적(SQL2005)20060313" xfId="70"/>
    <cellStyle name="_SFA_Set-Up_마스터_플랜_061121" xfId="71"/>
    <cellStyle name="_SK-RP-050321" xfId="72"/>
    <cellStyle name="_T7-2-P1-SFA-INDEX실행품의원가(CP)" xfId="73"/>
    <cellStyle name="_T8_INDEX_제어실행품의원가_20061101" xfId="74"/>
    <cellStyle name="_T8_PH1_SFA_제작일정표_061020" xfId="75"/>
    <cellStyle name="_T8index_SFA견적(061120)_영업" xfId="76"/>
    <cellStyle name="_VA7110-050307" xfId="77"/>
    <cellStyle name="_구매품 리스트" xfId="78"/>
    <cellStyle name="_생산DW2차 추가분(20050502)" xfId="79"/>
    <cellStyle name="_손익분석표(20050521)-1" xfId="80"/>
    <cellStyle name="_실행품의_Cell_LC050069" xfId="81"/>
    <cellStyle name="_실행품의_CP_lc050055" xfId="82"/>
    <cellStyle name="_진코퍼레이션(DL580G3 外 - 051031)" xfId="83"/>
    <cellStyle name="_추진품의LC060017_4L ITO SPUTTER 개조" xfId="84"/>
    <cellStyle name="_케이엠솔루션뱅크-p620" xfId="85"/>
    <cellStyle name="_하이트맥주-050314-DL760" xfId="86"/>
    <cellStyle name="¹eºÐA²_AIAIC°AuCoE² " xfId="87"/>
    <cellStyle name="20% - 강조색1" xfId="24" builtinId="30" customBuiltin="1"/>
    <cellStyle name="20% - 강조색2" xfId="27" builtinId="34" customBuiltin="1"/>
    <cellStyle name="20% - 강조색3" xfId="30" builtinId="38" customBuiltin="1"/>
    <cellStyle name="20% - 강조색4" xfId="33" builtinId="42" customBuiltin="1"/>
    <cellStyle name="20% - 강조색5" xfId="36" builtinId="46" customBuiltin="1"/>
    <cellStyle name="20% - 강조색6" xfId="39" builtinId="50" customBuiltin="1"/>
    <cellStyle name="40% - 강조색1" xfId="25" builtinId="31" customBuiltin="1"/>
    <cellStyle name="40% - 강조색2" xfId="28" builtinId="35" customBuiltin="1"/>
    <cellStyle name="40% - 강조색3" xfId="31" builtinId="39" customBuiltin="1"/>
    <cellStyle name="40% - 강조색4" xfId="34" builtinId="43" customBuiltin="1"/>
    <cellStyle name="40% - 강조색5" xfId="37" builtinId="47" customBuiltin="1"/>
    <cellStyle name="40% - 강조색6" xfId="40" builtinId="51" customBuiltin="1"/>
    <cellStyle name="60% - 강조색1 2" xfId="42"/>
    <cellStyle name="60% - 강조색2 2" xfId="43"/>
    <cellStyle name="60% - 강조색3 2" xfId="44"/>
    <cellStyle name="60% - 강조색4 2" xfId="45"/>
    <cellStyle name="60% - 강조색5 2" xfId="46"/>
    <cellStyle name="60% - 강조색6 2" xfId="47"/>
    <cellStyle name="AeE­ [0]_  A¾  CO  " xfId="88"/>
    <cellStyle name="AeE­_  A¾  CO  " xfId="89"/>
    <cellStyle name="AÞ¸¶ [0]_  A¾  CO  " xfId="90"/>
    <cellStyle name="AÞ¸¶_  A¾  CO  " xfId="91"/>
    <cellStyle name="C￥AØ_  A¾  CO  " xfId="92"/>
    <cellStyle name="Calc Currency (0)" xfId="93"/>
    <cellStyle name="Calc Currency (0) 2" xfId="94"/>
    <cellStyle name="category" xfId="95"/>
    <cellStyle name="Comma" xfId="96"/>
    <cellStyle name="Comma [0]_ SG&amp;A Bridge " xfId="97"/>
    <cellStyle name="comma zerodec" xfId="98"/>
    <cellStyle name="Comma_ SG&amp;A Bridge " xfId="99"/>
    <cellStyle name="Currency" xfId="100"/>
    <cellStyle name="Currency [0]_ SG&amp;A Bridge " xfId="101"/>
    <cellStyle name="Currency_ SG&amp;A Bridge " xfId="102"/>
    <cellStyle name="Currency1" xfId="103"/>
    <cellStyle name="Date" xfId="104"/>
    <cellStyle name="discount" xfId="105"/>
    <cellStyle name="Dollar (zero dec)" xfId="106"/>
    <cellStyle name="Fixed" xfId="107"/>
    <cellStyle name="Grey" xfId="108"/>
    <cellStyle name="HEADER" xfId="109"/>
    <cellStyle name="Header1" xfId="110"/>
    <cellStyle name="Header2" xfId="111"/>
    <cellStyle name="Heading1" xfId="112"/>
    <cellStyle name="Heading2" xfId="113"/>
    <cellStyle name="Input [yellow]" xfId="114"/>
    <cellStyle name="Millares [0]_PERSONAL" xfId="115"/>
    <cellStyle name="Millares_PERSONAL" xfId="116"/>
    <cellStyle name="Model" xfId="117"/>
    <cellStyle name="Moneda [0]_CONTENCION CONDELL 25.051" xfId="118"/>
    <cellStyle name="Moneda_CONTENCION CONDELL 25.051" xfId="119"/>
    <cellStyle name="Normal - Style1" xfId="120"/>
    <cellStyle name="Normal - Style1 2" xfId="121"/>
    <cellStyle name="Normal_ SG&amp;A Bridge " xfId="122"/>
    <cellStyle name="Œ…‹æØ‚è [0.00]_laroux" xfId="123"/>
    <cellStyle name="Œ…‹æØ‚è_laroux" xfId="124"/>
    <cellStyle name="Percent" xfId="125"/>
    <cellStyle name="Percent [2]" xfId="126"/>
    <cellStyle name="Percent_EBG Fcst &amp; BRM 2001_10_19" xfId="127"/>
    <cellStyle name="Prices" xfId="128"/>
    <cellStyle name="subhead" xfId="129"/>
    <cellStyle name="Total" xfId="130"/>
    <cellStyle name="" xfId="131"/>
    <cellStyle name="강조색1" xfId="23" builtinId="29" customBuiltin="1"/>
    <cellStyle name="강조색2" xfId="26" builtinId="33" customBuiltin="1"/>
    <cellStyle name="강조색3" xfId="29" builtinId="37" customBuiltin="1"/>
    <cellStyle name="강조색4" xfId="32" builtinId="41" customBuiltin="1"/>
    <cellStyle name="강조색5" xfId="35" builtinId="45" customBuiltin="1"/>
    <cellStyle name="강조색6" xfId="38" builtinId="49" customBuiltin="1"/>
    <cellStyle name="경고문" xfId="20" builtinId="11" customBuiltin="1"/>
    <cellStyle name="계산" xfId="17" builtinId="22" customBuiltin="1"/>
    <cellStyle name="咬訌裝?report-2 " xfId="132"/>
    <cellStyle name="나쁨" xfId="14" builtinId="27" customBuiltin="1"/>
    <cellStyle name="뒤에 오는 하이퍼링크" xfId="133"/>
    <cellStyle name="라인별　출고지시" xfId="51"/>
    <cellStyle name="메모 2" xfId="49"/>
    <cellStyle name="백분율 2" xfId="134"/>
    <cellStyle name="백분율 2 2" xfId="135"/>
    <cellStyle name="백분율 2 2 2" xfId="136"/>
    <cellStyle name="백분율 2 3" xfId="137"/>
    <cellStyle name="백분율 2 3 2" xfId="138"/>
    <cellStyle name="백분율 5" xfId="139"/>
    <cellStyle name="보통 2" xfId="41"/>
    <cellStyle name="뷭?_BOOKSHIP" xfId="140"/>
    <cellStyle name="설명 텍스트" xfId="21" builtinId="53" customBuiltin="1"/>
    <cellStyle name="셀 확인" xfId="19" builtinId="23" customBuiltin="1"/>
    <cellStyle name="쉼표 [0] 16" xfId="141"/>
    <cellStyle name="쉼표 [0] 16 2" xfId="142"/>
    <cellStyle name="쉼표 [0] 16 3" xfId="143"/>
    <cellStyle name="쉼표 [0] 18" xfId="144"/>
    <cellStyle name="쉼표 [0] 18 2" xfId="145"/>
    <cellStyle name="쉼표 [0] 18 3" xfId="146"/>
    <cellStyle name="쉼표 [0] 2" xfId="54"/>
    <cellStyle name="쉼표 [0] 2 2" xfId="147"/>
    <cellStyle name="쉼표 [0] 2 2 2" xfId="56"/>
    <cellStyle name="쉼표 [0] 2 2 2 2" xfId="148"/>
    <cellStyle name="쉼표 [0] 2 2 3" xfId="149"/>
    <cellStyle name="쉼표 [0] 2 3" xfId="150"/>
    <cellStyle name="쉼표 [0] 2 3 2" xfId="151"/>
    <cellStyle name="쉼표 [0] 2 3 3" xfId="152"/>
    <cellStyle name="쉼표 [0] 2 4" xfId="153"/>
    <cellStyle name="쉼표 [0] 2 4 2" xfId="154"/>
    <cellStyle name="쉼표 [0] 2 4 2 2" xfId="155"/>
    <cellStyle name="쉼표 [0] 2 4 3" xfId="156"/>
    <cellStyle name="쉼표 [0] 2 5" xfId="157"/>
    <cellStyle name="쉼표 [0] 2 5 2" xfId="158"/>
    <cellStyle name="쉼표 [0] 2 5 2 2" xfId="159"/>
    <cellStyle name="쉼표 [0] 2 5 3" xfId="160"/>
    <cellStyle name="쉼표 [0] 2 6" xfId="161"/>
    <cellStyle name="쉼표 [0] 2 7" xfId="162"/>
    <cellStyle name="쉼표 [0] 3" xfId="163"/>
    <cellStyle name="쉼표 [0] 3 2" xfId="164"/>
    <cellStyle name="쉼표 [0] 3 2 2" xfId="165"/>
    <cellStyle name="쉼표 [0] 3 2 2 2" xfId="166"/>
    <cellStyle name="쉼표 [0] 3 2 3" xfId="167"/>
    <cellStyle name="쉼표 [0] 4" xfId="168"/>
    <cellStyle name="쉼표 [0] 4 2" xfId="169"/>
    <cellStyle name="쉼표 [0] 4 2 2" xfId="170"/>
    <cellStyle name="쉼표 [0] 4 2 2 2" xfId="171"/>
    <cellStyle name="쉼표 [0] 4 2 3" xfId="172"/>
    <cellStyle name="쉼표 [0] 4 3" xfId="173"/>
    <cellStyle name="쉼표 [0] 4 3 2" xfId="174"/>
    <cellStyle name="쉼표 [0] 4 3 2 2" xfId="175"/>
    <cellStyle name="쉼표 [0] 4 3 3" xfId="176"/>
    <cellStyle name="쉼표 [0] 4 4" xfId="177"/>
    <cellStyle name="쉼표 [0] 4 4 2" xfId="178"/>
    <cellStyle name="쉼표 [0] 4 5" xfId="179"/>
    <cellStyle name="쉼표 [0] 5" xfId="180"/>
    <cellStyle name="쉼표 [0] 5 2" xfId="181"/>
    <cellStyle name="쉼표 [0] 5 3" xfId="182"/>
    <cellStyle name="쉼표 [0] 6" xfId="183"/>
    <cellStyle name="쉼표 [0] 6 2" xfId="184"/>
    <cellStyle name="쉼표 [0] 6 2 2" xfId="185"/>
    <cellStyle name="쉼표 [0] 6 3" xfId="186"/>
    <cellStyle name="쉼표 [0] 6 4" xfId="187"/>
    <cellStyle name="쉼표 [0] 7" xfId="188"/>
    <cellStyle name="쉼표 [0] 7 2" xfId="189"/>
    <cellStyle name="쉼표 [0] 7 2 2" xfId="190"/>
    <cellStyle name="쉼표 [0] 7 2 3" xfId="191"/>
    <cellStyle name="쉼표 [0] 7 3" xfId="192"/>
    <cellStyle name="쉼표 [0] 7 3 2" xfId="193"/>
    <cellStyle name="쉼표 [0] 7 3 3" xfId="194"/>
    <cellStyle name="쉼표 [0] 7 4" xfId="195"/>
    <cellStyle name="쉼표 [0] 7 5" xfId="196"/>
    <cellStyle name="쉼표 [0] 8" xfId="197"/>
    <cellStyle name="쉼표 [0] 8 2" xfId="198"/>
    <cellStyle name="쉼표 [0] 8 2 2" xfId="199"/>
    <cellStyle name="쉼표 [0] 8 3" xfId="200"/>
    <cellStyle name="쉼표 [0] 9" xfId="201"/>
    <cellStyle name="스타일 1" xfId="202"/>
    <cellStyle name="스타일 1 2" xfId="203"/>
    <cellStyle name="안건회계법인" xfId="204"/>
    <cellStyle name="연결된 셀" xfId="18" builtinId="24" customBuiltin="1"/>
    <cellStyle name="요약" xfId="22" builtinId="25" customBuiltin="1"/>
    <cellStyle name="입력" xfId="15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6" builtinId="21" customBuiltin="1"/>
    <cellStyle name="콤마 [0]_  종  합  " xfId="205"/>
    <cellStyle name="콤마_  종  합  " xfId="206"/>
    <cellStyle name="통화 [0] 2" xfId="55"/>
    <cellStyle name="통화 [0] 2 2" xfId="207"/>
    <cellStyle name="통화 [0] 2 2 2" xfId="208"/>
    <cellStyle name="통화 [0] 2 3" xfId="209"/>
    <cellStyle name="통화 [0] 3" xfId="210"/>
    <cellStyle name="통화 [0] 3 2" xfId="211"/>
    <cellStyle name="통화 [0] 3 2 2" xfId="212"/>
    <cellStyle name="통화 [0] 3 3" xfId="213"/>
    <cellStyle name="통화 [0] 4" xfId="214"/>
    <cellStyle name="통화 [0] 5" xfId="215"/>
    <cellStyle name="표준" xfId="0" builtinId="0"/>
    <cellStyle name="표준 10" xfId="216"/>
    <cellStyle name="표준 10 2" xfId="217"/>
    <cellStyle name="표준 11" xfId="218"/>
    <cellStyle name="표준 11 2" xfId="219"/>
    <cellStyle name="표준 11 3" xfId="220"/>
    <cellStyle name="표준 12" xfId="221"/>
    <cellStyle name="표준 12 2" xfId="222"/>
    <cellStyle name="표준 13" xfId="223"/>
    <cellStyle name="표준 14" xfId="224"/>
    <cellStyle name="표준 15" xfId="225"/>
    <cellStyle name="표준 16" xfId="226"/>
    <cellStyle name="표준 17" xfId="247"/>
    <cellStyle name="표준 18" xfId="249"/>
    <cellStyle name="표준 19" xfId="4"/>
    <cellStyle name="표준 2" xfId="3"/>
    <cellStyle name="표준 2 2" xfId="2"/>
    <cellStyle name="표준 2 2 2" xfId="5"/>
    <cellStyle name="표준 2 2 2 2" xfId="227"/>
    <cellStyle name="표준 2 2 3" xfId="246"/>
    <cellStyle name="표준 2 2 3 2" xfId="259"/>
    <cellStyle name="표준 2 3" xfId="228"/>
    <cellStyle name="표준 2 3 2" xfId="254"/>
    <cellStyle name="표준 2 4" xfId="229"/>
    <cellStyle name="표준 2 4 2" xfId="230"/>
    <cellStyle name="표준 2 5" xfId="251"/>
    <cellStyle name="표준 2 6" xfId="50"/>
    <cellStyle name="표준 20" xfId="250"/>
    <cellStyle name="표준 21" xfId="253"/>
    <cellStyle name="표준 22" xfId="255"/>
    <cellStyle name="표준 3" xfId="7"/>
    <cellStyle name="표준 3 13" xfId="231"/>
    <cellStyle name="표준 3 2" xfId="232"/>
    <cellStyle name="표준 3 2 2" xfId="233"/>
    <cellStyle name="표준 3 2 3" xfId="248"/>
    <cellStyle name="표준 3 2 4" xfId="261"/>
    <cellStyle name="표준 3 3" xfId="52"/>
    <cellStyle name="표준 3 4" xfId="48"/>
    <cellStyle name="표준 4" xfId="53"/>
    <cellStyle name="표준 4 2" xfId="234"/>
    <cellStyle name="표준 4 2 2" xfId="235"/>
    <cellStyle name="표준 4 3" xfId="260"/>
    <cellStyle name="표준 5" xfId="236"/>
    <cellStyle name="표준 50" xfId="237"/>
    <cellStyle name="표준 6" xfId="238"/>
    <cellStyle name="표준 6 2" xfId="239"/>
    <cellStyle name="표준 6 3" xfId="240"/>
    <cellStyle name="표준 7" xfId="241"/>
    <cellStyle name="표준 7 3" xfId="256"/>
    <cellStyle name="표준 8" xfId="242"/>
    <cellStyle name="표준 9" xfId="243"/>
    <cellStyle name="표준 9 2" xfId="244"/>
    <cellStyle name="標準_SFA-YE-T7-ROBOT(YEC_Reply_060304)" xfId="245"/>
    <cellStyle name="하이퍼링크" xfId="1" builtinId="8" hidden="1"/>
    <cellStyle name="하이퍼링크" xfId="257" builtinId="8"/>
    <cellStyle name="하이퍼링크 2" xfId="6"/>
    <cellStyle name="하이퍼링크 2 2" xfId="252"/>
    <cellStyle name="하이퍼링크 3" xfId="258"/>
  </cellStyles>
  <dxfs count="0"/>
  <tableStyles count="0" defaultTableStyle="TableStyleMedium2" defaultPivotStyle="PivotStyleLight16"/>
  <colors>
    <mruColors>
      <color rgb="FFDDEBF7"/>
      <color rgb="FFFCE7D8"/>
      <color rgb="FFFFE699"/>
      <color rgb="FFFFF2CC"/>
      <color rgb="FFFCE4D6"/>
      <color rgb="FFE5DBEC"/>
      <color rgb="FFF7FED6"/>
      <color rgb="FFE5DBE5"/>
      <color rgb="FFE3E0D9"/>
      <color rgb="FFD6C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ERP_&#51064;&#53552;&#54168;&#51060;&#49828;&#47785;&#4719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4" name="그림 3" descr="화면 캡처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10" name="그림 9" descr="화면 캡처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197633" name="Check Box 1" hidden="1">
              <a:extLst>
                <a:ext uri="{63B3BB69-23CF-44E3-9099-C40C66FF867C}">
                  <a14:compatExt spid="_x0000_s197633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197634" name="Check Box 2" hidden="1">
              <a:extLst>
                <a:ext uri="{63B3BB69-23CF-44E3-9099-C40C66FF867C}">
                  <a14:compatExt spid="_x0000_s197634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197635" name="Check Box 3" hidden="1">
              <a:extLst>
                <a:ext uri="{63B3BB69-23CF-44E3-9099-C40C66FF867C}">
                  <a14:compatExt spid="_x0000_s197635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197636" name="Check Box 4" hidden="1">
              <a:extLst>
                <a:ext uri="{63B3BB69-23CF-44E3-9099-C40C66FF867C}">
                  <a14:compatExt spid="_x0000_s197636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197637" name="Check Box 5" hidden="1">
              <a:extLst>
                <a:ext uri="{63B3BB69-23CF-44E3-9099-C40C66FF867C}">
                  <a14:compatExt spid="_x0000_s197637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197638" name="Check Box 6" hidden="1">
              <a:extLst>
                <a:ext uri="{63B3BB69-23CF-44E3-9099-C40C66FF867C}">
                  <a14:compatExt spid="_x0000_s197638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198657" name="Check Box 1" hidden="1">
              <a:extLst>
                <a:ext uri="{63B3BB69-23CF-44E3-9099-C40C66FF867C}">
                  <a14:compatExt spid="_x0000_s198657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198658" name="Check Box 2" hidden="1">
              <a:extLst>
                <a:ext uri="{63B3BB69-23CF-44E3-9099-C40C66FF867C}">
                  <a14:compatExt spid="_x0000_s198658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198659" name="Check Box 3" hidden="1">
              <a:extLst>
                <a:ext uri="{63B3BB69-23CF-44E3-9099-C40C66FF867C}">
                  <a14:compatExt spid="_x0000_s198659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198660" name="Check Box 4" hidden="1">
              <a:extLst>
                <a:ext uri="{63B3BB69-23CF-44E3-9099-C40C66FF867C}">
                  <a14:compatExt spid="_x0000_s198660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198661" name="Check Box 5" hidden="1">
              <a:extLst>
                <a:ext uri="{63B3BB69-23CF-44E3-9099-C40C66FF867C}">
                  <a14:compatExt spid="_x0000_s198661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198662" name="Check Box 6" hidden="1">
              <a:extLst>
                <a:ext uri="{63B3BB69-23CF-44E3-9099-C40C66FF867C}">
                  <a14:compatExt spid="_x0000_s198662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199681" name="Check Box 1" hidden="1">
              <a:extLst>
                <a:ext uri="{63B3BB69-23CF-44E3-9099-C40C66FF867C}">
                  <a14:compatExt spid="_x0000_s199681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199682" name="Check Box 2" hidden="1">
              <a:extLst>
                <a:ext uri="{63B3BB69-23CF-44E3-9099-C40C66FF867C}">
                  <a14:compatExt spid="_x0000_s199682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199683" name="Check Box 3" hidden="1">
              <a:extLst>
                <a:ext uri="{63B3BB69-23CF-44E3-9099-C40C66FF867C}">
                  <a14:compatExt spid="_x0000_s199683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199684" name="Check Box 4" hidden="1">
              <a:extLst>
                <a:ext uri="{63B3BB69-23CF-44E3-9099-C40C66FF867C}">
                  <a14:compatExt spid="_x0000_s199684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199685" name="Check Box 5" hidden="1">
              <a:extLst>
                <a:ext uri="{63B3BB69-23CF-44E3-9099-C40C66FF867C}">
                  <a14:compatExt spid="_x0000_s199685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199686" name="Check Box 6" hidden="1">
              <a:extLst>
                <a:ext uri="{63B3BB69-23CF-44E3-9099-C40C66FF867C}">
                  <a14:compatExt spid="_x0000_s199686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1665" name="Check Box 1" hidden="1">
              <a:extLst>
                <a:ext uri="{63B3BB69-23CF-44E3-9099-C40C66FF867C}">
                  <a14:compatExt spid="_x0000_s241665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1666" name="Check Box 2" hidden="1">
              <a:extLst>
                <a:ext uri="{63B3BB69-23CF-44E3-9099-C40C66FF867C}">
                  <a14:compatExt spid="_x0000_s241666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1667" name="Check Box 3" hidden="1">
              <a:extLst>
                <a:ext uri="{63B3BB69-23CF-44E3-9099-C40C66FF867C}">
                  <a14:compatExt spid="_x0000_s241667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1668" name="Check Box 4" hidden="1">
              <a:extLst>
                <a:ext uri="{63B3BB69-23CF-44E3-9099-C40C66FF867C}">
                  <a14:compatExt spid="_x0000_s241668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1669" name="Check Box 5" hidden="1">
              <a:extLst>
                <a:ext uri="{63B3BB69-23CF-44E3-9099-C40C66FF867C}">
                  <a14:compatExt spid="_x0000_s241669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1670" name="Check Box 6" hidden="1">
              <a:extLst>
                <a:ext uri="{63B3BB69-23CF-44E3-9099-C40C66FF867C}">
                  <a14:compatExt spid="_x0000_s241670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2689" name="Check Box 1" hidden="1">
              <a:extLst>
                <a:ext uri="{63B3BB69-23CF-44E3-9099-C40C66FF867C}">
                  <a14:compatExt spid="_x0000_s242689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2690" name="Check Box 2" hidden="1">
              <a:extLst>
                <a:ext uri="{63B3BB69-23CF-44E3-9099-C40C66FF867C}">
                  <a14:compatExt spid="_x0000_s242690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2691" name="Check Box 3" hidden="1">
              <a:extLst>
                <a:ext uri="{63B3BB69-23CF-44E3-9099-C40C66FF867C}">
                  <a14:compatExt spid="_x0000_s242691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2692" name="Check Box 4" hidden="1">
              <a:extLst>
                <a:ext uri="{63B3BB69-23CF-44E3-9099-C40C66FF867C}">
                  <a14:compatExt spid="_x0000_s242692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2693" name="Check Box 5" hidden="1">
              <a:extLst>
                <a:ext uri="{63B3BB69-23CF-44E3-9099-C40C66FF867C}">
                  <a14:compatExt spid="_x0000_s242693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2694" name="Check Box 6" hidden="1">
              <a:extLst>
                <a:ext uri="{63B3BB69-23CF-44E3-9099-C40C66FF867C}">
                  <a14:compatExt spid="_x0000_s242694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3713" name="Check Box 1" hidden="1">
              <a:extLst>
                <a:ext uri="{63B3BB69-23CF-44E3-9099-C40C66FF867C}">
                  <a14:compatExt spid="_x0000_s243713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3714" name="Check Box 2" hidden="1">
              <a:extLst>
                <a:ext uri="{63B3BB69-23CF-44E3-9099-C40C66FF867C}">
                  <a14:compatExt spid="_x0000_s243714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3715" name="Check Box 3" hidden="1">
              <a:extLst>
                <a:ext uri="{63B3BB69-23CF-44E3-9099-C40C66FF867C}">
                  <a14:compatExt spid="_x0000_s243715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3716" name="Check Box 4" hidden="1">
              <a:extLst>
                <a:ext uri="{63B3BB69-23CF-44E3-9099-C40C66FF867C}">
                  <a14:compatExt spid="_x0000_s243716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3717" name="Check Box 5" hidden="1">
              <a:extLst>
                <a:ext uri="{63B3BB69-23CF-44E3-9099-C40C66FF867C}">
                  <a14:compatExt spid="_x0000_s243717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3718" name="Check Box 6" hidden="1">
              <a:extLst>
                <a:ext uri="{63B3BB69-23CF-44E3-9099-C40C66FF867C}">
                  <a14:compatExt spid="_x0000_s243718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4737" name="Check Box 1" hidden="1">
              <a:extLst>
                <a:ext uri="{63B3BB69-23CF-44E3-9099-C40C66FF867C}">
                  <a14:compatExt spid="_x0000_s244737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4738" name="Check Box 2" hidden="1">
              <a:extLst>
                <a:ext uri="{63B3BB69-23CF-44E3-9099-C40C66FF867C}">
                  <a14:compatExt spid="_x0000_s244738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4739" name="Check Box 3" hidden="1">
              <a:extLst>
                <a:ext uri="{63B3BB69-23CF-44E3-9099-C40C66FF867C}">
                  <a14:compatExt spid="_x0000_s244739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4740" name="Check Box 4" hidden="1">
              <a:extLst>
                <a:ext uri="{63B3BB69-23CF-44E3-9099-C40C66FF867C}">
                  <a14:compatExt spid="_x0000_s244740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4741" name="Check Box 5" hidden="1">
              <a:extLst>
                <a:ext uri="{63B3BB69-23CF-44E3-9099-C40C66FF867C}">
                  <a14:compatExt spid="_x0000_s244741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4742" name="Check Box 6" hidden="1">
              <a:extLst>
                <a:ext uri="{63B3BB69-23CF-44E3-9099-C40C66FF867C}">
                  <a14:compatExt spid="_x0000_s244742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5761" name="Check Box 1" hidden="1">
              <a:extLst>
                <a:ext uri="{63B3BB69-23CF-44E3-9099-C40C66FF867C}">
                  <a14:compatExt spid="_x0000_s245761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5762" name="Check Box 2" hidden="1">
              <a:extLst>
                <a:ext uri="{63B3BB69-23CF-44E3-9099-C40C66FF867C}">
                  <a14:compatExt spid="_x0000_s245762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5763" name="Check Box 3" hidden="1">
              <a:extLst>
                <a:ext uri="{63B3BB69-23CF-44E3-9099-C40C66FF867C}">
                  <a14:compatExt spid="_x0000_s245763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5764" name="Check Box 4" hidden="1">
              <a:extLst>
                <a:ext uri="{63B3BB69-23CF-44E3-9099-C40C66FF867C}">
                  <a14:compatExt spid="_x0000_s245764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5765" name="Check Box 5" hidden="1">
              <a:extLst>
                <a:ext uri="{63B3BB69-23CF-44E3-9099-C40C66FF867C}">
                  <a14:compatExt spid="_x0000_s245765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5766" name="Check Box 6" hidden="1">
              <a:extLst>
                <a:ext uri="{63B3BB69-23CF-44E3-9099-C40C66FF867C}">
                  <a14:compatExt spid="_x0000_s245766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6785" name="Check Box 1" hidden="1">
              <a:extLst>
                <a:ext uri="{63B3BB69-23CF-44E3-9099-C40C66FF867C}">
                  <a14:compatExt spid="_x0000_s246785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6786" name="Check Box 2" hidden="1">
              <a:extLst>
                <a:ext uri="{63B3BB69-23CF-44E3-9099-C40C66FF867C}">
                  <a14:compatExt spid="_x0000_s246786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6787" name="Check Box 3" hidden="1">
              <a:extLst>
                <a:ext uri="{63B3BB69-23CF-44E3-9099-C40C66FF867C}">
                  <a14:compatExt spid="_x0000_s246787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6788" name="Check Box 4" hidden="1">
              <a:extLst>
                <a:ext uri="{63B3BB69-23CF-44E3-9099-C40C66FF867C}">
                  <a14:compatExt spid="_x0000_s246788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6789" name="Check Box 5" hidden="1">
              <a:extLst>
                <a:ext uri="{63B3BB69-23CF-44E3-9099-C40C66FF867C}">
                  <a14:compatExt spid="_x0000_s246789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6790" name="Check Box 6" hidden="1">
              <a:extLst>
                <a:ext uri="{63B3BB69-23CF-44E3-9099-C40C66FF867C}">
                  <a14:compatExt spid="_x0000_s246790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15240</xdr:rowOff>
    </xdr:from>
    <xdr:to>
      <xdr:col>12</xdr:col>
      <xdr:colOff>0</xdr:colOff>
      <xdr:row>91</xdr:row>
      <xdr:rowOff>160020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0469309-EFEF-4965-810C-A836FDABF23F}"/>
            </a:ext>
          </a:extLst>
        </xdr:cNvPr>
        <xdr:cNvSpPr/>
      </xdr:nvSpPr>
      <xdr:spPr>
        <a:xfrm>
          <a:off x="104775" y="13816965"/>
          <a:ext cx="18288000" cy="68503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22860</xdr:colOff>
      <xdr:row>59</xdr:row>
      <xdr:rowOff>45720</xdr:rowOff>
    </xdr:from>
    <xdr:to>
      <xdr:col>8</xdr:col>
      <xdr:colOff>1188720</xdr:colOff>
      <xdr:row>90</xdr:row>
      <xdr:rowOff>121920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F0A766D-2CD7-4A88-93BF-90B9F893575B}"/>
            </a:ext>
          </a:extLst>
        </xdr:cNvPr>
        <xdr:cNvSpPr/>
      </xdr:nvSpPr>
      <xdr:spPr>
        <a:xfrm>
          <a:off x="127635" y="13847445"/>
          <a:ext cx="9881235" cy="65722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Request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"clientCode": "KYOCHON-WMS",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"orderNo": "OMS2025070020010",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"shippingReqNo": "sample_001",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"shippingDate":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"centerCode":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"partnerCode": "A002351",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"partnerName": "</a:t>
          </a:r>
          <a:r>
            <a:rPr lang="ko-KR" altLang="en-US" sz="1100">
              <a:solidFill>
                <a:sysClr val="windowText" lastClr="000000"/>
              </a:solidFill>
            </a:rPr>
            <a:t>경기남부 향남</a:t>
          </a:r>
          <a:r>
            <a:rPr lang="en-US" altLang="ko-KR" sz="1100">
              <a:solidFill>
                <a:sysClr val="windowText" lastClr="000000"/>
              </a:solidFill>
            </a:rPr>
            <a:t>2</a:t>
          </a:r>
          <a:r>
            <a:rPr lang="ko-KR" altLang="en-US" sz="1100">
              <a:solidFill>
                <a:sysClr val="windowText" lastClr="000000"/>
              </a:solidFill>
            </a:rPr>
            <a:t>지구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"address": "</a:t>
          </a:r>
          <a:r>
            <a:rPr lang="ko-KR" altLang="en-US" sz="1100">
              <a:solidFill>
                <a:sysClr val="windowText" lastClr="000000"/>
              </a:solidFill>
            </a:rPr>
            <a:t>경기도 화성시 향남읍 상신하길로</a:t>
          </a:r>
          <a:r>
            <a:rPr lang="en-US" altLang="ko-KR" sz="1100">
              <a:solidFill>
                <a:sysClr val="windowText" lastClr="000000"/>
              </a:solidFill>
            </a:rPr>
            <a:t>328</a:t>
          </a:r>
          <a:r>
            <a:rPr lang="ko-KR" altLang="en-US" sz="1100">
              <a:solidFill>
                <a:sysClr val="windowText" lastClr="000000"/>
              </a:solidFill>
            </a:rPr>
            <a:t>번길 </a:t>
          </a:r>
          <a:r>
            <a:rPr lang="en-US" altLang="ko-KR" sz="1100">
              <a:solidFill>
                <a:sysClr val="windowText" lastClr="000000"/>
              </a:solidFill>
            </a:rPr>
            <a:t>8-13, 112</a:t>
          </a:r>
          <a:r>
            <a:rPr lang="ko-KR" altLang="en-US" sz="1100">
              <a:solidFill>
                <a:sysClr val="windowText" lastClr="000000"/>
              </a:solidFill>
            </a:rPr>
            <a:t>호</a:t>
          </a:r>
          <a:r>
            <a:rPr lang="en-US" altLang="ko-KR" sz="1100">
              <a:solidFill>
                <a:sysClr val="windowText" lastClr="000000"/>
              </a:solidFill>
            </a:rPr>
            <a:t>, 113</a:t>
          </a:r>
          <a:r>
            <a:rPr lang="ko-KR" altLang="en-US" sz="1100">
              <a:solidFill>
                <a:sysClr val="windowText" lastClr="000000"/>
              </a:solidFill>
            </a:rPr>
            <a:t>호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"regionName": "</a:t>
          </a:r>
          <a:r>
            <a:rPr lang="ko-KR" altLang="en-US" sz="1100">
              <a:solidFill>
                <a:sysClr val="windowText" lastClr="000000"/>
              </a:solidFill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"itemCode": "A0109",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"itemName": "</a:t>
          </a:r>
          <a:r>
            <a:rPr lang="ko-KR" altLang="en-US" sz="1100">
              <a:solidFill>
                <a:sysClr val="windowText" lastClr="000000"/>
              </a:solidFill>
            </a:rPr>
            <a:t>허니순살</a:t>
          </a:r>
          <a:r>
            <a:rPr lang="en-US" altLang="ko-KR" sz="1100">
              <a:solidFill>
                <a:sysClr val="windowText" lastClr="000000"/>
              </a:solidFill>
            </a:rPr>
            <a:t>(500g)",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"itemGroupName": "</a:t>
          </a:r>
          <a:r>
            <a:rPr lang="ko-KR" altLang="en-US" sz="1100">
              <a:solidFill>
                <a:sysClr val="windowText" lastClr="000000"/>
              </a:solidFill>
            </a:rPr>
            <a:t>원자재</a:t>
          </a:r>
          <a:r>
            <a:rPr lang="en-US" altLang="ko-KR" sz="1100">
              <a:solidFill>
                <a:sysClr val="windowText" lastClr="000000"/>
              </a:solidFill>
            </a:rPr>
            <a:t>(</a:t>
          </a:r>
          <a:r>
            <a:rPr lang="ko-KR" altLang="en-US" sz="1100">
              <a:solidFill>
                <a:sysClr val="windowText" lastClr="000000"/>
              </a:solidFill>
            </a:rPr>
            <a:t>계육</a:t>
          </a:r>
          <a:r>
            <a:rPr lang="en-US" altLang="ko-KR" sz="1100">
              <a:solidFill>
                <a:sysClr val="windowText" lastClr="000000"/>
              </a:solidFill>
            </a:rPr>
            <a:t>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"itemStorageType": "C",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"itemPackingSpec": "PACK(500g)",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"unitOfMeasure": "PACK",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"qtyPerBox": 20,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"itemWeight": 2790,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"itemWeightPerUnit": 558,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"itemSizex": 565,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"itemSizey": 415,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"itemSizez": 180,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"specifiedItem":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"returnOrder":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"rtItemCnt": 0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7620</xdr:colOff>
      <xdr:row>59</xdr:row>
      <xdr:rowOff>38100</xdr:rowOff>
    </xdr:from>
    <xdr:to>
      <xdr:col>11</xdr:col>
      <xdr:colOff>937260</xdr:colOff>
      <xdr:row>71</xdr:row>
      <xdr:rowOff>30480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40D4C76-DBB6-48BA-82CA-504989936884}"/>
            </a:ext>
          </a:extLst>
        </xdr:cNvPr>
        <xdr:cNvSpPr/>
      </xdr:nvSpPr>
      <xdr:spPr>
        <a:xfrm>
          <a:off x="10170795" y="14049375"/>
          <a:ext cx="5787390" cy="250698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- </a:t>
          </a:r>
          <a:r>
            <a:rPr lang="ko-KR" altLang="en-US" sz="1200" b="1">
              <a:solidFill>
                <a:sysClr val="windowText" lastClr="000000"/>
              </a:solidFill>
            </a:rPr>
            <a:t>성공</a:t>
          </a:r>
          <a:endParaRPr lang="en-US" altLang="ko-KR" sz="1200" b="1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"200",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"SUCCESS",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"success": true,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"errMsg":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"sample_001",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"1000000041521"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twoCellAnchor>
    <xdr:from>
      <xdr:col>9</xdr:col>
      <xdr:colOff>0</xdr:colOff>
      <xdr:row>71</xdr:row>
      <xdr:rowOff>137160</xdr:rowOff>
    </xdr:from>
    <xdr:to>
      <xdr:col>11</xdr:col>
      <xdr:colOff>929640</xdr:colOff>
      <xdr:row>78</xdr:row>
      <xdr:rowOff>45720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479AA29-A0C3-4CF7-AEC7-A9F9D8913170}"/>
            </a:ext>
          </a:extLst>
        </xdr:cNvPr>
        <xdr:cNvSpPr/>
      </xdr:nvSpPr>
      <xdr:spPr>
        <a:xfrm>
          <a:off x="10553700" y="16453485"/>
          <a:ext cx="5787390" cy="13754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2  - </a:t>
          </a:r>
          <a:r>
            <a:rPr lang="ko-KR" altLang="en-US" sz="1200" b="1">
              <a:solidFill>
                <a:sysClr val="windowText" lastClr="000000"/>
              </a:solidFill>
            </a:rPr>
            <a:t>실패 </a:t>
          </a:r>
          <a:r>
            <a:rPr lang="en-US" altLang="ko-KR" sz="1200" b="1">
              <a:solidFill>
                <a:sysClr val="windowText" lastClr="000000"/>
              </a:solidFill>
            </a:rPr>
            <a:t>(clientCode</a:t>
          </a:r>
          <a:r>
            <a:rPr lang="ko-KR" altLang="en-US" sz="1200" b="1">
              <a:solidFill>
                <a:sysClr val="windowText" lastClr="000000"/>
              </a:solidFill>
            </a:rPr>
            <a:t>가 올바르지 않을 경우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"400",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"'clientCode' is invalid",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null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twoCellAnchor>
    <xdr:from>
      <xdr:col>9</xdr:col>
      <xdr:colOff>0</xdr:colOff>
      <xdr:row>78</xdr:row>
      <xdr:rowOff>114300</xdr:rowOff>
    </xdr:from>
    <xdr:to>
      <xdr:col>11</xdr:col>
      <xdr:colOff>929640</xdr:colOff>
      <xdr:row>90</xdr:row>
      <xdr:rowOff>121920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8BC8A6D8-9F94-4AC4-A75C-11DA954BC97B}"/>
            </a:ext>
          </a:extLst>
        </xdr:cNvPr>
        <xdr:cNvSpPr/>
      </xdr:nvSpPr>
      <xdr:spPr>
        <a:xfrm>
          <a:off x="10553700" y="17897475"/>
          <a:ext cx="5787390" cy="252222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3  - </a:t>
          </a:r>
          <a:r>
            <a:rPr lang="ko-KR" altLang="en-US" sz="1200" b="1">
              <a:solidFill>
                <a:sysClr val="windowText" lastClr="000000"/>
              </a:solidFill>
            </a:rPr>
            <a:t>실패 </a:t>
          </a:r>
          <a:r>
            <a:rPr lang="en-US" altLang="ko-KR" sz="1200" b="1">
              <a:solidFill>
                <a:sysClr val="windowText" lastClr="000000"/>
              </a:solidFill>
            </a:rPr>
            <a:t>(</a:t>
          </a:r>
          <a:r>
            <a:rPr lang="ko-KR" altLang="en-US" sz="1200" b="1">
              <a:solidFill>
                <a:sysClr val="windowText" lastClr="000000"/>
              </a:solidFill>
            </a:rPr>
            <a:t>출고요청 데이터가 올바르지 않을 경우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"400",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"'data' is invalid",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"success":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"errMsg": "'shippingDate' must be in format yyyy-MM-dd",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"sample_001",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null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7620</xdr:rowOff>
    </xdr:from>
    <xdr:to>
      <xdr:col>12</xdr:col>
      <xdr:colOff>0</xdr:colOff>
      <xdr:row>90</xdr:row>
      <xdr:rowOff>175260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CE114F8-721F-4EB1-A225-2B75A4281C56}"/>
            </a:ext>
          </a:extLst>
        </xdr:cNvPr>
        <xdr:cNvSpPr/>
      </xdr:nvSpPr>
      <xdr:spPr>
        <a:xfrm>
          <a:off x="104775" y="12771120"/>
          <a:ext cx="17716500" cy="666369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45720</xdr:colOff>
      <xdr:row>59</xdr:row>
      <xdr:rowOff>45720</xdr:rowOff>
    </xdr:from>
    <xdr:to>
      <xdr:col>8</xdr:col>
      <xdr:colOff>1478280</xdr:colOff>
      <xdr:row>88</xdr:row>
      <xdr:rowOff>7620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F104DE7-9223-4136-8E5F-A41AFB42C4E9}"/>
            </a:ext>
          </a:extLst>
        </xdr:cNvPr>
        <xdr:cNvSpPr/>
      </xdr:nvSpPr>
      <xdr:spPr>
        <a:xfrm>
          <a:off x="150495" y="12809220"/>
          <a:ext cx="9576435" cy="60388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Request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"clientCode": "KYOCHON-WMS",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"orderNo": "OMS2025070020010",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"shippingReqNo": "sample_001",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"shippingDate":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"centerCode":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"partnerCode": "A002351",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"partnerName": "</a:t>
          </a:r>
          <a:r>
            <a:rPr lang="ko-KR" altLang="en-US" sz="1100">
              <a:solidFill>
                <a:sysClr val="windowText" lastClr="000000"/>
              </a:solidFill>
            </a:rPr>
            <a:t>경기남부 향남</a:t>
          </a:r>
          <a:r>
            <a:rPr lang="en-US" altLang="ko-KR" sz="1100">
              <a:solidFill>
                <a:sysClr val="windowText" lastClr="000000"/>
              </a:solidFill>
            </a:rPr>
            <a:t>2</a:t>
          </a:r>
          <a:r>
            <a:rPr lang="ko-KR" altLang="en-US" sz="1100">
              <a:solidFill>
                <a:sysClr val="windowText" lastClr="000000"/>
              </a:solidFill>
            </a:rPr>
            <a:t>지구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"address": "</a:t>
          </a:r>
          <a:r>
            <a:rPr lang="ko-KR" altLang="en-US" sz="1100">
              <a:solidFill>
                <a:sysClr val="windowText" lastClr="000000"/>
              </a:solidFill>
            </a:rPr>
            <a:t>경기도 화성시 향남읍 상신하길로</a:t>
          </a:r>
          <a:r>
            <a:rPr lang="en-US" altLang="ko-KR" sz="1100">
              <a:solidFill>
                <a:sysClr val="windowText" lastClr="000000"/>
              </a:solidFill>
            </a:rPr>
            <a:t>328</a:t>
          </a:r>
          <a:r>
            <a:rPr lang="ko-KR" altLang="en-US" sz="1100">
              <a:solidFill>
                <a:sysClr val="windowText" lastClr="000000"/>
              </a:solidFill>
            </a:rPr>
            <a:t>번길 </a:t>
          </a:r>
          <a:r>
            <a:rPr lang="en-US" altLang="ko-KR" sz="1100">
              <a:solidFill>
                <a:sysClr val="windowText" lastClr="000000"/>
              </a:solidFill>
            </a:rPr>
            <a:t>8-13, 112</a:t>
          </a:r>
          <a:r>
            <a:rPr lang="ko-KR" altLang="en-US" sz="1100">
              <a:solidFill>
                <a:sysClr val="windowText" lastClr="000000"/>
              </a:solidFill>
            </a:rPr>
            <a:t>호</a:t>
          </a:r>
          <a:r>
            <a:rPr lang="en-US" altLang="ko-KR" sz="1100">
              <a:solidFill>
                <a:sysClr val="windowText" lastClr="000000"/>
              </a:solidFill>
            </a:rPr>
            <a:t>, 113</a:t>
          </a:r>
          <a:r>
            <a:rPr lang="ko-KR" altLang="en-US" sz="1100">
              <a:solidFill>
                <a:sysClr val="windowText" lastClr="000000"/>
              </a:solidFill>
            </a:rPr>
            <a:t>호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"regionName": "</a:t>
          </a:r>
          <a:r>
            <a:rPr lang="ko-KR" altLang="en-US" sz="1100">
              <a:solidFill>
                <a:sysClr val="windowText" lastClr="000000"/>
              </a:solidFill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"itemCode": "A0109",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"itemName": "</a:t>
          </a:r>
          <a:r>
            <a:rPr lang="ko-KR" altLang="en-US" sz="1100">
              <a:solidFill>
                <a:sysClr val="windowText" lastClr="000000"/>
              </a:solidFill>
            </a:rPr>
            <a:t>허니순살</a:t>
          </a:r>
          <a:r>
            <a:rPr lang="en-US" altLang="ko-KR" sz="1100">
              <a:solidFill>
                <a:sysClr val="windowText" lastClr="000000"/>
              </a:solidFill>
            </a:rPr>
            <a:t>(500g)",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"itemGroupName": "</a:t>
          </a:r>
          <a:r>
            <a:rPr lang="ko-KR" altLang="en-US" sz="1100">
              <a:solidFill>
                <a:sysClr val="windowText" lastClr="000000"/>
              </a:solidFill>
            </a:rPr>
            <a:t>원자재</a:t>
          </a:r>
          <a:r>
            <a:rPr lang="en-US" altLang="ko-KR" sz="1100">
              <a:solidFill>
                <a:sysClr val="windowText" lastClr="000000"/>
              </a:solidFill>
            </a:rPr>
            <a:t>(</a:t>
          </a:r>
          <a:r>
            <a:rPr lang="ko-KR" altLang="en-US" sz="1100">
              <a:solidFill>
                <a:sysClr val="windowText" lastClr="000000"/>
              </a:solidFill>
            </a:rPr>
            <a:t>계육</a:t>
          </a:r>
          <a:r>
            <a:rPr lang="en-US" altLang="ko-KR" sz="1100">
              <a:solidFill>
                <a:sysClr val="windowText" lastClr="000000"/>
              </a:solidFill>
            </a:rPr>
            <a:t>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"itemStorageType": "C",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"itemPackingSpec": "PACK(500g)",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"unitOfMeasure": "PACK",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"qtyPerBox": 20,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"itemWeight": 2790,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"itemWeightPerUnit": 558,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"itemSizex": 565,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"itemSizey": 415,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"itemSizez": 180,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"specifiedItem":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"returnOrder":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"rtItemCnt": 0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160020</xdr:colOff>
      <xdr:row>59</xdr:row>
      <xdr:rowOff>30480</xdr:rowOff>
    </xdr:from>
    <xdr:to>
      <xdr:col>11</xdr:col>
      <xdr:colOff>1089660</xdr:colOff>
      <xdr:row>71</xdr:row>
      <xdr:rowOff>45720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688C6FA-9845-4F5E-988A-2E9B82939AA3}"/>
            </a:ext>
          </a:extLst>
        </xdr:cNvPr>
        <xdr:cNvSpPr/>
      </xdr:nvSpPr>
      <xdr:spPr>
        <a:xfrm>
          <a:off x="10142220" y="12793980"/>
          <a:ext cx="5787390" cy="252984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- </a:t>
          </a:r>
          <a:r>
            <a:rPr lang="ko-KR" altLang="en-US" sz="1200" b="1">
              <a:solidFill>
                <a:sysClr val="windowText" lastClr="000000"/>
              </a:solidFill>
            </a:rPr>
            <a:t>성공</a:t>
          </a:r>
          <a:endParaRPr lang="en-US" altLang="ko-KR" sz="1200" b="1">
            <a:solidFill>
              <a:sysClr val="windowText" lastClr="000000"/>
            </a:solidFill>
          </a:endParaRP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"200",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"SUCCESS",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"success": true,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"errMsg":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"sample_001",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"1000000041521"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twoCellAnchor>
    <xdr:from>
      <xdr:col>9</xdr:col>
      <xdr:colOff>160020</xdr:colOff>
      <xdr:row>78</xdr:row>
      <xdr:rowOff>68580</xdr:rowOff>
    </xdr:from>
    <xdr:to>
      <xdr:col>11</xdr:col>
      <xdr:colOff>1089660</xdr:colOff>
      <xdr:row>90</xdr:row>
      <xdr:rowOff>68580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E83398B-E252-4686-A223-60FB13C57C4B}"/>
            </a:ext>
          </a:extLst>
        </xdr:cNvPr>
        <xdr:cNvSpPr/>
      </xdr:nvSpPr>
      <xdr:spPr>
        <a:xfrm>
          <a:off x="10142220" y="16813530"/>
          <a:ext cx="5787390" cy="25146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3  - </a:t>
          </a:r>
          <a:r>
            <a:rPr lang="ko-KR" altLang="en-US" sz="1200" b="1">
              <a:solidFill>
                <a:sysClr val="windowText" lastClr="000000"/>
              </a:solidFill>
            </a:rPr>
            <a:t>실패 </a:t>
          </a:r>
          <a:r>
            <a:rPr lang="en-US" altLang="ko-KR" sz="1200" b="1">
              <a:solidFill>
                <a:sysClr val="windowText" lastClr="000000"/>
              </a:solidFill>
            </a:rPr>
            <a:t>(</a:t>
          </a:r>
          <a:r>
            <a:rPr lang="ko-KR" altLang="ko-KR" sz="12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출고요청 데이터가 올바르지 않을 경우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"400",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"'data' is invalid",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"success": false,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"errMsg": "'shippingReqNo' not found in TMS",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"sample_002",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null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twoCellAnchor>
    <xdr:from>
      <xdr:col>9</xdr:col>
      <xdr:colOff>167640</xdr:colOff>
      <xdr:row>71</xdr:row>
      <xdr:rowOff>99060</xdr:rowOff>
    </xdr:from>
    <xdr:to>
      <xdr:col>11</xdr:col>
      <xdr:colOff>1097280</xdr:colOff>
      <xdr:row>78</xdr:row>
      <xdr:rowOff>7620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44B7309-6E0E-450A-BA73-2C81F313617A}"/>
            </a:ext>
          </a:extLst>
        </xdr:cNvPr>
        <xdr:cNvSpPr/>
      </xdr:nvSpPr>
      <xdr:spPr>
        <a:xfrm>
          <a:off x="10149840" y="15377160"/>
          <a:ext cx="5787390" cy="13754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2  - </a:t>
          </a:r>
          <a:r>
            <a:rPr lang="ko-KR" altLang="en-US" sz="1200" b="1">
              <a:solidFill>
                <a:sysClr val="windowText" lastClr="000000"/>
              </a:solidFill>
            </a:rPr>
            <a:t>실패 </a:t>
          </a:r>
          <a:r>
            <a:rPr lang="en-US" altLang="ko-KR" sz="1200" b="1">
              <a:solidFill>
                <a:sysClr val="windowText" lastClr="000000"/>
              </a:solidFill>
            </a:rPr>
            <a:t>(clientCode</a:t>
          </a:r>
          <a:r>
            <a:rPr lang="ko-KR" altLang="en-US" sz="1200" b="1">
              <a:solidFill>
                <a:sysClr val="windowText" lastClr="000000"/>
              </a:solidFill>
            </a:rPr>
            <a:t>가 올바르지 않을 경우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"400",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"'clientCode' is invalid",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null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70</xdr:row>
      <xdr:rowOff>7620</xdr:rowOff>
    </xdr:from>
    <xdr:to>
      <xdr:col>16</xdr:col>
      <xdr:colOff>68580</xdr:colOff>
      <xdr:row>119</xdr:row>
      <xdr:rowOff>213360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2E6A1E-0DDD-CA6E-484D-E402B1530896}"/>
            </a:ext>
          </a:extLst>
        </xdr:cNvPr>
        <xdr:cNvSpPr/>
      </xdr:nvSpPr>
      <xdr:spPr>
        <a:xfrm>
          <a:off x="120015" y="15066645"/>
          <a:ext cx="21132165" cy="1047369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53340</xdr:colOff>
      <xdr:row>70</xdr:row>
      <xdr:rowOff>91440</xdr:rowOff>
    </xdr:from>
    <xdr:to>
      <xdr:col>8</xdr:col>
      <xdr:colOff>1066800</xdr:colOff>
      <xdr:row>78</xdr:row>
      <xdr:rowOff>76200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0866481-6833-D819-4FBB-8F8AA5562147}"/>
            </a:ext>
          </a:extLst>
        </xdr:cNvPr>
        <xdr:cNvSpPr/>
      </xdr:nvSpPr>
      <xdr:spPr>
        <a:xfrm>
          <a:off x="158115" y="15150465"/>
          <a:ext cx="8662035" cy="166116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Request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(</a:t>
          </a:r>
          <a:r>
            <a:rPr lang="ko-KR" altLang="en-US" sz="1200" b="1">
              <a:solidFill>
                <a:sysClr val="windowText" lastClr="000000"/>
              </a:solidFill>
            </a:rPr>
            <a:t>센터와 기간 검색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"clientCode": "KYOCHON-WMS",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"centerCode":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"fromDate":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"toDate":  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"data": []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1394460</xdr:colOff>
      <xdr:row>70</xdr:row>
      <xdr:rowOff>83820</xdr:rowOff>
    </xdr:from>
    <xdr:to>
      <xdr:col>11</xdr:col>
      <xdr:colOff>594360</xdr:colOff>
      <xdr:row>81</xdr:row>
      <xdr:rowOff>30480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E65E105-B4E7-4767-8034-9A80D63D61F2}"/>
            </a:ext>
          </a:extLst>
        </xdr:cNvPr>
        <xdr:cNvSpPr/>
      </xdr:nvSpPr>
      <xdr:spPr>
        <a:xfrm>
          <a:off x="9147810" y="15142845"/>
          <a:ext cx="5791200" cy="22517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Request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2  (</a:t>
          </a:r>
          <a:r>
            <a:rPr lang="ko-KR" altLang="en-US" sz="1200" b="1">
              <a:solidFill>
                <a:sysClr val="windowText" lastClr="000000"/>
              </a:solidFill>
            </a:rPr>
            <a:t>센터와 특정 출하건 지정 검색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"clientCode": "KYOCHON-WMS",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"centerCode":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"fromDate": "",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"toDate":   "",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{"shippingReqNo": "OMS2025070020010_5"},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{"shippingReqNo": "OMS2025070020010_7"}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76200</xdr:colOff>
      <xdr:row>81</xdr:row>
      <xdr:rowOff>152400</xdr:rowOff>
    </xdr:from>
    <xdr:to>
      <xdr:col>8</xdr:col>
      <xdr:colOff>1089660</xdr:colOff>
      <xdr:row>116</xdr:row>
      <xdr:rowOff>160020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B5C2F6C0-2E22-4B19-B18F-B3EAA8A58DDF}"/>
            </a:ext>
          </a:extLst>
        </xdr:cNvPr>
        <xdr:cNvSpPr/>
      </xdr:nvSpPr>
      <xdr:spPr>
        <a:xfrm>
          <a:off x="180975" y="17516475"/>
          <a:ext cx="8662035" cy="734187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1  (</a:t>
          </a:r>
          <a:r>
            <a:rPr lang="ko-KR" altLang="en-US" sz="1200" b="1">
              <a:solidFill>
                <a:sysClr val="windowText" lastClr="000000"/>
              </a:solidFill>
            </a:rPr>
            <a:t>접수직후</a:t>
          </a:r>
          <a:r>
            <a:rPr lang="en-US" altLang="ko-KR" sz="1200" b="1">
              <a:solidFill>
                <a:sysClr val="windowText" lastClr="000000"/>
              </a:solidFill>
            </a:rPr>
            <a:t>-</a:t>
          </a:r>
          <a:r>
            <a:rPr lang="ko-KR" altLang="en-US" sz="1200" b="1">
              <a:solidFill>
                <a:sysClr val="windowText" lastClr="000000"/>
              </a:solidFill>
            </a:rPr>
            <a:t>미배차 상태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"200",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"SUCCESS",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"OMS2025070020010_5",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"1000000040526",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"tripDate":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</a:t>
          </a:r>
          <a:r>
            <a:rPr lang="en-US" altLang="ko-KR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centerCode</a:t>
          </a:r>
          <a:r>
            <a:rPr lang="en-US" altLang="ko-KR" sz="1100">
              <a:solidFill>
                <a:sysClr val="windowText" lastClr="000000"/>
              </a:solidFill>
            </a:rPr>
            <a:t>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"tripId":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null,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"routeRegionName":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"routeNo":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"routeName":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"loadingSeq":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"checkInTime":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"dockNo":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"loadingAreaName":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"driverName":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"driverPhone":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"vehicleNo":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"vehicleTons": 0.0,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"orderStatus": "CREATED",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"opdtCreatedAt": "2025-09-16 16:44:01",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"opdtAllocatedAt":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"opdtItemLoadedAt":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"opdtItemUnloadedAt":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"opdtFinishedAt":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"pboxPrevQty":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"changed": true,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"vehicleType": null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1402080</xdr:colOff>
      <xdr:row>81</xdr:row>
      <xdr:rowOff>137160</xdr:rowOff>
    </xdr:from>
    <xdr:to>
      <xdr:col>11</xdr:col>
      <xdr:colOff>601980</xdr:colOff>
      <xdr:row>118</xdr:row>
      <xdr:rowOff>175260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6CA29BE-0E98-4ECF-B1D9-A1B19AD855A0}"/>
            </a:ext>
          </a:extLst>
        </xdr:cNvPr>
        <xdr:cNvSpPr/>
      </xdr:nvSpPr>
      <xdr:spPr>
        <a:xfrm>
          <a:off x="9155430" y="17501235"/>
          <a:ext cx="5791200" cy="77914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2  (</a:t>
          </a:r>
          <a:r>
            <a:rPr lang="ko-KR" altLang="en-US" sz="1200" b="1">
              <a:solidFill>
                <a:sysClr val="windowText" lastClr="000000"/>
              </a:solidFill>
            </a:rPr>
            <a:t>배차 상태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"200",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"SUCCESS",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"OMS2025070020010_5",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"1000000040526",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"tripDate":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"centerCode": "1",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"tripId": "5000000010522",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"routeRegionName":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</a:t>
          </a:r>
          <a:endParaRPr lang="en-US" altLang="ko-KR" sz="11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</a:rPr>
            <a:t>            "routeNo":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 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"loadingSeq":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"checkInTime":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"07:00:00"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"dockNo": "35",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"loadingAreaName":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"driverName": "</a:t>
          </a:r>
          <a:r>
            <a:rPr lang="ko-KR" altLang="en-US" sz="1100">
              <a:solidFill>
                <a:sysClr val="windowText" lastClr="000000"/>
              </a:solidFill>
            </a:rPr>
            <a:t>김용석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"driverPhone": "010-0000-0000",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"vehicleNo": "</a:t>
          </a:r>
          <a:r>
            <a:rPr lang="ko-KR" altLang="en-US" sz="1100">
              <a:solidFill>
                <a:sysClr val="windowText" lastClr="000000"/>
              </a:solidFill>
            </a:rPr>
            <a:t>서울</a:t>
          </a:r>
          <a:r>
            <a:rPr lang="en-US" altLang="ko-KR" sz="1100">
              <a:solidFill>
                <a:sysClr val="windowText" lastClr="000000"/>
              </a:solidFill>
            </a:rPr>
            <a:t>85</a:t>
          </a:r>
          <a:r>
            <a:rPr lang="ko-KR" altLang="en-US" sz="1100">
              <a:solidFill>
                <a:sysClr val="windowText" lastClr="000000"/>
              </a:solidFill>
            </a:rPr>
            <a:t>바</a:t>
          </a:r>
          <a:r>
            <a:rPr lang="en-US" altLang="ko-KR" sz="1100">
              <a:solidFill>
                <a:sysClr val="windowText" lastClr="000000"/>
              </a:solidFill>
            </a:rPr>
            <a:t>8556",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"vehicleTons": 3.5,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"orderStatus": "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ALLOCATED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"opdtCreatedAt": "2025-09-16 16:44:01",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"opdtAllocatedAt":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"2025-09-16 17:44:01"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"opdtItemLoadedAt":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"opdtItemUnloadedAt":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"opdtFinishedAt":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"pboxPrevQty": 3,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"changed": true,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"vehicleType": 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냉동탑</a:t>
          </a:r>
          <a:r>
            <a:rPr lang="en-US" altLang="ko-KR" sz="1100">
              <a:solidFill>
                <a:sysClr val="windowText" lastClr="000000"/>
              </a:solidFill>
            </a:rPr>
            <a:t>"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853440</xdr:colOff>
      <xdr:row>81</xdr:row>
      <xdr:rowOff>129540</xdr:rowOff>
    </xdr:from>
    <xdr:to>
      <xdr:col>15</xdr:col>
      <xdr:colOff>525780</xdr:colOff>
      <xdr:row>118</xdr:row>
      <xdr:rowOff>167640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75A4BDF-B9E4-41F1-9C43-90CDE0331A46}"/>
            </a:ext>
          </a:extLst>
        </xdr:cNvPr>
        <xdr:cNvSpPr/>
      </xdr:nvSpPr>
      <xdr:spPr>
        <a:xfrm>
          <a:off x="15198090" y="17493615"/>
          <a:ext cx="5825490" cy="77914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200" b="1">
              <a:solidFill>
                <a:sysClr val="windowText" lastClr="000000"/>
              </a:solidFill>
            </a:rPr>
            <a:t>Response</a:t>
          </a:r>
          <a:r>
            <a:rPr lang="en-US" altLang="ko-KR" sz="1200" b="1" baseline="0">
              <a:solidFill>
                <a:sysClr val="windowText" lastClr="000000"/>
              </a:solidFill>
            </a:rPr>
            <a:t> Body </a:t>
          </a:r>
          <a:r>
            <a:rPr lang="en-US" altLang="ko-KR" sz="1200" b="1">
              <a:solidFill>
                <a:sysClr val="windowText" lastClr="000000"/>
              </a:solidFill>
            </a:rPr>
            <a:t>Sample 3  (</a:t>
          </a:r>
          <a:r>
            <a:rPr lang="ko-KR" altLang="en-US" sz="1200" b="1">
              <a:solidFill>
                <a:sysClr val="windowText" lastClr="000000"/>
              </a:solidFill>
            </a:rPr>
            <a:t>상차 상태</a:t>
          </a:r>
          <a:r>
            <a:rPr lang="en-US" altLang="ko-KR" sz="1200" b="1">
              <a:solidFill>
                <a:sysClr val="windowText" lastClr="000000"/>
              </a:solidFill>
            </a:rPr>
            <a:t>)</a:t>
          </a:r>
        </a:p>
        <a:p>
          <a:pPr algn="l"/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"resultCode": "200",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"resultMsg": "SUCCESS",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"data": [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{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"shippingReqNo": "OMS2025070020010_5",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"invoiceNo": "1000000040526",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"tripDate": "2025-09-12",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"centerCode": "1",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"tripId": "5000000010522",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"routeRegionName":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</a:t>
          </a:r>
          <a:endParaRPr lang="en-US" altLang="ko-KR" sz="11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ysClr val="windowText" lastClr="000000"/>
              </a:solidFill>
            </a:rPr>
            <a:t>            "routeNo":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 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",</a:t>
          </a:r>
          <a:endParaRPr lang="en-US" altLang="ko-KR" sz="1100">
            <a:solidFill>
              <a:sysClr val="windowText" lastClr="000000"/>
            </a:solidFill>
          </a:endParaRP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"routeName":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"loadingSeq": "1",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"checkInTime":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"07:00:00"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"dockNo": "35",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"loadingAreaName":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경기남부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1-35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번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"driverName": "</a:t>
          </a:r>
          <a:r>
            <a:rPr lang="ko-KR" altLang="en-US" sz="1100">
              <a:solidFill>
                <a:sysClr val="windowText" lastClr="000000"/>
              </a:solidFill>
            </a:rPr>
            <a:t>김용석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"driverPhone": "010-0000-0000",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"vehicleNo": "</a:t>
          </a:r>
          <a:r>
            <a:rPr lang="ko-KR" altLang="en-US" sz="1100">
              <a:solidFill>
                <a:sysClr val="windowText" lastClr="000000"/>
              </a:solidFill>
            </a:rPr>
            <a:t>서울</a:t>
          </a:r>
          <a:r>
            <a:rPr lang="en-US" altLang="ko-KR" sz="1100">
              <a:solidFill>
                <a:sysClr val="windowText" lastClr="000000"/>
              </a:solidFill>
            </a:rPr>
            <a:t>85</a:t>
          </a:r>
          <a:r>
            <a:rPr lang="ko-KR" altLang="en-US" sz="1100">
              <a:solidFill>
                <a:sysClr val="windowText" lastClr="000000"/>
              </a:solidFill>
            </a:rPr>
            <a:t>바</a:t>
          </a:r>
          <a:r>
            <a:rPr lang="en-US" altLang="ko-KR" sz="1100">
              <a:solidFill>
                <a:sysClr val="windowText" lastClr="000000"/>
              </a:solidFill>
            </a:rPr>
            <a:t>8556",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"vehicleTons": 3.5,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"opLoadItemCnt": 5,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"opRtConfirmUnloadItemCnt": 0,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"orderStatus": "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ITEM_LOADED</a:t>
          </a:r>
          <a:r>
            <a:rPr lang="en-US" altLang="ko-KR" sz="1100">
              <a:solidFill>
                <a:sysClr val="windowText" lastClr="000000"/>
              </a:solidFill>
            </a:rPr>
            <a:t>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"opdtCreatedAt": "2025-09-16 16:44:01",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"opdtAllocatedAt":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"2025-09-16 17:44:01"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"opdtItemLoadedAt": 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"2025-09-16 18:44:01"</a:t>
          </a:r>
          <a:r>
            <a:rPr lang="en-US" altLang="ko-KR" sz="1100">
              <a:solidFill>
                <a:sysClr val="windowText" lastClr="000000"/>
              </a:solidFill>
            </a:rPr>
            <a:t>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"opdtItemUnloadedAt":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"opdtFinishedAt": null,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"pboxPrevQty": 3,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"changed": true,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    "vehicleType": "</a:t>
          </a:r>
          <a:r>
            <a:rPr lang="ko-KR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냉동탑</a:t>
          </a:r>
          <a:r>
            <a:rPr lang="en-US" altLang="ko-KR" sz="1100">
              <a:solidFill>
                <a:sysClr val="windowText" lastClr="000000"/>
              </a:solidFill>
            </a:rPr>
            <a:t>"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    }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    ]</a:t>
          </a:r>
        </a:p>
        <a:p>
          <a:pPr algn="l"/>
          <a:r>
            <a:rPr lang="en-US" altLang="ko-KR" sz="1100">
              <a:solidFill>
                <a:sysClr val="windowText" lastClr="000000"/>
              </a:solidFill>
            </a:rPr>
            <a:t>}</a:t>
          </a:r>
        </a:p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7809" name="Check Box 1" hidden="1">
              <a:extLst>
                <a:ext uri="{63B3BB69-23CF-44E3-9099-C40C66FF867C}">
                  <a14:compatExt spid="_x0000_s247809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7810" name="Check Box 2" hidden="1">
              <a:extLst>
                <a:ext uri="{63B3BB69-23CF-44E3-9099-C40C66FF867C}">
                  <a14:compatExt spid="_x0000_s247810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7811" name="Check Box 3" hidden="1">
              <a:extLst>
                <a:ext uri="{63B3BB69-23CF-44E3-9099-C40C66FF867C}">
                  <a14:compatExt spid="_x0000_s247811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7812" name="Check Box 4" hidden="1">
              <a:extLst>
                <a:ext uri="{63B3BB69-23CF-44E3-9099-C40C66FF867C}">
                  <a14:compatExt spid="_x0000_s247812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7813" name="Check Box 5" hidden="1">
              <a:extLst>
                <a:ext uri="{63B3BB69-23CF-44E3-9099-C40C66FF867C}">
                  <a14:compatExt spid="_x0000_s247813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7814" name="Check Box 6" hidden="1">
              <a:extLst>
                <a:ext uri="{63B3BB69-23CF-44E3-9099-C40C66FF867C}">
                  <a14:compatExt spid="_x0000_s247814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8833" name="Check Box 1" hidden="1">
              <a:extLst>
                <a:ext uri="{63B3BB69-23CF-44E3-9099-C40C66FF867C}">
                  <a14:compatExt spid="_x0000_s248833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8834" name="Check Box 2" hidden="1">
              <a:extLst>
                <a:ext uri="{63B3BB69-23CF-44E3-9099-C40C66FF867C}">
                  <a14:compatExt spid="_x0000_s248834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8835" name="Check Box 3" hidden="1">
              <a:extLst>
                <a:ext uri="{63B3BB69-23CF-44E3-9099-C40C66FF867C}">
                  <a14:compatExt spid="_x0000_s248835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8836" name="Check Box 4" hidden="1">
              <a:extLst>
                <a:ext uri="{63B3BB69-23CF-44E3-9099-C40C66FF867C}">
                  <a14:compatExt spid="_x0000_s248836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8837" name="Check Box 5" hidden="1">
              <a:extLst>
                <a:ext uri="{63B3BB69-23CF-44E3-9099-C40C66FF867C}">
                  <a14:compatExt spid="_x0000_s248837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8838" name="Check Box 6" hidden="1">
              <a:extLst>
                <a:ext uri="{63B3BB69-23CF-44E3-9099-C40C66FF867C}">
                  <a14:compatExt spid="_x0000_s248838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1219200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49858" name="Check Box 2" hidden="1">
              <a:extLst>
                <a:ext uri="{63B3BB69-23CF-44E3-9099-C40C66FF867C}">
                  <a14:compatExt spid="_x0000_s249858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49859" name="Check Box 3" hidden="1">
              <a:extLst>
                <a:ext uri="{63B3BB69-23CF-44E3-9099-C40C66FF867C}">
                  <a14:compatExt spid="_x0000_s249859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49860" name="Check Box 4" hidden="1">
              <a:extLst>
                <a:ext uri="{63B3BB69-23CF-44E3-9099-C40C66FF867C}">
                  <a14:compatExt spid="_x0000_s249860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49861" name="Check Box 5" hidden="1">
              <a:extLst>
                <a:ext uri="{63B3BB69-23CF-44E3-9099-C40C66FF867C}">
                  <a14:compatExt spid="_x0000_s249861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49862" name="Check Box 6" hidden="1">
              <a:extLst>
                <a:ext uri="{63B3BB69-23CF-44E3-9099-C40C66FF867C}">
                  <a14:compatExt spid="_x0000_s249862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1219200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8</xdr:row>
          <xdr:rowOff>0</xdr:rowOff>
        </xdr:from>
        <xdr:to>
          <xdr:col>2</xdr:col>
          <xdr:colOff>333375</xdr:colOff>
          <xdr:row>8</xdr:row>
          <xdr:rowOff>200025</xdr:rowOff>
        </xdr:to>
        <xdr:sp macro="" textlink="">
          <xdr:nvSpPr>
            <xdr:cNvPr id="250881" name="Check Box 1" hidden="1">
              <a:extLst>
                <a:ext uri="{63B3BB69-23CF-44E3-9099-C40C66FF867C}">
                  <a14:compatExt spid="_x0000_s250881"/>
                </a:ext>
                <a:ext uri="{FF2B5EF4-FFF2-40B4-BE49-F238E27FC236}">
                  <a16:creationId xmlns:a16="http://schemas.microsoft.com/office/drawing/2014/main" id="{00000000-0008-0000-0300-000001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8</xdr:row>
          <xdr:rowOff>0</xdr:rowOff>
        </xdr:from>
        <xdr:to>
          <xdr:col>2</xdr:col>
          <xdr:colOff>1162050</xdr:colOff>
          <xdr:row>8</xdr:row>
          <xdr:rowOff>200025</xdr:rowOff>
        </xdr:to>
        <xdr:sp macro="" textlink="">
          <xdr:nvSpPr>
            <xdr:cNvPr id="250882" name="Check Box 2" hidden="1">
              <a:extLst>
                <a:ext uri="{63B3BB69-23CF-44E3-9099-C40C66FF867C}">
                  <a14:compatExt spid="_x0000_s250882"/>
                </a:ext>
                <a:ext uri="{FF2B5EF4-FFF2-40B4-BE49-F238E27FC236}">
                  <a16:creationId xmlns:a16="http://schemas.microsoft.com/office/drawing/2014/main" id="{00000000-0008-0000-0300-000002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비동기식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228600</xdr:colOff>
          <xdr:row>8</xdr:row>
          <xdr:rowOff>0</xdr:rowOff>
        </xdr:from>
        <xdr:to>
          <xdr:col>6</xdr:col>
          <xdr:colOff>66675</xdr:colOff>
          <xdr:row>9</xdr:row>
          <xdr:rowOff>0</xdr:rowOff>
        </xdr:to>
        <xdr:sp macro="" textlink="">
          <xdr:nvSpPr>
            <xdr:cNvPr id="250883" name="Check Box 3" hidden="1">
              <a:extLst>
                <a:ext uri="{63B3BB69-23CF-44E3-9099-C40C66FF867C}">
                  <a14:compatExt spid="_x0000_s250883"/>
                </a:ext>
                <a:ext uri="{FF2B5EF4-FFF2-40B4-BE49-F238E27FC236}">
                  <a16:creationId xmlns:a16="http://schemas.microsoft.com/office/drawing/2014/main" id="{00000000-0008-0000-0300-000003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SELECT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66675</xdr:colOff>
          <xdr:row>8</xdr:row>
          <xdr:rowOff>0</xdr:rowOff>
        </xdr:from>
        <xdr:to>
          <xdr:col>6</xdr:col>
          <xdr:colOff>904875</xdr:colOff>
          <xdr:row>9</xdr:row>
          <xdr:rowOff>0</xdr:rowOff>
        </xdr:to>
        <xdr:sp macro="" textlink="">
          <xdr:nvSpPr>
            <xdr:cNvPr id="250884" name="Check Box 4" hidden="1">
              <a:extLst>
                <a:ext uri="{63B3BB69-23CF-44E3-9099-C40C66FF867C}">
                  <a14:compatExt spid="_x0000_s250884"/>
                </a:ext>
                <a:ext uri="{FF2B5EF4-FFF2-40B4-BE49-F238E27FC236}">
                  <a16:creationId xmlns:a16="http://schemas.microsoft.com/office/drawing/2014/main" id="{00000000-0008-0000-0300-000004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INSERT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990600</xdr:colOff>
          <xdr:row>8</xdr:row>
          <xdr:rowOff>0</xdr:rowOff>
        </xdr:from>
        <xdr:to>
          <xdr:col>7</xdr:col>
          <xdr:colOff>238125</xdr:colOff>
          <xdr:row>9</xdr:row>
          <xdr:rowOff>0</xdr:rowOff>
        </xdr:to>
        <xdr:sp macro="" textlink="">
          <xdr:nvSpPr>
            <xdr:cNvPr id="250885" name="Check Box 5" hidden="1">
              <a:extLst>
                <a:ext uri="{63B3BB69-23CF-44E3-9099-C40C66FF867C}">
                  <a14:compatExt spid="_x0000_s250885"/>
                </a:ext>
                <a:ext uri="{FF2B5EF4-FFF2-40B4-BE49-F238E27FC236}">
                  <a16:creationId xmlns:a16="http://schemas.microsoft.com/office/drawing/2014/main" id="{00000000-0008-0000-0300-000005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552450</xdr:colOff>
          <xdr:row>8</xdr:row>
          <xdr:rowOff>0</xdr:rowOff>
        </xdr:from>
        <xdr:to>
          <xdr:col>7</xdr:col>
          <xdr:colOff>1390650</xdr:colOff>
          <xdr:row>8</xdr:row>
          <xdr:rowOff>200025</xdr:rowOff>
        </xdr:to>
        <xdr:sp macro="" textlink="">
          <xdr:nvSpPr>
            <xdr:cNvPr id="250886" name="Check Box 6" hidden="1">
              <a:extLst>
                <a:ext uri="{63B3BB69-23CF-44E3-9099-C40C66FF867C}">
                  <a14:compatExt spid="_x0000_s250886"/>
                </a:ext>
                <a:ext uri="{FF2B5EF4-FFF2-40B4-BE49-F238E27FC236}">
                  <a16:creationId xmlns:a16="http://schemas.microsoft.com/office/drawing/2014/main" id="{00000000-0008-0000-0300-0000061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UPDATE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28575</xdr:colOff>
      <xdr:row>0</xdr:row>
      <xdr:rowOff>28575</xdr:rowOff>
    </xdr:from>
    <xdr:to>
      <xdr:col>0</xdr:col>
      <xdr:colOff>1247775</xdr:colOff>
      <xdr:row>0</xdr:row>
      <xdr:rowOff>333375</xdr:rowOff>
    </xdr:to>
    <xdr:sp macro="" textlink="">
      <xdr:nvSpPr>
        <xdr:cNvPr id="8" name="사각형: 둥근 모서리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8575" y="28575"/>
          <a:ext cx="942975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I/F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</a:t>
          </a:r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List</a:t>
          </a:r>
          <a:endParaRPr lang="ko-KR" altLang="en-US" sz="1400" b="1">
            <a:solidFill>
              <a:schemeClr val="bg1"/>
            </a:solidFill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Relationship Id="rId9" Type="http://schemas.openxmlformats.org/officeDocument/2006/relationships/ctrlProp" Target="../ctrlProps/ctrlProp30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1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4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9.xml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Relationship Id="rId9" Type="http://schemas.openxmlformats.org/officeDocument/2006/relationships/ctrlProp" Target="../ctrlProps/ctrlProp4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omments" Target="../comments3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52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51.xml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9.xml"/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58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2.bin"/><Relationship Id="rId6" Type="http://schemas.openxmlformats.org/officeDocument/2006/relationships/ctrlProp" Target="../ctrlProps/ctrlProp57.xml"/><Relationship Id="rId5" Type="http://schemas.openxmlformats.org/officeDocument/2006/relationships/ctrlProp" Target="../ctrlProps/ctrlProp56.xml"/><Relationship Id="rId4" Type="http://schemas.openxmlformats.org/officeDocument/2006/relationships/ctrlProp" Target="../ctrlProps/ctrlProp55.xml"/><Relationship Id="rId9" Type="http://schemas.openxmlformats.org/officeDocument/2006/relationships/ctrlProp" Target="../ctrlProps/ctrlProp60.xm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.xml"/><Relationship Id="rId3" Type="http://schemas.openxmlformats.org/officeDocument/2006/relationships/vmlDrawing" Target="../drawings/vmlDrawing14.vml"/><Relationship Id="rId7" Type="http://schemas.openxmlformats.org/officeDocument/2006/relationships/ctrlProp" Target="../ctrlProps/ctrlProp64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3.bin"/><Relationship Id="rId6" Type="http://schemas.openxmlformats.org/officeDocument/2006/relationships/ctrlProp" Target="../ctrlProps/ctrlProp63.xml"/><Relationship Id="rId5" Type="http://schemas.openxmlformats.org/officeDocument/2006/relationships/ctrlProp" Target="../ctrlProps/ctrlProp62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1.xml"/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70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4.bin"/><Relationship Id="rId6" Type="http://schemas.openxmlformats.org/officeDocument/2006/relationships/ctrlProp" Target="../ctrlProps/ctrlProp69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Relationship Id="rId9" Type="http://schemas.openxmlformats.org/officeDocument/2006/relationships/ctrlProp" Target="../ctrlProps/ctrlProp72.xm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7.xml"/><Relationship Id="rId3" Type="http://schemas.openxmlformats.org/officeDocument/2006/relationships/vmlDrawing" Target="../drawings/vmlDrawing16.vml"/><Relationship Id="rId7" Type="http://schemas.openxmlformats.org/officeDocument/2006/relationships/ctrlProp" Target="../ctrlProps/ctrlProp7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5.bin"/><Relationship Id="rId6" Type="http://schemas.openxmlformats.org/officeDocument/2006/relationships/ctrlProp" Target="../ctrlProps/ctrlProp75.xml"/><Relationship Id="rId5" Type="http://schemas.openxmlformats.org/officeDocument/2006/relationships/ctrlProp" Target="../ctrlProps/ctrlProp74.xml"/><Relationship Id="rId4" Type="http://schemas.openxmlformats.org/officeDocument/2006/relationships/ctrlProp" Target="../ctrlProps/ctrlProp73.xml"/><Relationship Id="rId9" Type="http://schemas.openxmlformats.org/officeDocument/2006/relationships/ctrlProp" Target="../ctrlProps/ctrlProp7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6"/>
  <sheetViews>
    <sheetView view="pageBreakPreview" zoomScaleSheetLayoutView="100" workbookViewId="0">
      <selection activeCell="M7" sqref="M7"/>
    </sheetView>
  </sheetViews>
  <sheetFormatPr defaultColWidth="8.75" defaultRowHeight="16.5"/>
  <cols>
    <col min="1" max="16384" width="8.75" style="6"/>
  </cols>
  <sheetData>
    <row r="1" spans="1:13" ht="26.25">
      <c r="A1" s="5"/>
    </row>
    <row r="4" spans="1:13" ht="31.5">
      <c r="J4" s="7"/>
      <c r="M4" s="8" t="s">
        <v>3393</v>
      </c>
    </row>
    <row r="5" spans="1:13">
      <c r="J5" s="9"/>
      <c r="M5" s="9"/>
    </row>
    <row r="6" spans="1:13">
      <c r="J6" s="9"/>
      <c r="M6" s="9"/>
    </row>
    <row r="7" spans="1:13" ht="41.25">
      <c r="J7" s="10"/>
      <c r="M7" s="11" t="s">
        <v>3396</v>
      </c>
    </row>
    <row r="8" spans="1:13">
      <c r="J8" s="9"/>
      <c r="M8" s="9"/>
    </row>
    <row r="9" spans="1:13" ht="25.5">
      <c r="J9" s="7"/>
      <c r="M9" s="7"/>
    </row>
    <row r="10" spans="1:13" ht="25.5">
      <c r="M10" s="7"/>
    </row>
    <row r="14" spans="1:13" ht="31.5">
      <c r="M14" s="8"/>
    </row>
    <row r="23" spans="1:16" ht="26.25">
      <c r="A23" s="5"/>
    </row>
    <row r="24" spans="1:16">
      <c r="P24"/>
    </row>
    <row r="26" spans="1:16">
      <c r="B26" s="6" t="s">
        <v>17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0"/>
  <sheetViews>
    <sheetView view="pageBreakPreview" zoomScaleSheetLayoutView="100" workbookViewId="0">
      <selection activeCell="H9" sqref="H9"/>
    </sheetView>
  </sheetViews>
  <sheetFormatPr defaultColWidth="8.75" defaultRowHeight="16.5"/>
  <cols>
    <col min="1" max="1" width="12.5" style="6" customWidth="1"/>
    <col min="2" max="2" width="15.625" style="6" bestFit="1" customWidth="1"/>
    <col min="3" max="3" width="30.875" style="6" customWidth="1"/>
    <col min="4" max="5" width="12.5" style="6" customWidth="1"/>
    <col min="6" max="16384" width="8.75" style="6"/>
  </cols>
  <sheetData>
    <row r="1" spans="1:5" ht="20.25">
      <c r="A1" s="441" t="s">
        <v>8</v>
      </c>
      <c r="B1" s="441"/>
      <c r="C1" s="441"/>
      <c r="D1" s="441"/>
      <c r="E1" s="441"/>
    </row>
    <row r="2" spans="1:5" ht="10.15" customHeight="1">
      <c r="A2" s="12"/>
      <c r="B2" s="12"/>
      <c r="C2" s="12"/>
      <c r="D2" s="13"/>
      <c r="E2" s="13"/>
    </row>
    <row r="3" spans="1:5">
      <c r="A3" s="14" t="s">
        <v>9</v>
      </c>
      <c r="B3" s="14" t="s">
        <v>10</v>
      </c>
      <c r="C3" s="14" t="s">
        <v>11</v>
      </c>
      <c r="D3" s="14" t="s">
        <v>12</v>
      </c>
      <c r="E3" s="14" t="s">
        <v>13</v>
      </c>
    </row>
    <row r="4" spans="1:5">
      <c r="A4" s="15" t="s">
        <v>145</v>
      </c>
      <c r="B4" s="15" t="s">
        <v>14</v>
      </c>
      <c r="C4" s="16" t="s">
        <v>15</v>
      </c>
      <c r="D4" s="17" t="s">
        <v>3394</v>
      </c>
      <c r="E4" s="47" t="s">
        <v>3395</v>
      </c>
    </row>
    <row r="5" spans="1:5">
      <c r="A5" s="15"/>
      <c r="B5" s="18"/>
      <c r="C5" s="16"/>
      <c r="D5" s="19"/>
      <c r="E5" s="223"/>
    </row>
    <row r="6" spans="1:5">
      <c r="A6" s="15"/>
      <c r="B6" s="18"/>
      <c r="C6" s="16"/>
      <c r="D6" s="19"/>
      <c r="E6" s="223"/>
    </row>
    <row r="7" spans="1:5">
      <c r="A7" s="15"/>
      <c r="B7" s="18"/>
      <c r="C7" s="16"/>
      <c r="D7" s="19"/>
      <c r="E7" s="223"/>
    </row>
    <row r="8" spans="1:5">
      <c r="A8" s="15"/>
      <c r="B8" s="18"/>
      <c r="C8" s="16"/>
      <c r="D8" s="19"/>
      <c r="E8" s="223"/>
    </row>
    <row r="9" spans="1:5">
      <c r="A9" s="15"/>
      <c r="B9" s="18"/>
      <c r="C9" s="16"/>
      <c r="D9" s="19"/>
      <c r="E9" s="223"/>
    </row>
    <row r="10" spans="1:5">
      <c r="A10" s="15"/>
      <c r="B10" s="18"/>
      <c r="C10" s="16"/>
      <c r="D10" s="19"/>
      <c r="E10" s="223"/>
    </row>
    <row r="11" spans="1:5">
      <c r="A11" s="15"/>
      <c r="B11" s="18"/>
      <c r="C11" s="16"/>
      <c r="D11" s="19"/>
      <c r="E11" s="223"/>
    </row>
    <row r="12" spans="1:5">
      <c r="A12" s="15"/>
      <c r="B12" s="18"/>
      <c r="C12" s="16"/>
      <c r="D12" s="19"/>
      <c r="E12" s="223"/>
    </row>
    <row r="13" spans="1:5">
      <c r="A13" s="15"/>
      <c r="B13" s="18"/>
      <c r="C13" s="16"/>
      <c r="D13" s="19"/>
      <c r="E13" s="223"/>
    </row>
    <row r="14" spans="1:5">
      <c r="A14" s="15"/>
      <c r="B14" s="18"/>
      <c r="C14" s="16"/>
      <c r="D14" s="19"/>
      <c r="E14" s="223"/>
    </row>
    <row r="15" spans="1:5">
      <c r="A15" s="15"/>
      <c r="B15" s="18"/>
      <c r="C15" s="16"/>
      <c r="D15" s="19"/>
      <c r="E15" s="223"/>
    </row>
    <row r="16" spans="1:5">
      <c r="A16" s="15"/>
      <c r="B16" s="18"/>
      <c r="C16" s="16"/>
      <c r="D16" s="19"/>
      <c r="E16" s="223"/>
    </row>
    <row r="17" spans="1:5">
      <c r="A17" s="15"/>
      <c r="B17" s="18"/>
      <c r="C17" s="16"/>
      <c r="D17" s="19"/>
      <c r="E17" s="223"/>
    </row>
    <row r="18" spans="1:5">
      <c r="A18" s="15"/>
      <c r="B18" s="18"/>
      <c r="C18" s="16"/>
      <c r="D18" s="19"/>
      <c r="E18" s="223"/>
    </row>
    <row r="19" spans="1:5">
      <c r="A19" s="15"/>
      <c r="B19" s="18"/>
      <c r="C19" s="16"/>
      <c r="D19" s="19"/>
      <c r="E19" s="223"/>
    </row>
    <row r="20" spans="1:5">
      <c r="A20" s="15"/>
      <c r="B20" s="18"/>
      <c r="C20" s="16"/>
      <c r="D20" s="19"/>
      <c r="E20" s="223"/>
    </row>
    <row r="21" spans="1:5">
      <c r="A21" s="15"/>
      <c r="B21" s="18"/>
      <c r="C21" s="16"/>
      <c r="D21" s="19"/>
      <c r="E21" s="223"/>
    </row>
    <row r="22" spans="1:5">
      <c r="A22" s="15"/>
      <c r="B22" s="18"/>
      <c r="C22" s="16"/>
      <c r="D22" s="19"/>
      <c r="E22" s="223"/>
    </row>
    <row r="23" spans="1:5">
      <c r="A23" s="15"/>
      <c r="B23" s="18"/>
      <c r="C23" s="16"/>
      <c r="D23" s="19"/>
      <c r="E23" s="223"/>
    </row>
    <row r="24" spans="1:5">
      <c r="A24" s="15"/>
      <c r="B24" s="18"/>
      <c r="C24" s="16"/>
      <c r="D24" s="19"/>
      <c r="E24" s="223"/>
    </row>
    <row r="25" spans="1:5">
      <c r="A25" s="15"/>
      <c r="B25" s="18"/>
      <c r="C25" s="16"/>
      <c r="D25" s="19"/>
      <c r="E25" s="223"/>
    </row>
    <row r="26" spans="1:5">
      <c r="A26" s="15"/>
      <c r="B26" s="18"/>
      <c r="C26" s="16"/>
      <c r="D26" s="19"/>
      <c r="E26" s="439"/>
    </row>
    <row r="27" spans="1:5">
      <c r="A27" s="20"/>
      <c r="B27" s="440"/>
      <c r="C27" s="21"/>
      <c r="D27" s="19"/>
      <c r="E27" s="439"/>
    </row>
    <row r="28" spans="1:5">
      <c r="A28" s="20"/>
      <c r="B28" s="20"/>
      <c r="C28" s="21"/>
      <c r="D28" s="20"/>
      <c r="E28" s="20"/>
    </row>
    <row r="29" spans="1:5">
      <c r="A29" s="20"/>
      <c r="B29" s="18"/>
      <c r="C29" s="21"/>
      <c r="D29" s="20"/>
      <c r="E29" s="20"/>
    </row>
    <row r="30" spans="1:5">
      <c r="A30" s="20"/>
      <c r="B30" s="20"/>
      <c r="C30" s="21"/>
      <c r="D30" s="20"/>
      <c r="E30" s="20"/>
    </row>
  </sheetData>
  <mergeCells count="1">
    <mergeCell ref="A1:E1"/>
  </mergeCells>
  <phoneticPr fontId="1" type="noConversion"/>
  <pageMargins left="0.7" right="0.7" top="0.75" bottom="0.75" header="0.3" footer="0.3"/>
  <pageSetup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F16"/>
  <sheetViews>
    <sheetView zoomScaleNormal="100" workbookViewId="0">
      <selection activeCell="G7" sqref="G7"/>
    </sheetView>
  </sheetViews>
  <sheetFormatPr defaultColWidth="9" defaultRowHeight="16.5"/>
  <cols>
    <col min="1" max="1" width="4.75" style="128" bestFit="1" customWidth="1"/>
    <col min="2" max="3" width="19.625" style="128" customWidth="1"/>
    <col min="4" max="4" width="22.875" style="128" bestFit="1" customWidth="1"/>
    <col min="5" max="5" width="12.25" style="128" customWidth="1"/>
    <col min="6" max="6" width="20.25" style="129" customWidth="1"/>
    <col min="7" max="7" width="12.375" style="115" customWidth="1"/>
    <col min="8" max="16384" width="9" style="115"/>
  </cols>
  <sheetData>
    <row r="1" spans="1:6" ht="39.950000000000003" customHeight="1">
      <c r="A1" s="444" t="s">
        <v>359</v>
      </c>
      <c r="B1" s="444"/>
      <c r="C1" s="113"/>
      <c r="D1" s="114"/>
      <c r="E1" s="114"/>
      <c r="F1" s="82" t="s">
        <v>3397</v>
      </c>
    </row>
    <row r="2" spans="1:6" s="116" customFormat="1" ht="20.100000000000001" customHeight="1">
      <c r="A2" s="442" t="s">
        <v>360</v>
      </c>
      <c r="B2" s="445" t="s">
        <v>361</v>
      </c>
      <c r="C2" s="446"/>
      <c r="D2" s="447" t="s">
        <v>362</v>
      </c>
      <c r="E2" s="447"/>
      <c r="F2" s="442" t="s">
        <v>363</v>
      </c>
    </row>
    <row r="3" spans="1:6" s="116" customFormat="1" ht="20.100000000000001" customHeight="1">
      <c r="A3" s="442"/>
      <c r="B3" s="117" t="s">
        <v>364</v>
      </c>
      <c r="C3" s="117" t="s">
        <v>365</v>
      </c>
      <c r="D3" s="118" t="s">
        <v>366</v>
      </c>
      <c r="E3" s="118" t="s">
        <v>365</v>
      </c>
      <c r="F3" s="442"/>
    </row>
    <row r="4" spans="1:6" s="116" customFormat="1" ht="20.100000000000001" customHeight="1">
      <c r="A4" s="119">
        <v>1</v>
      </c>
      <c r="B4" s="120" t="s">
        <v>367</v>
      </c>
      <c r="C4" s="120">
        <v>1</v>
      </c>
      <c r="D4" s="121" t="s">
        <v>368</v>
      </c>
      <c r="E4" s="122" t="s">
        <v>369</v>
      </c>
      <c r="F4" s="123"/>
    </row>
    <row r="5" spans="1:6" s="116" customFormat="1" ht="20.100000000000001" customHeight="1">
      <c r="A5" s="119">
        <v>2</v>
      </c>
      <c r="B5" s="120" t="s">
        <v>370</v>
      </c>
      <c r="C5" s="120">
        <v>2</v>
      </c>
      <c r="D5" s="121" t="s">
        <v>371</v>
      </c>
      <c r="E5" s="122" t="s">
        <v>372</v>
      </c>
      <c r="F5" s="123"/>
    </row>
    <row r="6" spans="1:6" s="116" customFormat="1" ht="20.100000000000001" customHeight="1">
      <c r="A6" s="119">
        <v>3</v>
      </c>
      <c r="B6" s="120" t="s">
        <v>373</v>
      </c>
      <c r="C6" s="120">
        <v>3</v>
      </c>
      <c r="D6" s="122" t="s">
        <v>374</v>
      </c>
      <c r="E6" s="122" t="s">
        <v>375</v>
      </c>
      <c r="F6" s="123"/>
    </row>
    <row r="7" spans="1:6" s="116" customFormat="1" ht="20.100000000000001" customHeight="1">
      <c r="A7" s="119">
        <v>4</v>
      </c>
      <c r="B7" s="120" t="s">
        <v>376</v>
      </c>
      <c r="C7" s="120">
        <v>4</v>
      </c>
      <c r="D7" s="122" t="s">
        <v>377</v>
      </c>
      <c r="E7" s="122" t="s">
        <v>378</v>
      </c>
      <c r="F7" s="123"/>
    </row>
    <row r="8" spans="1:6" s="116" customFormat="1" ht="20.100000000000001" customHeight="1">
      <c r="A8" s="119">
        <v>5</v>
      </c>
      <c r="B8" s="120" t="s">
        <v>379</v>
      </c>
      <c r="C8" s="120">
        <v>5</v>
      </c>
      <c r="D8" s="121" t="s">
        <v>380</v>
      </c>
      <c r="E8" s="122" t="s">
        <v>381</v>
      </c>
      <c r="F8" s="123"/>
    </row>
    <row r="9" spans="1:6" s="116" customFormat="1" ht="20.100000000000001" customHeight="1">
      <c r="A9" s="119">
        <v>6</v>
      </c>
      <c r="B9" s="120" t="s">
        <v>382</v>
      </c>
      <c r="C9" s="120">
        <v>6</v>
      </c>
      <c r="D9" s="121" t="s">
        <v>383</v>
      </c>
      <c r="E9" s="122" t="s">
        <v>384</v>
      </c>
      <c r="F9" s="123"/>
    </row>
    <row r="10" spans="1:6" s="116" customFormat="1" ht="20.100000000000001" customHeight="1">
      <c r="A10" s="119">
        <v>7</v>
      </c>
      <c r="B10" s="120" t="s">
        <v>385</v>
      </c>
      <c r="C10" s="120">
        <v>7</v>
      </c>
      <c r="D10" s="121" t="s">
        <v>386</v>
      </c>
      <c r="E10" s="122" t="s">
        <v>387</v>
      </c>
      <c r="F10" s="123"/>
    </row>
    <row r="11" spans="1:6" s="116" customFormat="1" ht="20.100000000000001" customHeight="1">
      <c r="A11" s="119">
        <v>8</v>
      </c>
      <c r="B11" s="120" t="s">
        <v>388</v>
      </c>
      <c r="C11" s="120">
        <v>8</v>
      </c>
      <c r="D11" s="121" t="s">
        <v>389</v>
      </c>
      <c r="E11" s="122" t="s">
        <v>390</v>
      </c>
      <c r="F11" s="123"/>
    </row>
    <row r="12" spans="1:6" s="116" customFormat="1" ht="20.100000000000001" customHeight="1">
      <c r="A12" s="119">
        <v>9</v>
      </c>
      <c r="B12" s="124" t="s">
        <v>391</v>
      </c>
      <c r="C12" s="124">
        <v>9</v>
      </c>
      <c r="D12" s="302"/>
      <c r="E12" s="443" t="s">
        <v>392</v>
      </c>
      <c r="F12" s="125" t="s">
        <v>393</v>
      </c>
    </row>
    <row r="13" spans="1:6" s="116" customFormat="1" ht="21" customHeight="1">
      <c r="A13" s="119">
        <v>10</v>
      </c>
      <c r="B13" s="124" t="s">
        <v>394</v>
      </c>
      <c r="C13" s="124">
        <v>10</v>
      </c>
      <c r="D13" s="302"/>
      <c r="E13" s="443"/>
      <c r="F13" s="125" t="s">
        <v>395</v>
      </c>
    </row>
    <row r="14" spans="1:6" s="116" customFormat="1" ht="21" customHeight="1">
      <c r="A14" s="119">
        <v>11</v>
      </c>
      <c r="B14" s="124" t="s">
        <v>396</v>
      </c>
      <c r="C14" s="124">
        <v>11</v>
      </c>
      <c r="D14" s="302"/>
      <c r="E14" s="443"/>
      <c r="F14" s="125" t="s">
        <v>397</v>
      </c>
    </row>
    <row r="15" spans="1:6" s="116" customFormat="1" ht="20.100000000000001" customHeight="1">
      <c r="A15" s="119">
        <v>12</v>
      </c>
      <c r="B15" s="124" t="s">
        <v>398</v>
      </c>
      <c r="C15" s="124">
        <v>12</v>
      </c>
      <c r="D15" s="302"/>
      <c r="E15" s="443"/>
      <c r="F15" s="125" t="s">
        <v>399</v>
      </c>
    </row>
    <row r="16" spans="1:6" s="127" customFormat="1" ht="18" customHeight="1">
      <c r="A16" s="111" t="s">
        <v>400</v>
      </c>
      <c r="B16" s="111">
        <f>COUNTA(B4:B15)</f>
        <v>12</v>
      </c>
      <c r="C16" s="111"/>
      <c r="D16" s="126"/>
      <c r="E16" s="126"/>
      <c r="F16" s="126"/>
    </row>
  </sheetData>
  <mergeCells count="6">
    <mergeCell ref="F2:F3"/>
    <mergeCell ref="E12:E15"/>
    <mergeCell ref="A1:B1"/>
    <mergeCell ref="A2:A3"/>
    <mergeCell ref="B2:C2"/>
    <mergeCell ref="D2:E2"/>
  </mergeCells>
  <phoneticPr fontId="1" type="noConversion"/>
  <pageMargins left="0.7" right="0.7" top="0.75" bottom="0.75" header="0.3" footer="0.3"/>
  <pageSetup paperSize="9" scale="61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79998168889431442"/>
    <pageSetUpPr fitToPage="1"/>
  </sheetPr>
  <dimension ref="A1:L34"/>
  <sheetViews>
    <sheetView zoomScaleNormal="100" zoomScaleSheetLayoutView="70" workbookViewId="0">
      <selection activeCell="C10" sqref="C10"/>
    </sheetView>
  </sheetViews>
  <sheetFormatPr defaultColWidth="55.625" defaultRowHeight="16.5"/>
  <cols>
    <col min="1" max="1" width="8.625" style="1" bestFit="1" customWidth="1"/>
    <col min="2" max="2" width="10.75" style="1" customWidth="1"/>
    <col min="3" max="3" width="28.125" style="1" customWidth="1"/>
    <col min="4" max="5" width="10.375" style="1" bestFit="1" customWidth="1"/>
    <col min="6" max="6" width="13.375" style="1" customWidth="1"/>
    <col min="7" max="7" width="18.875" style="1" bestFit="1" customWidth="1"/>
    <col min="8" max="8" width="56.125" style="1" customWidth="1"/>
    <col min="9" max="9" width="23" style="2" bestFit="1" customWidth="1"/>
    <col min="10" max="10" width="29.125" style="86" bestFit="1" customWidth="1"/>
    <col min="11" max="11" width="13" style="2" bestFit="1" customWidth="1"/>
    <col min="12" max="12" width="13.75" style="2" bestFit="1" customWidth="1"/>
    <col min="13" max="16384" width="55.625" style="1"/>
  </cols>
  <sheetData>
    <row r="1" spans="1:12" ht="41.25">
      <c r="A1" s="448" t="str">
        <f>CONCATENATE("인터페이스 목록 (총 ", MAX(A2:A12335), "개)")</f>
        <v>인터페이스 목록 (총 26개)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50"/>
    </row>
    <row r="2" spans="1:12" ht="27">
      <c r="A2" s="4" t="s">
        <v>2</v>
      </c>
      <c r="B2" s="4" t="s">
        <v>1</v>
      </c>
      <c r="C2" s="4" t="s">
        <v>36</v>
      </c>
      <c r="D2" s="3" t="s">
        <v>32</v>
      </c>
      <c r="E2" s="3" t="s">
        <v>35</v>
      </c>
      <c r="F2" s="4" t="s">
        <v>33</v>
      </c>
      <c r="G2" s="4" t="s">
        <v>37</v>
      </c>
      <c r="H2" s="4" t="s">
        <v>34</v>
      </c>
      <c r="I2" s="4" t="s">
        <v>3</v>
      </c>
      <c r="J2" s="3" t="s">
        <v>5</v>
      </c>
      <c r="K2" s="3" t="s">
        <v>4</v>
      </c>
      <c r="L2" s="3" t="s">
        <v>137</v>
      </c>
    </row>
    <row r="3" spans="1:12">
      <c r="A3" s="31">
        <v>1</v>
      </c>
      <c r="B3" s="32" t="s">
        <v>18</v>
      </c>
      <c r="C3" s="69" t="s">
        <v>19</v>
      </c>
      <c r="D3" s="31" t="s">
        <v>1388</v>
      </c>
      <c r="E3" s="31" t="s">
        <v>0</v>
      </c>
      <c r="F3" s="33" t="s">
        <v>20</v>
      </c>
      <c r="G3" s="34" t="str">
        <f t="shared" ref="G3:G28" si="0">CONCATENATE(LEFT(D3,1),2,LEFT(E3,1),"_",F3)</f>
        <v>O2W_APK_KEY</v>
      </c>
      <c r="H3" s="35" t="s">
        <v>21</v>
      </c>
      <c r="I3" s="32" t="str">
        <f>C3</f>
        <v>API KEY 발행</v>
      </c>
      <c r="J3" s="92" t="s">
        <v>759</v>
      </c>
      <c r="K3" s="94"/>
      <c r="L3" s="36" t="s">
        <v>138</v>
      </c>
    </row>
    <row r="4" spans="1:12">
      <c r="A4" s="37">
        <v>2</v>
      </c>
      <c r="B4" s="454" t="s">
        <v>16</v>
      </c>
      <c r="C4" s="70" t="s">
        <v>22</v>
      </c>
      <c r="D4" s="37" t="s">
        <v>7</v>
      </c>
      <c r="E4" s="37" t="s">
        <v>0</v>
      </c>
      <c r="F4" s="38" t="s">
        <v>23</v>
      </c>
      <c r="G4" s="39" t="str">
        <f t="shared" si="0"/>
        <v>E2W_PROD_REG</v>
      </c>
      <c r="H4" s="40" t="s">
        <v>25</v>
      </c>
      <c r="I4" s="142" t="str">
        <f t="shared" ref="I4:I6" si="1">C4</f>
        <v>품목 등록</v>
      </c>
      <c r="J4" s="91"/>
      <c r="K4" s="95"/>
      <c r="L4" s="244" t="s">
        <v>1381</v>
      </c>
    </row>
    <row r="5" spans="1:12">
      <c r="A5" s="37">
        <v>3</v>
      </c>
      <c r="B5" s="455"/>
      <c r="C5" s="70" t="s">
        <v>146</v>
      </c>
      <c r="D5" s="37" t="s">
        <v>7</v>
      </c>
      <c r="E5" s="37" t="s">
        <v>148</v>
      </c>
      <c r="F5" s="38" t="s">
        <v>24</v>
      </c>
      <c r="G5" s="39" t="str">
        <f t="shared" si="0"/>
        <v>E2W_CONT_REG</v>
      </c>
      <c r="H5" s="40" t="s">
        <v>160</v>
      </c>
      <c r="I5" s="142" t="str">
        <f t="shared" si="1"/>
        <v>거래처 등록</v>
      </c>
      <c r="J5" s="93"/>
      <c r="K5" s="95"/>
      <c r="L5" s="244" t="s">
        <v>1381</v>
      </c>
    </row>
    <row r="6" spans="1:12">
      <c r="A6" s="37">
        <v>4</v>
      </c>
      <c r="B6" s="456"/>
      <c r="C6" s="70" t="s">
        <v>147</v>
      </c>
      <c r="D6" s="37" t="s">
        <v>149</v>
      </c>
      <c r="E6" s="37" t="s">
        <v>1380</v>
      </c>
      <c r="F6" s="38" t="s">
        <v>156</v>
      </c>
      <c r="G6" s="39" t="str">
        <f t="shared" si="0"/>
        <v>W2E_EMP_CHK</v>
      </c>
      <c r="H6" s="40" t="s">
        <v>157</v>
      </c>
      <c r="I6" s="142" t="str">
        <f t="shared" si="1"/>
        <v>사번체크</v>
      </c>
      <c r="J6" s="93"/>
      <c r="K6" s="95"/>
      <c r="L6" s="244" t="s">
        <v>1381</v>
      </c>
    </row>
    <row r="7" spans="1:12">
      <c r="A7" s="71">
        <v>5</v>
      </c>
      <c r="B7" s="459" t="s">
        <v>6</v>
      </c>
      <c r="C7" s="77" t="s">
        <v>30</v>
      </c>
      <c r="D7" s="71" t="s">
        <v>7</v>
      </c>
      <c r="E7" s="71" t="s">
        <v>0</v>
      </c>
      <c r="F7" s="72" t="s">
        <v>2464</v>
      </c>
      <c r="G7" s="73" t="str">
        <f t="shared" si="0"/>
        <v>E2W_IW_PO_REG</v>
      </c>
      <c r="H7" s="74" t="s">
        <v>29</v>
      </c>
      <c r="I7" s="75" t="str">
        <f>C7</f>
        <v>입고예정 등록</v>
      </c>
      <c r="J7" s="87"/>
      <c r="K7" s="96"/>
      <c r="L7" s="76" t="s">
        <v>1382</v>
      </c>
    </row>
    <row r="8" spans="1:12">
      <c r="A8" s="71">
        <v>6</v>
      </c>
      <c r="B8" s="460"/>
      <c r="C8" s="77" t="s">
        <v>2240</v>
      </c>
      <c r="D8" s="71" t="s">
        <v>7</v>
      </c>
      <c r="E8" s="71" t="s">
        <v>2241</v>
      </c>
      <c r="F8" s="72" t="s">
        <v>2465</v>
      </c>
      <c r="G8" s="73" t="str">
        <f t="shared" ref="G8" si="2">CONCATENATE(LEFT(D8,1),2,LEFT(E8,1),"_",F8)</f>
        <v>E2W_IW_STO_REG</v>
      </c>
      <c r="H8" s="74" t="s">
        <v>2242</v>
      </c>
      <c r="I8" s="75" t="str">
        <f t="shared" ref="I8" si="3">C8</f>
        <v>예외입고_등록</v>
      </c>
      <c r="J8" s="87"/>
      <c r="K8" s="87"/>
      <c r="L8" s="76" t="s">
        <v>1381</v>
      </c>
    </row>
    <row r="9" spans="1:12">
      <c r="A9" s="71">
        <v>7</v>
      </c>
      <c r="B9" s="460"/>
      <c r="C9" s="77" t="s">
        <v>142</v>
      </c>
      <c r="D9" s="71" t="s">
        <v>0</v>
      </c>
      <c r="E9" s="71" t="s">
        <v>7</v>
      </c>
      <c r="F9" s="72" t="s">
        <v>684</v>
      </c>
      <c r="G9" s="73" t="str">
        <f t="shared" si="0"/>
        <v>W2E_IW_PO_CFM</v>
      </c>
      <c r="H9" s="74" t="s">
        <v>143</v>
      </c>
      <c r="I9" s="75" t="str">
        <f t="shared" ref="I9:I11" si="4">C9</f>
        <v>입고마감</v>
      </c>
      <c r="J9" s="87"/>
      <c r="K9" s="87"/>
      <c r="L9" s="76" t="s">
        <v>1385</v>
      </c>
    </row>
    <row r="10" spans="1:12" s="67" customFormat="1">
      <c r="A10" s="4">
        <v>8</v>
      </c>
      <c r="B10" s="461" t="s">
        <v>26</v>
      </c>
      <c r="C10" s="78" t="s">
        <v>31</v>
      </c>
      <c r="D10" s="4" t="s">
        <v>650</v>
      </c>
      <c r="E10" s="4" t="s">
        <v>0</v>
      </c>
      <c r="F10" s="22" t="s">
        <v>675</v>
      </c>
      <c r="G10" s="23" t="str">
        <f t="shared" si="0"/>
        <v>O2W_RT_REG</v>
      </c>
      <c r="H10" s="24" t="s">
        <v>27</v>
      </c>
      <c r="I10" s="3" t="str">
        <f t="shared" si="4"/>
        <v>반품예정 등록</v>
      </c>
      <c r="J10" s="88" t="s">
        <v>758</v>
      </c>
      <c r="K10" s="97"/>
      <c r="L10" s="25" t="s">
        <v>138</v>
      </c>
    </row>
    <row r="11" spans="1:12">
      <c r="A11" s="4">
        <v>9</v>
      </c>
      <c r="B11" s="462"/>
      <c r="C11" s="78" t="s">
        <v>656</v>
      </c>
      <c r="D11" s="4" t="s">
        <v>0</v>
      </c>
      <c r="E11" s="4" t="s">
        <v>7</v>
      </c>
      <c r="F11" s="22" t="s">
        <v>678</v>
      </c>
      <c r="G11" s="23" t="str">
        <f>CONCATENATE(LEFT(D11,1),2,LEFT(E11,1),"_",F11)</f>
        <v>W2E_RT_CFM</v>
      </c>
      <c r="H11" s="24" t="s">
        <v>680</v>
      </c>
      <c r="I11" s="3" t="str">
        <f t="shared" si="4"/>
        <v>반품마감_ERP</v>
      </c>
      <c r="J11" s="88"/>
      <c r="K11" s="88"/>
      <c r="L11" s="25" t="s">
        <v>1381</v>
      </c>
    </row>
    <row r="12" spans="1:12">
      <c r="A12" s="4">
        <v>10</v>
      </c>
      <c r="B12" s="463"/>
      <c r="C12" s="78" t="s">
        <v>657</v>
      </c>
      <c r="D12" s="4" t="s">
        <v>0</v>
      </c>
      <c r="E12" s="4" t="s">
        <v>655</v>
      </c>
      <c r="F12" s="22" t="s">
        <v>679</v>
      </c>
      <c r="G12" s="23" t="str">
        <f t="shared" ref="G12" si="5">CONCATENATE(LEFT(D12,1),2,LEFT(E12,1),"_",F12)</f>
        <v>W2O_RT_CFM</v>
      </c>
      <c r="H12" s="24" t="s">
        <v>681</v>
      </c>
      <c r="I12" s="3" t="str">
        <f t="shared" ref="I12" si="6">C12</f>
        <v>반품마감_OMS</v>
      </c>
      <c r="J12" s="88" t="s">
        <v>3340</v>
      </c>
      <c r="K12" s="88"/>
      <c r="L12" s="25" t="s">
        <v>138</v>
      </c>
    </row>
    <row r="13" spans="1:12" s="67" customFormat="1">
      <c r="A13" s="26">
        <v>11</v>
      </c>
      <c r="B13" s="457" t="s">
        <v>161</v>
      </c>
      <c r="C13" s="80" t="s">
        <v>1383</v>
      </c>
      <c r="D13" s="26" t="s">
        <v>7</v>
      </c>
      <c r="E13" s="26" t="s">
        <v>0</v>
      </c>
      <c r="F13" s="28" t="s">
        <v>682</v>
      </c>
      <c r="G13" s="100" t="str">
        <f>CONCATENATE(LEFT(D13,1),2,LEFT(E13,1),"_",F13)</f>
        <v>E2W_EX_STO_REG</v>
      </c>
      <c r="H13" s="29" t="s">
        <v>637</v>
      </c>
      <c r="I13" s="27" t="str">
        <f>C13</f>
        <v>예외출고 등록</v>
      </c>
      <c r="J13" s="90"/>
      <c r="K13" s="99"/>
      <c r="L13" s="30" t="s">
        <v>1386</v>
      </c>
    </row>
    <row r="14" spans="1:12" s="67" customFormat="1">
      <c r="A14" s="26">
        <v>12</v>
      </c>
      <c r="B14" s="458"/>
      <c r="C14" s="80" t="s">
        <v>1384</v>
      </c>
      <c r="D14" s="26" t="s">
        <v>150</v>
      </c>
      <c r="E14" s="26" t="s">
        <v>151</v>
      </c>
      <c r="F14" s="28" t="s">
        <v>683</v>
      </c>
      <c r="G14" s="100" t="str">
        <f>CONCATENATE(LEFT(D14,1),2,LEFT(E14,1),"_",F14)</f>
        <v>W2E_EX_STO_CFM</v>
      </c>
      <c r="H14" s="29" t="s">
        <v>636</v>
      </c>
      <c r="I14" s="27" t="str">
        <f>C14</f>
        <v>예외출고 마감</v>
      </c>
      <c r="J14" s="90"/>
      <c r="K14" s="99"/>
      <c r="L14" s="30" t="s">
        <v>1381</v>
      </c>
    </row>
    <row r="15" spans="1:12" s="67" customFormat="1">
      <c r="A15" s="41">
        <v>13</v>
      </c>
      <c r="B15" s="451" t="s">
        <v>28</v>
      </c>
      <c r="C15" s="79" t="s">
        <v>658</v>
      </c>
      <c r="D15" s="41" t="s">
        <v>152</v>
      </c>
      <c r="E15" s="41" t="s">
        <v>0</v>
      </c>
      <c r="F15" s="42" t="s">
        <v>663</v>
      </c>
      <c r="G15" s="43" t="str">
        <f t="shared" si="0"/>
        <v>O2W_OB_SO_REG</v>
      </c>
      <c r="H15" s="44" t="s">
        <v>1641</v>
      </c>
      <c r="I15" s="45" t="str">
        <f t="shared" ref="I15:I19" si="7">C15</f>
        <v>출하예정 등록(판매출하)</v>
      </c>
      <c r="J15" s="89" t="s">
        <v>757</v>
      </c>
      <c r="K15" s="98"/>
      <c r="L15" s="46" t="s">
        <v>138</v>
      </c>
    </row>
    <row r="16" spans="1:12" s="67" customFormat="1">
      <c r="A16" s="41">
        <v>14</v>
      </c>
      <c r="B16" s="452"/>
      <c r="C16" s="79" t="s">
        <v>659</v>
      </c>
      <c r="D16" s="41" t="s">
        <v>0</v>
      </c>
      <c r="E16" s="41" t="s">
        <v>777</v>
      </c>
      <c r="F16" s="42" t="s">
        <v>661</v>
      </c>
      <c r="G16" s="43" t="str">
        <f t="shared" ref="G16" si="8">CONCATENATE(LEFT(D16,1),2,LEFT(E16,1),"_",F16)</f>
        <v>W2O_OB_CLO_REG</v>
      </c>
      <c r="H16" s="44" t="s">
        <v>778</v>
      </c>
      <c r="I16" s="45" t="str">
        <f t="shared" si="7"/>
        <v>출하예정 등록(마감후출하)</v>
      </c>
      <c r="J16" s="89" t="s">
        <v>776</v>
      </c>
      <c r="K16" s="98"/>
      <c r="L16" s="46" t="s">
        <v>138</v>
      </c>
    </row>
    <row r="17" spans="1:12" s="67" customFormat="1">
      <c r="A17" s="41">
        <v>15</v>
      </c>
      <c r="B17" s="452"/>
      <c r="C17" s="79" t="s">
        <v>660</v>
      </c>
      <c r="D17" s="41" t="s">
        <v>152</v>
      </c>
      <c r="E17" s="41" t="s">
        <v>0</v>
      </c>
      <c r="F17" s="42" t="s">
        <v>662</v>
      </c>
      <c r="G17" s="43" t="str">
        <f t="shared" ref="G17" si="9">CONCATENATE(LEFT(D17,1),2,LEFT(E17,1),"_",F17)</f>
        <v>O2W_OB_CLE_REG</v>
      </c>
      <c r="H17" s="44" t="s">
        <v>666</v>
      </c>
      <c r="I17" s="45" t="str">
        <f t="shared" si="7"/>
        <v>출하예정 등록(삭제오더)</v>
      </c>
      <c r="J17" s="89" t="s">
        <v>754</v>
      </c>
      <c r="K17" s="98"/>
      <c r="L17" s="46" t="s">
        <v>138</v>
      </c>
    </row>
    <row r="18" spans="1:12" s="67" customFormat="1">
      <c r="A18" s="41">
        <v>16</v>
      </c>
      <c r="B18" s="452"/>
      <c r="C18" s="79" t="s">
        <v>687</v>
      </c>
      <c r="D18" s="41" t="s">
        <v>152</v>
      </c>
      <c r="E18" s="41" t="s">
        <v>0</v>
      </c>
      <c r="F18" s="42" t="s">
        <v>664</v>
      </c>
      <c r="G18" s="43" t="str">
        <f t="shared" ref="G18" si="10">CONCATENATE(LEFT(D18,1),2,LEFT(E18,1),"_",F18)</f>
        <v>O2W_OB_SO_DEL</v>
      </c>
      <c r="H18" s="44" t="s">
        <v>688</v>
      </c>
      <c r="I18" s="45" t="str">
        <f t="shared" si="7"/>
        <v>출하예정 삭제(판매출하)</v>
      </c>
      <c r="J18" s="89" t="s">
        <v>755</v>
      </c>
      <c r="K18" s="98"/>
      <c r="L18" s="46" t="s">
        <v>138</v>
      </c>
    </row>
    <row r="19" spans="1:12" s="67" customFormat="1">
      <c r="A19" s="41">
        <v>17</v>
      </c>
      <c r="B19" s="452"/>
      <c r="C19" s="79" t="s">
        <v>686</v>
      </c>
      <c r="D19" s="41" t="s">
        <v>152</v>
      </c>
      <c r="E19" s="41" t="s">
        <v>0</v>
      </c>
      <c r="F19" s="42" t="s">
        <v>665</v>
      </c>
      <c r="G19" s="43" t="str">
        <f t="shared" ref="G19" si="11">CONCATENATE(LEFT(D19,1),2,LEFT(E19,1),"_",F19)</f>
        <v>O2W_OB_CLE_DEL</v>
      </c>
      <c r="H19" s="44" t="s">
        <v>686</v>
      </c>
      <c r="I19" s="45" t="str">
        <f t="shared" si="7"/>
        <v>출하예정 삭제(삭제오더)</v>
      </c>
      <c r="J19" s="89" t="s">
        <v>756</v>
      </c>
      <c r="K19" s="98"/>
      <c r="L19" s="46" t="s">
        <v>138</v>
      </c>
    </row>
    <row r="20" spans="1:12" s="67" customFormat="1">
      <c r="A20" s="41">
        <v>18</v>
      </c>
      <c r="B20" s="452"/>
      <c r="C20" s="79" t="s">
        <v>761</v>
      </c>
      <c r="D20" s="41" t="s">
        <v>153</v>
      </c>
      <c r="E20" s="41" t="s">
        <v>152</v>
      </c>
      <c r="F20" s="42" t="s">
        <v>685</v>
      </c>
      <c r="G20" s="43" t="str">
        <f t="shared" ref="G20:G22" si="12">CONCATENATE(LEFT(D20,1),2,LEFT(E20,1),"_",F20)</f>
        <v>W2O_OB_STS_CHG</v>
      </c>
      <c r="H20" s="44" t="s">
        <v>158</v>
      </c>
      <c r="I20" s="45" t="str">
        <f t="shared" ref="I20:I28" si="13">C20</f>
        <v>출하 상태변경</v>
      </c>
      <c r="J20" s="89" t="s">
        <v>772</v>
      </c>
      <c r="K20" s="98"/>
      <c r="L20" s="46" t="s">
        <v>138</v>
      </c>
    </row>
    <row r="21" spans="1:12" s="67" customFormat="1">
      <c r="A21" s="41">
        <v>19</v>
      </c>
      <c r="B21" s="452"/>
      <c r="C21" s="79" t="s">
        <v>300</v>
      </c>
      <c r="D21" s="41" t="s">
        <v>0</v>
      </c>
      <c r="E21" s="41" t="s">
        <v>152</v>
      </c>
      <c r="F21" s="42" t="s">
        <v>306</v>
      </c>
      <c r="G21" s="43" t="str">
        <f t="shared" si="12"/>
        <v>W2O_OB_CLO_ODR</v>
      </c>
      <c r="H21" s="44" t="s">
        <v>303</v>
      </c>
      <c r="I21" s="45" t="str">
        <f t="shared" si="13"/>
        <v>마감 후 출하승인 결과</v>
      </c>
      <c r="J21" s="89" t="s">
        <v>773</v>
      </c>
      <c r="K21" s="98"/>
      <c r="L21" s="46" t="s">
        <v>138</v>
      </c>
    </row>
    <row r="22" spans="1:12" s="67" customFormat="1">
      <c r="A22" s="41">
        <v>20</v>
      </c>
      <c r="B22" s="452"/>
      <c r="C22" s="79" t="s">
        <v>301</v>
      </c>
      <c r="D22" s="41" t="s">
        <v>0</v>
      </c>
      <c r="E22" s="41" t="s">
        <v>152</v>
      </c>
      <c r="F22" s="42" t="s">
        <v>308</v>
      </c>
      <c r="G22" s="43" t="str">
        <f t="shared" si="12"/>
        <v>W2O_OB_NOB_ODR</v>
      </c>
      <c r="H22" s="44" t="s">
        <v>304</v>
      </c>
      <c r="I22" s="45" t="str">
        <f t="shared" si="13"/>
        <v>미출처리 처리결과</v>
      </c>
      <c r="J22" s="89" t="s">
        <v>774</v>
      </c>
      <c r="K22" s="98"/>
      <c r="L22" s="46" t="s">
        <v>138</v>
      </c>
    </row>
    <row r="23" spans="1:12" s="67" customFormat="1">
      <c r="A23" s="41">
        <v>21</v>
      </c>
      <c r="B23" s="452"/>
      <c r="C23" s="79" t="s">
        <v>302</v>
      </c>
      <c r="D23" s="41" t="s">
        <v>0</v>
      </c>
      <c r="E23" s="41" t="s">
        <v>152</v>
      </c>
      <c r="F23" s="42" t="s">
        <v>307</v>
      </c>
      <c r="G23" s="43" t="str">
        <f>CONCATENATE(LEFT(D23,1),2,LEFT(E23,1),"_",F23)</f>
        <v>W2O_OB_CLE_ODR</v>
      </c>
      <c r="H23" s="44" t="s">
        <v>305</v>
      </c>
      <c r="I23" s="45" t="str">
        <f t="shared" si="13"/>
        <v>삭제오더 처리결과</v>
      </c>
      <c r="J23" s="89" t="s">
        <v>775</v>
      </c>
      <c r="K23" s="98"/>
      <c r="L23" s="46" t="s">
        <v>138</v>
      </c>
    </row>
    <row r="24" spans="1:12" s="67" customFormat="1">
      <c r="A24" s="41">
        <v>22</v>
      </c>
      <c r="B24" s="452"/>
      <c r="C24" s="79" t="s">
        <v>3333</v>
      </c>
      <c r="D24" s="41" t="s">
        <v>152</v>
      </c>
      <c r="E24" s="41" t="s">
        <v>148</v>
      </c>
      <c r="F24" s="42" t="s">
        <v>3311</v>
      </c>
      <c r="G24" s="43" t="str">
        <f>CONCATENATE(LEFT(D24,1),2,LEFT(E24,1),"_",F24)</f>
        <v>O2W_OB_PROD_PRICE</v>
      </c>
      <c r="H24" s="44" t="s">
        <v>3334</v>
      </c>
      <c r="I24" s="45" t="str">
        <f t="shared" si="13"/>
        <v>주문 품목단가수정</v>
      </c>
      <c r="J24" s="89" t="s">
        <v>3339</v>
      </c>
      <c r="K24" s="98"/>
      <c r="L24" s="46" t="s">
        <v>138</v>
      </c>
    </row>
    <row r="25" spans="1:12" s="67" customFormat="1">
      <c r="A25" s="41">
        <v>23</v>
      </c>
      <c r="B25" s="452"/>
      <c r="C25" s="79" t="s">
        <v>154</v>
      </c>
      <c r="D25" s="41" t="s">
        <v>153</v>
      </c>
      <c r="E25" s="41" t="s">
        <v>155</v>
      </c>
      <c r="F25" s="42" t="s">
        <v>358</v>
      </c>
      <c r="G25" s="43" t="str">
        <f t="shared" ref="G25" si="14">CONCATENATE(LEFT(D25,1),2,LEFT(E25,1),"_",F25)</f>
        <v>W2T_OB_REG_DELV</v>
      </c>
      <c r="H25" s="44" t="s">
        <v>633</v>
      </c>
      <c r="I25" s="45" t="str">
        <f t="shared" si="13"/>
        <v>출고지시_배차요청</v>
      </c>
      <c r="J25" s="89"/>
      <c r="K25" s="98"/>
      <c r="L25" s="46" t="s">
        <v>138</v>
      </c>
    </row>
    <row r="26" spans="1:12" s="67" customFormat="1">
      <c r="A26" s="41">
        <v>24</v>
      </c>
      <c r="B26" s="452"/>
      <c r="C26" s="79" t="s">
        <v>689</v>
      </c>
      <c r="D26" s="41" t="s">
        <v>153</v>
      </c>
      <c r="E26" s="41" t="s">
        <v>155</v>
      </c>
      <c r="F26" s="42" t="s">
        <v>632</v>
      </c>
      <c r="G26" s="43" t="str">
        <f>CONCATENATE(LEFT(D26,1),2,LEFT(E26,1),"_",F26)</f>
        <v>W2T_OB_UDP_DELV</v>
      </c>
      <c r="H26" s="44" t="s">
        <v>634</v>
      </c>
      <c r="I26" s="45" t="str">
        <f t="shared" si="13"/>
        <v>출고지시_배차수정</v>
      </c>
      <c r="J26" s="89"/>
      <c r="K26" s="98"/>
      <c r="L26" s="46" t="s">
        <v>138</v>
      </c>
    </row>
    <row r="27" spans="1:12" s="67" customFormat="1">
      <c r="A27" s="41">
        <v>25</v>
      </c>
      <c r="B27" s="452"/>
      <c r="C27" s="79" t="s">
        <v>631</v>
      </c>
      <c r="D27" s="41" t="s">
        <v>153</v>
      </c>
      <c r="E27" s="41" t="s">
        <v>155</v>
      </c>
      <c r="F27" s="42" t="s">
        <v>159</v>
      </c>
      <c r="G27" s="43" t="str">
        <f t="shared" ref="G27" si="15">CONCATENATE(LEFT(D27,1),2,LEFT(E27,1),"_",F27)</f>
        <v>W2T_OB_PROC_LOD</v>
      </c>
      <c r="H27" s="44" t="s">
        <v>635</v>
      </c>
      <c r="I27" s="45" t="str">
        <f t="shared" si="13"/>
        <v>상차처리_배차및상하차결과</v>
      </c>
      <c r="J27" s="89"/>
      <c r="K27" s="98"/>
      <c r="L27" s="46" t="s">
        <v>138</v>
      </c>
    </row>
    <row r="28" spans="1:12">
      <c r="A28" s="41">
        <v>26</v>
      </c>
      <c r="B28" s="453"/>
      <c r="C28" s="79" t="s">
        <v>162</v>
      </c>
      <c r="D28" s="41" t="s">
        <v>0</v>
      </c>
      <c r="E28" s="41" t="s">
        <v>7</v>
      </c>
      <c r="F28" s="42" t="s">
        <v>677</v>
      </c>
      <c r="G28" s="43" t="str">
        <f t="shared" si="0"/>
        <v>W2E_OB_CFM</v>
      </c>
      <c r="H28" s="44" t="s">
        <v>676</v>
      </c>
      <c r="I28" s="45" t="str">
        <f t="shared" si="13"/>
        <v>출하처리_마감</v>
      </c>
      <c r="J28" s="89"/>
      <c r="K28" s="89"/>
      <c r="L28" s="46" t="s">
        <v>1387</v>
      </c>
    </row>
    <row r="30" spans="1:12" ht="41.25">
      <c r="A30" s="448" t="s">
        <v>3273</v>
      </c>
      <c r="B30" s="449"/>
      <c r="C30" s="449"/>
      <c r="D30" s="449"/>
      <c r="E30" s="449"/>
      <c r="F30" s="449"/>
      <c r="G30" s="449"/>
      <c r="H30" s="449"/>
      <c r="I30" s="449"/>
      <c r="J30" s="449"/>
      <c r="K30" s="449"/>
      <c r="L30" s="450"/>
    </row>
    <row r="31" spans="1:12" ht="27">
      <c r="A31" s="306" t="s">
        <v>2</v>
      </c>
      <c r="B31" s="306" t="s">
        <v>1</v>
      </c>
      <c r="C31" s="306" t="s">
        <v>36</v>
      </c>
      <c r="D31" s="3" t="s">
        <v>32</v>
      </c>
      <c r="E31" s="3" t="s">
        <v>35</v>
      </c>
      <c r="F31" s="306" t="s">
        <v>33</v>
      </c>
      <c r="G31" s="306" t="s">
        <v>37</v>
      </c>
      <c r="H31" s="306" t="s">
        <v>34</v>
      </c>
      <c r="I31" s="306" t="s">
        <v>3</v>
      </c>
      <c r="J31" s="3" t="s">
        <v>5</v>
      </c>
      <c r="K31" s="3" t="s">
        <v>4</v>
      </c>
      <c r="L31" s="3" t="s">
        <v>137</v>
      </c>
    </row>
    <row r="32" spans="1:12">
      <c r="A32" s="31">
        <v>1</v>
      </c>
      <c r="B32" s="32" t="s">
        <v>18</v>
      </c>
      <c r="C32" s="69" t="s">
        <v>3274</v>
      </c>
      <c r="D32" s="31" t="s">
        <v>3277</v>
      </c>
      <c r="E32" s="31" t="s">
        <v>0</v>
      </c>
      <c r="F32" s="33" t="s">
        <v>3278</v>
      </c>
      <c r="G32" s="34" t="str">
        <f t="shared" ref="G32:G34" si="16">CONCATENATE(LEFT(D32,1),2,LEFT(E32,1),"_",F32)</f>
        <v>E2W_VIEW</v>
      </c>
      <c r="H32" s="35" t="s">
        <v>3279</v>
      </c>
      <c r="I32" s="32" t="str">
        <f t="shared" ref="I32:I34" si="17">C32</f>
        <v>공통코드_ERP</v>
      </c>
      <c r="J32" s="92"/>
      <c r="K32" s="94"/>
      <c r="L32" s="36"/>
    </row>
    <row r="33" spans="1:12">
      <c r="A33" s="31">
        <v>2</v>
      </c>
      <c r="B33" s="32" t="s">
        <v>18</v>
      </c>
      <c r="C33" s="69" t="s">
        <v>3275</v>
      </c>
      <c r="D33" s="31" t="s">
        <v>3277</v>
      </c>
      <c r="E33" s="31" t="s">
        <v>0</v>
      </c>
      <c r="F33" s="33" t="s">
        <v>3278</v>
      </c>
      <c r="G33" s="34" t="str">
        <f t="shared" si="16"/>
        <v>E2W_VIEW</v>
      </c>
      <c r="H33" s="35" t="s">
        <v>3280</v>
      </c>
      <c r="I33" s="32" t="str">
        <f t="shared" si="17"/>
        <v>품목군_ERP</v>
      </c>
      <c r="J33" s="92"/>
      <c r="K33" s="94"/>
      <c r="L33" s="36"/>
    </row>
    <row r="34" spans="1:12">
      <c r="A34" s="31">
        <v>3</v>
      </c>
      <c r="B34" s="32" t="s">
        <v>18</v>
      </c>
      <c r="C34" s="69" t="s">
        <v>3276</v>
      </c>
      <c r="D34" s="31" t="s">
        <v>3277</v>
      </c>
      <c r="E34" s="31" t="s">
        <v>0</v>
      </c>
      <c r="F34" s="33" t="s">
        <v>3278</v>
      </c>
      <c r="G34" s="34" t="str">
        <f t="shared" si="16"/>
        <v>E2W_VIEW</v>
      </c>
      <c r="H34" s="35" t="s">
        <v>3281</v>
      </c>
      <c r="I34" s="32" t="str">
        <f t="shared" si="17"/>
        <v>창고정보_ERP</v>
      </c>
      <c r="J34" s="92"/>
      <c r="K34" s="94"/>
      <c r="L34" s="36"/>
    </row>
  </sheetData>
  <autoFilter ref="A2:L28"/>
  <mergeCells count="7">
    <mergeCell ref="A30:L30"/>
    <mergeCell ref="A1:L1"/>
    <mergeCell ref="B15:B28"/>
    <mergeCell ref="B4:B6"/>
    <mergeCell ref="B13:B14"/>
    <mergeCell ref="B7:B9"/>
    <mergeCell ref="B10:B12"/>
  </mergeCells>
  <phoneticPr fontId="1" type="noConversion"/>
  <hyperlinks>
    <hyperlink ref="C9" location="입고_마감!A1" display="입고마감"/>
    <hyperlink ref="C13" location="예외출고_등록!A1" display="예외출고 등록"/>
    <hyperlink ref="C11" location="반품_반품마감_ERP!A1" display="반품마감_ERP"/>
    <hyperlink ref="C5" location="기준_거래처_등록!A1" display="거래처 등록"/>
    <hyperlink ref="C10" location="'반품_반품예정 등록'!A1" display="반품예정 등록"/>
    <hyperlink ref="C4" location="기준_품목_등록!A1" display="품목 등록"/>
    <hyperlink ref="C28" location="출하_마감!A1" display="출하처리_마감"/>
    <hyperlink ref="C3" location="'공통_API_KEY 발행'!A1" display="API KEY 발행"/>
    <hyperlink ref="C7" location="입고_입고예정_등록!A1" display="입고예정 등록"/>
    <hyperlink ref="C20" location="출하_출하상태변경!A1" display="출하준비 상태변경"/>
    <hyperlink ref="C25" location="출하_T_배차요청!A1" display="출고지시_배차요청"/>
    <hyperlink ref="C26" location="'출하_T_배차요청 수정'!A1" display="출고지시_배차수정"/>
    <hyperlink ref="C27" location="'출하_T_배차 및 상하차 결과'!A1" display="상차처리_배차및상하차결과"/>
    <hyperlink ref="C6" location="기준_사번체크!A1" display="사번체크"/>
    <hyperlink ref="C14" location="예외출고_마감!A1" display="예외출고 마감"/>
    <hyperlink ref="C15" location="'출하_출하예정 등록(판매출하)'!Print_Area" display="출하예정 등록(판매출하)"/>
    <hyperlink ref="C18" location="'출하_출하예정 취소(판매출하)'!Print_Area" display="출하예정 취소(판매출하)"/>
    <hyperlink ref="C21" location="'출하_마감후출하 승인결과'!A1" display="마감 후 출하승인 결과"/>
    <hyperlink ref="C22" location="'출하_미출처리 처리결과'!A1" display="미출처리 처리결과"/>
    <hyperlink ref="C23" location="'출하_삭제오더 처리결과'!A1" display="삭제오더 처리결과"/>
    <hyperlink ref="C12" location="반품_반품마감_OMS!A1" display="반품마감_OMS"/>
    <hyperlink ref="C16" location="'출하_출하예정 등록(마감후출하)'!Print_Area" display="출하예정 등록(마감후출하)"/>
    <hyperlink ref="C17" location="'출하_출하예정 등록(삭제오더)'!Print_Area" display="출하예정 등록(삭제오더)"/>
    <hyperlink ref="C19" location="'출하_출하예정 취소(삭제오더)'!Print_Area" display="출하예정 취소(삭제오더)"/>
    <hyperlink ref="C8" location="입고_예외입고_등록!A1" display="예외입고_등록"/>
    <hyperlink ref="C32" location="'공통 코드'!A1" display="공통코드_ERP"/>
    <hyperlink ref="C33" location="품목군!A1" display="품목군_ERP"/>
    <hyperlink ref="C34" location="창고정보!A1" display="창고정보_ERP"/>
    <hyperlink ref="C24" location="'출하_주문 품목단가수정'!A1" display="주문 품목단가수정"/>
  </hyperlinks>
  <pageMargins left="0.7" right="0.7" top="0.75" bottom="0.75" header="0.3" footer="0.3"/>
  <pageSetup paperSize="9"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C23"/>
  <sheetViews>
    <sheetView zoomScaleNormal="100" zoomScaleSheetLayoutView="100" zoomScalePageLayoutView="55" workbookViewId="0"/>
  </sheetViews>
  <sheetFormatPr defaultColWidth="3" defaultRowHeight="13.5"/>
  <cols>
    <col min="1" max="1" width="4.375" style="48" customWidth="1"/>
    <col min="2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ERP_인터페이스목록!C3</f>
        <v>API KEY 발행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ERP_인터페이스목록!G3</f>
        <v>O2W_APK_KEY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str">
        <f>ERP_인터페이스목록!J3</f>
        <v>/{bizSeq}/sif/wms/apikey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42</v>
      </c>
      <c r="C4" s="516"/>
      <c r="D4" s="516"/>
      <c r="E4" s="515" t="str">
        <f>ERP_인터페이스목록!L3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6" customHeight="1"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/>
      <c r="P5" s="504"/>
      <c r="Q5" s="504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</row>
    <row r="6" spans="1:29" ht="15" customHeight="1">
      <c r="B6" s="506" t="s">
        <v>45</v>
      </c>
      <c r="C6" s="506"/>
      <c r="D6" s="506"/>
      <c r="E6" s="506"/>
      <c r="F6" s="507"/>
      <c r="G6" s="508"/>
      <c r="H6" s="508"/>
      <c r="I6" s="508"/>
      <c r="J6" s="508"/>
      <c r="K6" s="508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8"/>
      <c r="Y6" s="508"/>
      <c r="Z6" s="508"/>
      <c r="AA6" s="508"/>
      <c r="AB6" s="508"/>
      <c r="AC6" s="508"/>
    </row>
    <row r="7" spans="1:29" ht="15" customHeight="1">
      <c r="B7" s="4" t="s">
        <v>46</v>
      </c>
      <c r="C7" s="500" t="s">
        <v>47</v>
      </c>
      <c r="D7" s="500"/>
      <c r="E7" s="500"/>
      <c r="F7" s="500"/>
      <c r="G7" s="500"/>
      <c r="H7" s="500"/>
      <c r="I7" s="500"/>
      <c r="J7" s="500"/>
      <c r="K7" s="500" t="s">
        <v>93</v>
      </c>
      <c r="L7" s="500"/>
      <c r="M7" s="500"/>
      <c r="N7" s="500"/>
      <c r="O7" s="512" t="s">
        <v>49</v>
      </c>
      <c r="P7" s="513"/>
      <c r="Q7" s="500" t="s">
        <v>50</v>
      </c>
      <c r="R7" s="500"/>
      <c r="S7" s="500" t="s">
        <v>51</v>
      </c>
      <c r="T7" s="500"/>
      <c r="U7" s="500" t="s">
        <v>52</v>
      </c>
      <c r="V7" s="500"/>
      <c r="W7" s="500" t="s">
        <v>53</v>
      </c>
      <c r="X7" s="500"/>
      <c r="Y7" s="500"/>
      <c r="Z7" s="500"/>
      <c r="AA7" s="500"/>
      <c r="AB7" s="500"/>
      <c r="AC7" s="500"/>
    </row>
    <row r="8" spans="1:29" ht="30.75" customHeight="1">
      <c r="B8" s="49">
        <v>1</v>
      </c>
      <c r="C8" s="50" t="s">
        <v>54</v>
      </c>
      <c r="D8" s="51"/>
      <c r="E8" s="51"/>
      <c r="F8" s="51"/>
      <c r="G8" s="51"/>
      <c r="H8" s="51"/>
      <c r="I8" s="51"/>
      <c r="J8" s="52"/>
      <c r="K8" s="509" t="s">
        <v>55</v>
      </c>
      <c r="L8" s="510"/>
      <c r="M8" s="510"/>
      <c r="N8" s="511"/>
      <c r="O8" s="467" t="s">
        <v>56</v>
      </c>
      <c r="P8" s="468"/>
      <c r="Q8" s="467">
        <v>10</v>
      </c>
      <c r="R8" s="468"/>
      <c r="S8" s="467"/>
      <c r="T8" s="468"/>
      <c r="U8" s="467" t="s">
        <v>64</v>
      </c>
      <c r="V8" s="468"/>
      <c r="W8" s="493" t="s">
        <v>163</v>
      </c>
      <c r="X8" s="484"/>
      <c r="Y8" s="484"/>
      <c r="Z8" s="484"/>
      <c r="AA8" s="484"/>
      <c r="AB8" s="484"/>
      <c r="AC8" s="485"/>
    </row>
    <row r="9" spans="1:29">
      <c r="B9" s="49">
        <v>1</v>
      </c>
      <c r="C9" s="50" t="s">
        <v>81</v>
      </c>
      <c r="D9" s="50"/>
      <c r="E9" s="51"/>
      <c r="F9" s="51"/>
      <c r="G9" s="51"/>
      <c r="H9" s="51"/>
      <c r="I9" s="51"/>
      <c r="J9" s="52"/>
      <c r="K9" s="501" t="s">
        <v>82</v>
      </c>
      <c r="L9" s="501"/>
      <c r="M9" s="501"/>
      <c r="N9" s="501"/>
      <c r="O9" s="502" t="s">
        <v>62</v>
      </c>
      <c r="P9" s="502"/>
      <c r="Q9" s="502">
        <v>20</v>
      </c>
      <c r="R9" s="502"/>
      <c r="S9" s="502"/>
      <c r="T9" s="502"/>
      <c r="U9" s="502" t="s">
        <v>64</v>
      </c>
      <c r="V9" s="502"/>
      <c r="W9" s="503" t="s">
        <v>83</v>
      </c>
      <c r="X9" s="501"/>
      <c r="Y9" s="501"/>
      <c r="Z9" s="501"/>
      <c r="AA9" s="501"/>
      <c r="AB9" s="501"/>
      <c r="AC9" s="501"/>
    </row>
    <row r="10" spans="1:29">
      <c r="B10" s="49">
        <v>1</v>
      </c>
      <c r="C10" s="50" t="s">
        <v>84</v>
      </c>
      <c r="D10" s="50"/>
      <c r="E10" s="51"/>
      <c r="F10" s="51"/>
      <c r="G10" s="51"/>
      <c r="H10" s="51"/>
      <c r="I10" s="51"/>
      <c r="J10" s="52"/>
      <c r="K10" s="501" t="s">
        <v>85</v>
      </c>
      <c r="L10" s="501"/>
      <c r="M10" s="501"/>
      <c r="N10" s="501"/>
      <c r="O10" s="502" t="s">
        <v>62</v>
      </c>
      <c r="P10" s="502"/>
      <c r="Q10" s="502">
        <v>100</v>
      </c>
      <c r="R10" s="502"/>
      <c r="S10" s="502"/>
      <c r="T10" s="502"/>
      <c r="U10" s="502" t="s">
        <v>94</v>
      </c>
      <c r="V10" s="502"/>
      <c r="W10" s="503" t="s">
        <v>123</v>
      </c>
      <c r="X10" s="501"/>
      <c r="Y10" s="501"/>
      <c r="Z10" s="501"/>
      <c r="AA10" s="501"/>
      <c r="AB10" s="501"/>
      <c r="AC10" s="501"/>
    </row>
    <row r="11" spans="1:29">
      <c r="B11" s="504"/>
      <c r="C11" s="504"/>
      <c r="D11" s="504"/>
      <c r="E11" s="504"/>
      <c r="F11" s="504"/>
      <c r="G11" s="504"/>
      <c r="H11" s="504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5"/>
      <c r="X11" s="505"/>
      <c r="Y11" s="505"/>
      <c r="Z11" s="505"/>
      <c r="AA11" s="505"/>
      <c r="AB11" s="505"/>
    </row>
    <row r="12" spans="1:29">
      <c r="B12" s="506" t="s">
        <v>73</v>
      </c>
      <c r="C12" s="506"/>
      <c r="D12" s="506"/>
      <c r="E12" s="506"/>
      <c r="F12" s="507"/>
      <c r="G12" s="508"/>
      <c r="H12" s="508"/>
      <c r="I12" s="508"/>
      <c r="J12" s="508"/>
      <c r="K12" s="508"/>
      <c r="L12" s="508"/>
      <c r="M12" s="508"/>
      <c r="N12" s="508"/>
      <c r="O12" s="508"/>
      <c r="P12" s="508"/>
      <c r="Q12" s="508"/>
      <c r="R12" s="508"/>
      <c r="S12" s="508"/>
      <c r="T12" s="508"/>
      <c r="U12" s="508"/>
      <c r="V12" s="508"/>
      <c r="W12" s="508"/>
      <c r="X12" s="508"/>
      <c r="Y12" s="508"/>
      <c r="Z12" s="508"/>
      <c r="AA12" s="508"/>
      <c r="AB12" s="508"/>
      <c r="AC12" s="508"/>
    </row>
    <row r="13" spans="1:29">
      <c r="B13" s="4" t="s">
        <v>46</v>
      </c>
      <c r="C13" s="500" t="s">
        <v>47</v>
      </c>
      <c r="D13" s="500"/>
      <c r="E13" s="500"/>
      <c r="F13" s="500"/>
      <c r="G13" s="500"/>
      <c r="H13" s="500"/>
      <c r="I13" s="500"/>
      <c r="J13" s="500"/>
      <c r="K13" s="500" t="s">
        <v>48</v>
      </c>
      <c r="L13" s="500"/>
      <c r="M13" s="500"/>
      <c r="N13" s="500"/>
      <c r="O13" s="500" t="s">
        <v>49</v>
      </c>
      <c r="P13" s="500"/>
      <c r="Q13" s="500" t="s">
        <v>50</v>
      </c>
      <c r="R13" s="500"/>
      <c r="S13" s="500" t="s">
        <v>51</v>
      </c>
      <c r="T13" s="500"/>
      <c r="U13" s="500" t="s">
        <v>52</v>
      </c>
      <c r="V13" s="500"/>
      <c r="W13" s="500" t="s">
        <v>53</v>
      </c>
      <c r="X13" s="500"/>
      <c r="Y13" s="500"/>
      <c r="Z13" s="500"/>
      <c r="AA13" s="500"/>
      <c r="AB13" s="500"/>
      <c r="AC13" s="500"/>
    </row>
    <row r="14" spans="1:29">
      <c r="B14" s="49">
        <v>1</v>
      </c>
      <c r="C14" s="50" t="s">
        <v>86</v>
      </c>
      <c r="D14" s="51"/>
      <c r="E14" s="51"/>
      <c r="F14" s="51"/>
      <c r="G14" s="51"/>
      <c r="H14" s="51"/>
      <c r="I14" s="51"/>
      <c r="J14" s="52"/>
      <c r="K14" s="490" t="s">
        <v>87</v>
      </c>
      <c r="L14" s="491"/>
      <c r="M14" s="491"/>
      <c r="N14" s="492"/>
      <c r="O14" s="467" t="s">
        <v>95</v>
      </c>
      <c r="P14" s="468"/>
      <c r="Q14" s="467">
        <v>20</v>
      </c>
      <c r="R14" s="468"/>
      <c r="S14" s="467"/>
      <c r="T14" s="468"/>
      <c r="U14" s="467" t="s">
        <v>64</v>
      </c>
      <c r="V14" s="468"/>
      <c r="W14" s="493" t="s">
        <v>88</v>
      </c>
      <c r="X14" s="484"/>
      <c r="Y14" s="484"/>
      <c r="Z14" s="484"/>
      <c r="AA14" s="484"/>
      <c r="AB14" s="484"/>
      <c r="AC14" s="485"/>
    </row>
    <row r="15" spans="1:29">
      <c r="B15" s="49">
        <v>1</v>
      </c>
      <c r="C15" s="50" t="s">
        <v>89</v>
      </c>
      <c r="D15" s="51"/>
      <c r="E15" s="51"/>
      <c r="F15" s="51"/>
      <c r="G15" s="51"/>
      <c r="H15" s="51"/>
      <c r="I15" s="51"/>
      <c r="J15" s="52"/>
      <c r="K15" s="494" t="s">
        <v>96</v>
      </c>
      <c r="L15" s="495"/>
      <c r="M15" s="495"/>
      <c r="N15" s="496"/>
      <c r="O15" s="467" t="s">
        <v>62</v>
      </c>
      <c r="P15" s="468"/>
      <c r="Q15" s="467">
        <v>4000</v>
      </c>
      <c r="R15" s="468"/>
      <c r="S15" s="467"/>
      <c r="T15" s="468"/>
      <c r="U15" s="467" t="s">
        <v>64</v>
      </c>
      <c r="V15" s="468"/>
      <c r="W15" s="483" t="s">
        <v>76</v>
      </c>
      <c r="X15" s="484"/>
      <c r="Y15" s="484"/>
      <c r="Z15" s="484"/>
      <c r="AA15" s="484"/>
      <c r="AB15" s="484"/>
      <c r="AC15" s="485"/>
    </row>
    <row r="16" spans="1:29">
      <c r="B16" s="58">
        <v>1</v>
      </c>
      <c r="C16" s="59" t="s">
        <v>90</v>
      </c>
      <c r="D16" s="59"/>
      <c r="E16" s="59"/>
      <c r="F16" s="59"/>
      <c r="G16" s="59"/>
      <c r="H16" s="59"/>
      <c r="I16" s="59"/>
      <c r="J16" s="60"/>
      <c r="K16" s="497" t="s">
        <v>91</v>
      </c>
      <c r="L16" s="498"/>
      <c r="M16" s="498"/>
      <c r="N16" s="499"/>
      <c r="O16" s="472"/>
      <c r="P16" s="473"/>
      <c r="Q16" s="472"/>
      <c r="R16" s="473"/>
      <c r="S16" s="472"/>
      <c r="T16" s="473"/>
      <c r="U16" s="472"/>
      <c r="V16" s="473"/>
      <c r="W16" s="487"/>
      <c r="X16" s="488"/>
      <c r="Y16" s="488"/>
      <c r="Z16" s="488"/>
      <c r="AA16" s="488"/>
      <c r="AB16" s="488"/>
      <c r="AC16" s="489"/>
    </row>
    <row r="17" spans="2:29">
      <c r="B17" s="49">
        <v>2</v>
      </c>
      <c r="C17" s="61"/>
      <c r="D17" s="62" t="s">
        <v>77</v>
      </c>
      <c r="E17" s="51"/>
      <c r="F17" s="51"/>
      <c r="G17" s="62"/>
      <c r="H17" s="62"/>
      <c r="I17" s="62"/>
      <c r="J17" s="63"/>
      <c r="K17" s="469" t="s">
        <v>78</v>
      </c>
      <c r="L17" s="470"/>
      <c r="M17" s="470"/>
      <c r="N17" s="471"/>
      <c r="O17" s="467" t="s">
        <v>95</v>
      </c>
      <c r="P17" s="468"/>
      <c r="Q17" s="467">
        <v>1</v>
      </c>
      <c r="R17" s="468"/>
      <c r="S17" s="467"/>
      <c r="T17" s="468"/>
      <c r="U17" s="467" t="s">
        <v>64</v>
      </c>
      <c r="V17" s="468"/>
      <c r="W17" s="464" t="s">
        <v>97</v>
      </c>
      <c r="X17" s="465"/>
      <c r="Y17" s="465"/>
      <c r="Z17" s="465"/>
      <c r="AA17" s="465"/>
      <c r="AB17" s="465"/>
      <c r="AC17" s="466"/>
    </row>
    <row r="18" spans="2:29">
      <c r="B18" s="49">
        <v>2</v>
      </c>
      <c r="C18" s="61"/>
      <c r="D18" s="62" t="s">
        <v>92</v>
      </c>
      <c r="F18" s="51"/>
      <c r="G18" s="62"/>
      <c r="H18" s="62"/>
      <c r="I18" s="62"/>
      <c r="J18" s="63"/>
      <c r="K18" s="469" t="s">
        <v>98</v>
      </c>
      <c r="L18" s="470"/>
      <c r="M18" s="470"/>
      <c r="N18" s="471"/>
      <c r="O18" s="467" t="s">
        <v>95</v>
      </c>
      <c r="P18" s="468"/>
      <c r="Q18" s="467">
        <v>100</v>
      </c>
      <c r="R18" s="468"/>
      <c r="S18" s="467"/>
      <c r="T18" s="468"/>
      <c r="U18" s="467" t="s">
        <v>64</v>
      </c>
      <c r="V18" s="468"/>
      <c r="W18" s="464"/>
      <c r="X18" s="465"/>
      <c r="Y18" s="465"/>
      <c r="Z18" s="465"/>
      <c r="AA18" s="465"/>
      <c r="AB18" s="465"/>
      <c r="AC18" s="466"/>
    </row>
    <row r="19" spans="2:29">
      <c r="B19" s="49">
        <v>2</v>
      </c>
      <c r="C19" s="61"/>
      <c r="D19" s="62" t="s">
        <v>99</v>
      </c>
      <c r="E19" s="66"/>
      <c r="F19" s="51"/>
      <c r="G19" s="62"/>
      <c r="H19" s="62"/>
      <c r="I19" s="62"/>
      <c r="J19" s="63"/>
      <c r="K19" s="469" t="s">
        <v>100</v>
      </c>
      <c r="L19" s="470"/>
      <c r="M19" s="470"/>
      <c r="N19" s="471"/>
      <c r="O19" s="467" t="s">
        <v>62</v>
      </c>
      <c r="P19" s="468"/>
      <c r="Q19" s="467">
        <v>8</v>
      </c>
      <c r="R19" s="468"/>
      <c r="S19" s="467"/>
      <c r="T19" s="468"/>
      <c r="U19" s="467" t="s">
        <v>64</v>
      </c>
      <c r="V19" s="468"/>
      <c r="W19" s="483" t="s">
        <v>101</v>
      </c>
      <c r="X19" s="484"/>
      <c r="Y19" s="484"/>
      <c r="Z19" s="484"/>
      <c r="AA19" s="484"/>
      <c r="AB19" s="484"/>
      <c r="AC19" s="485"/>
    </row>
    <row r="20" spans="2:29" ht="15" customHeight="1"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</row>
    <row r="21" spans="2:29" ht="15" customHeight="1">
      <c r="B21" s="474" t="s">
        <v>102</v>
      </c>
      <c r="C21" s="475"/>
      <c r="D21" s="475"/>
      <c r="E21" s="475"/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75"/>
      <c r="AA21" s="475"/>
      <c r="AB21" s="475"/>
      <c r="AC21" s="476"/>
    </row>
    <row r="22" spans="2:29" ht="15.6" customHeight="1">
      <c r="B22" s="477"/>
      <c r="C22" s="478"/>
      <c r="D22" s="478"/>
      <c r="E22" s="478"/>
      <c r="F22" s="478"/>
      <c r="G22" s="478"/>
      <c r="H22" s="478"/>
      <c r="I22" s="478"/>
      <c r="J22" s="478"/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9"/>
    </row>
    <row r="23" spans="2:29" ht="15.6" customHeight="1">
      <c r="B23" s="480"/>
      <c r="C23" s="481"/>
      <c r="D23" s="481"/>
      <c r="E23" s="481"/>
      <c r="F23" s="481"/>
      <c r="G23" s="481"/>
      <c r="H23" s="481"/>
      <c r="I23" s="481"/>
      <c r="J23" s="481"/>
      <c r="K23" s="481"/>
      <c r="L23" s="481"/>
      <c r="M23" s="481"/>
      <c r="N23" s="481"/>
      <c r="O23" s="481"/>
      <c r="P23" s="481"/>
      <c r="Q23" s="481"/>
      <c r="R23" s="481"/>
      <c r="S23" s="481"/>
      <c r="T23" s="481"/>
      <c r="U23" s="481"/>
      <c r="V23" s="481"/>
      <c r="W23" s="481"/>
      <c r="X23" s="481"/>
      <c r="Y23" s="481"/>
      <c r="Z23" s="481"/>
      <c r="AA23" s="481"/>
      <c r="AB23" s="481"/>
      <c r="AC23" s="482"/>
    </row>
  </sheetData>
  <mergeCells count="87">
    <mergeCell ref="B6:E6"/>
    <mergeCell ref="F6:AC6"/>
    <mergeCell ref="B2:D2"/>
    <mergeCell ref="E2:N2"/>
    <mergeCell ref="O2:Q2"/>
    <mergeCell ref="R2:AC2"/>
    <mergeCell ref="B3:D3"/>
    <mergeCell ref="E3:AC3"/>
    <mergeCell ref="B4:D4"/>
    <mergeCell ref="E4:N4"/>
    <mergeCell ref="O4:Q4"/>
    <mergeCell ref="R4:AC4"/>
    <mergeCell ref="B5:AB5"/>
    <mergeCell ref="C7:J7"/>
    <mergeCell ref="K7:N7"/>
    <mergeCell ref="O7:P7"/>
    <mergeCell ref="Q7:R7"/>
    <mergeCell ref="S7:T7"/>
    <mergeCell ref="W9:AC9"/>
    <mergeCell ref="W7:AC7"/>
    <mergeCell ref="K8:N8"/>
    <mergeCell ref="O8:P8"/>
    <mergeCell ref="Q8:R8"/>
    <mergeCell ref="S8:T8"/>
    <mergeCell ref="U8:V8"/>
    <mergeCell ref="W8:AC8"/>
    <mergeCell ref="U7:V7"/>
    <mergeCell ref="K9:N9"/>
    <mergeCell ref="O9:P9"/>
    <mergeCell ref="Q9:R9"/>
    <mergeCell ref="S9:T9"/>
    <mergeCell ref="U9:V9"/>
    <mergeCell ref="W13:AC13"/>
    <mergeCell ref="K10:N10"/>
    <mergeCell ref="O10:P10"/>
    <mergeCell ref="Q10:R10"/>
    <mergeCell ref="S10:T10"/>
    <mergeCell ref="U10:V10"/>
    <mergeCell ref="W10:AC10"/>
    <mergeCell ref="K13:N13"/>
    <mergeCell ref="O13:P13"/>
    <mergeCell ref="Q13:R13"/>
    <mergeCell ref="S13:T13"/>
    <mergeCell ref="U13:V13"/>
    <mergeCell ref="B11:AB11"/>
    <mergeCell ref="B12:E12"/>
    <mergeCell ref="F12:AC12"/>
    <mergeCell ref="C13:J13"/>
    <mergeCell ref="W16:AC16"/>
    <mergeCell ref="W15:AC15"/>
    <mergeCell ref="K14:N14"/>
    <mergeCell ref="O14:P14"/>
    <mergeCell ref="Q14:R14"/>
    <mergeCell ref="S14:T14"/>
    <mergeCell ref="U14:V14"/>
    <mergeCell ref="W14:AC14"/>
    <mergeCell ref="K15:N15"/>
    <mergeCell ref="O15:P15"/>
    <mergeCell ref="Q15:R15"/>
    <mergeCell ref="S15:T15"/>
    <mergeCell ref="U15:V15"/>
    <mergeCell ref="K16:N16"/>
    <mergeCell ref="O16:P16"/>
    <mergeCell ref="Q16:R16"/>
    <mergeCell ref="S16:T16"/>
    <mergeCell ref="U16:V16"/>
    <mergeCell ref="B21:AC21"/>
    <mergeCell ref="B22:AC23"/>
    <mergeCell ref="K19:N19"/>
    <mergeCell ref="O19:P19"/>
    <mergeCell ref="Q19:R19"/>
    <mergeCell ref="S19:T19"/>
    <mergeCell ref="U19:V19"/>
    <mergeCell ref="W19:AC19"/>
    <mergeCell ref="B20:AC20"/>
    <mergeCell ref="W18:AC18"/>
    <mergeCell ref="K17:N17"/>
    <mergeCell ref="O17:P17"/>
    <mergeCell ref="Q17:R17"/>
    <mergeCell ref="S17:T17"/>
    <mergeCell ref="W17:AC17"/>
    <mergeCell ref="U17:V17"/>
    <mergeCell ref="K18:N18"/>
    <mergeCell ref="O18:P18"/>
    <mergeCell ref="Q18:R18"/>
    <mergeCell ref="S18:T18"/>
    <mergeCell ref="U18:V18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DDEBF7"/>
    <pageSetUpPr fitToPage="1"/>
  </sheetPr>
  <dimension ref="A1:AE43"/>
  <sheetViews>
    <sheetView topLeftCell="A5" zoomScaleNormal="100" zoomScaleSheetLayoutView="100" zoomScalePageLayoutView="55" workbookViewId="0">
      <selection activeCell="E5" sqref="E5:N5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ERP_인터페이스목록!C4</f>
        <v>품목 등록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ERP_인터페이스목록!G4</f>
        <v>E2W_PROD_REG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>
        <f>ERP_인터페이스목록!J4</f>
        <v>0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42</v>
      </c>
      <c r="C4" s="516"/>
      <c r="D4" s="516"/>
      <c r="E4" s="515" t="str">
        <f>ERP_인터페이스목록!L4</f>
        <v>DB to DB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ERP_인터페이스목록!D4</f>
        <v>ERP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ERP_인터페이스목록!E4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 ht="15" customHeight="1">
      <c r="B8" s="4" t="s">
        <v>46</v>
      </c>
      <c r="C8" s="500" t="s">
        <v>164</v>
      </c>
      <c r="D8" s="500"/>
      <c r="E8" s="500"/>
      <c r="F8" s="500"/>
      <c r="G8" s="500"/>
      <c r="H8" s="500"/>
      <c r="I8" s="500"/>
      <c r="J8" s="500"/>
      <c r="K8" s="500" t="s">
        <v>48</v>
      </c>
      <c r="L8" s="500"/>
      <c r="M8" s="500"/>
      <c r="N8" s="500"/>
      <c r="O8" s="512" t="s">
        <v>49</v>
      </c>
      <c r="P8" s="513"/>
      <c r="Q8" s="500" t="s">
        <v>50</v>
      </c>
      <c r="R8" s="500"/>
      <c r="S8" s="500" t="s">
        <v>51</v>
      </c>
      <c r="T8" s="500"/>
      <c r="U8" s="500" t="s">
        <v>165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 ht="30.6" customHeight="1">
      <c r="B9" s="49">
        <v>1</v>
      </c>
      <c r="C9" s="50" t="s">
        <v>166</v>
      </c>
      <c r="D9" s="51"/>
      <c r="E9" s="51"/>
      <c r="F9" s="51"/>
      <c r="G9" s="51"/>
      <c r="H9" s="51"/>
      <c r="I9" s="51"/>
      <c r="J9" s="52"/>
      <c r="K9" s="509" t="s">
        <v>55</v>
      </c>
      <c r="L9" s="510"/>
      <c r="M9" s="510"/>
      <c r="N9" s="511"/>
      <c r="O9" s="467" t="s">
        <v>167</v>
      </c>
      <c r="P9" s="468"/>
      <c r="Q9" s="467">
        <v>10</v>
      </c>
      <c r="R9" s="468"/>
      <c r="S9" s="467"/>
      <c r="T9" s="468"/>
      <c r="U9" s="467" t="s">
        <v>168</v>
      </c>
      <c r="V9" s="468"/>
      <c r="W9" s="493" t="s">
        <v>169</v>
      </c>
      <c r="X9" s="544"/>
      <c r="Y9" s="544"/>
      <c r="Z9" s="544"/>
      <c r="AA9" s="544"/>
      <c r="AB9" s="544"/>
      <c r="AC9" s="545"/>
    </row>
    <row r="10" spans="1:29" ht="14.2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502" t="s">
        <v>171</v>
      </c>
      <c r="P10" s="502"/>
      <c r="Q10" s="502">
        <v>20</v>
      </c>
      <c r="R10" s="502"/>
      <c r="S10" s="502"/>
      <c r="T10" s="502"/>
      <c r="U10" s="502"/>
      <c r="V10" s="502"/>
      <c r="W10" s="503" t="s">
        <v>172</v>
      </c>
      <c r="X10" s="501"/>
      <c r="Y10" s="501"/>
      <c r="Z10" s="501"/>
      <c r="AA10" s="501"/>
      <c r="AB10" s="501"/>
      <c r="AC10" s="501"/>
    </row>
    <row r="11" spans="1:29" ht="15" customHeight="1">
      <c r="B11" s="104">
        <v>1</v>
      </c>
      <c r="C11" s="53" t="s">
        <v>58</v>
      </c>
      <c r="D11" s="53"/>
      <c r="E11" s="54"/>
      <c r="F11" s="54"/>
      <c r="G11" s="54"/>
      <c r="H11" s="54"/>
      <c r="I11" s="54"/>
      <c r="J11" s="55"/>
      <c r="K11" s="542" t="s">
        <v>59</v>
      </c>
      <c r="L11" s="542"/>
      <c r="M11" s="542"/>
      <c r="N11" s="542"/>
      <c r="O11" s="543"/>
      <c r="P11" s="543"/>
      <c r="Q11" s="543"/>
      <c r="R11" s="543"/>
      <c r="S11" s="543"/>
      <c r="T11" s="543"/>
      <c r="U11" s="543"/>
      <c r="V11" s="543"/>
      <c r="W11" s="542"/>
      <c r="X11" s="542"/>
      <c r="Y11" s="542"/>
      <c r="Z11" s="542"/>
      <c r="AA11" s="542"/>
      <c r="AB11" s="542"/>
      <c r="AC11" s="542"/>
    </row>
    <row r="12" spans="1:29">
      <c r="B12" s="49">
        <v>2</v>
      </c>
      <c r="C12" s="50"/>
      <c r="D12" s="56" t="s">
        <v>173</v>
      </c>
      <c r="E12" s="56"/>
      <c r="F12" s="56"/>
      <c r="G12" s="56"/>
      <c r="H12" s="56"/>
      <c r="I12" s="56"/>
      <c r="J12" s="57"/>
      <c r="K12" s="526" t="s">
        <v>61</v>
      </c>
      <c r="L12" s="526"/>
      <c r="M12" s="526"/>
      <c r="N12" s="526"/>
      <c r="O12" s="531" t="s">
        <v>62</v>
      </c>
      <c r="P12" s="532"/>
      <c r="Q12" s="531">
        <v>50</v>
      </c>
      <c r="R12" s="532"/>
      <c r="S12" s="527" t="s">
        <v>174</v>
      </c>
      <c r="T12" s="527"/>
      <c r="U12" s="527" t="s">
        <v>57</v>
      </c>
      <c r="V12" s="527"/>
      <c r="W12" s="541"/>
      <c r="X12" s="541"/>
      <c r="Y12" s="541"/>
      <c r="Z12" s="541"/>
      <c r="AA12" s="541"/>
      <c r="AB12" s="541"/>
      <c r="AC12" s="541"/>
    </row>
    <row r="13" spans="1:29" ht="15" customHeight="1">
      <c r="B13" s="49">
        <v>2</v>
      </c>
      <c r="C13" s="50"/>
      <c r="D13" s="56" t="s">
        <v>640</v>
      </c>
      <c r="E13" s="108"/>
      <c r="F13" s="56"/>
      <c r="G13" s="56"/>
      <c r="H13" s="56"/>
      <c r="I13" s="56"/>
      <c r="J13" s="57"/>
      <c r="K13" s="526" t="s">
        <v>65</v>
      </c>
      <c r="L13" s="526"/>
      <c r="M13" s="526"/>
      <c r="N13" s="526"/>
      <c r="O13" s="527" t="s">
        <v>62</v>
      </c>
      <c r="P13" s="527"/>
      <c r="Q13" s="527">
        <v>30</v>
      </c>
      <c r="R13" s="527"/>
      <c r="S13" s="527"/>
      <c r="T13" s="527"/>
      <c r="U13" s="527" t="s">
        <v>57</v>
      </c>
      <c r="V13" s="527"/>
      <c r="W13" s="530" t="s">
        <v>175</v>
      </c>
      <c r="X13" s="526"/>
      <c r="Y13" s="526"/>
      <c r="Z13" s="526"/>
      <c r="AA13" s="526"/>
      <c r="AB13" s="526"/>
      <c r="AC13" s="526"/>
    </row>
    <row r="14" spans="1:29">
      <c r="B14" s="49">
        <v>2</v>
      </c>
      <c r="C14" s="50"/>
      <c r="D14" s="56" t="s">
        <v>641</v>
      </c>
      <c r="E14" s="108"/>
      <c r="F14" s="108"/>
      <c r="G14" s="56"/>
      <c r="H14" s="56"/>
      <c r="I14" s="56"/>
      <c r="J14" s="57"/>
      <c r="K14" s="526" t="s">
        <v>176</v>
      </c>
      <c r="L14" s="526"/>
      <c r="M14" s="526"/>
      <c r="N14" s="526"/>
      <c r="O14" s="527" t="s">
        <v>171</v>
      </c>
      <c r="P14" s="527"/>
      <c r="Q14" s="527">
        <v>100</v>
      </c>
      <c r="R14" s="527"/>
      <c r="S14" s="527"/>
      <c r="T14" s="527"/>
      <c r="U14" s="527" t="s">
        <v>57</v>
      </c>
      <c r="V14" s="527"/>
      <c r="W14" s="526"/>
      <c r="X14" s="526"/>
      <c r="Y14" s="526"/>
      <c r="Z14" s="526"/>
      <c r="AA14" s="526"/>
      <c r="AB14" s="526"/>
      <c r="AC14" s="526"/>
    </row>
    <row r="15" spans="1:29">
      <c r="B15" s="49">
        <v>2</v>
      </c>
      <c r="C15" s="50"/>
      <c r="D15" s="56" t="s">
        <v>642</v>
      </c>
      <c r="E15" s="108"/>
      <c r="F15" s="108"/>
      <c r="G15" s="56"/>
      <c r="H15" s="56"/>
      <c r="I15" s="56"/>
      <c r="J15" s="57"/>
      <c r="K15" s="526" t="s">
        <v>66</v>
      </c>
      <c r="L15" s="526"/>
      <c r="M15" s="526"/>
      <c r="N15" s="526"/>
      <c r="O15" s="527" t="s">
        <v>171</v>
      </c>
      <c r="P15" s="527"/>
      <c r="Q15" s="527">
        <v>100</v>
      </c>
      <c r="R15" s="527"/>
      <c r="S15" s="527"/>
      <c r="T15" s="527"/>
      <c r="U15" s="527"/>
      <c r="V15" s="527"/>
      <c r="W15" s="530"/>
      <c r="X15" s="526"/>
      <c r="Y15" s="526"/>
      <c r="Z15" s="526"/>
      <c r="AA15" s="526"/>
      <c r="AB15" s="526"/>
      <c r="AC15" s="526"/>
    </row>
    <row r="16" spans="1:29" ht="15" customHeight="1">
      <c r="B16" s="49">
        <v>2</v>
      </c>
      <c r="C16" s="50"/>
      <c r="D16" s="56" t="s">
        <v>67</v>
      </c>
      <c r="E16" s="108"/>
      <c r="F16" s="108"/>
      <c r="G16" s="56"/>
      <c r="H16" s="56"/>
      <c r="I16" s="56"/>
      <c r="J16" s="57"/>
      <c r="K16" s="526" t="s">
        <v>68</v>
      </c>
      <c r="L16" s="526"/>
      <c r="M16" s="526"/>
      <c r="N16" s="526"/>
      <c r="O16" s="527" t="s">
        <v>62</v>
      </c>
      <c r="P16" s="527"/>
      <c r="Q16" s="527">
        <v>50</v>
      </c>
      <c r="R16" s="527"/>
      <c r="S16" s="527"/>
      <c r="T16" s="527"/>
      <c r="U16" s="527" t="s">
        <v>168</v>
      </c>
      <c r="V16" s="527"/>
      <c r="W16" s="530" t="s">
        <v>144</v>
      </c>
      <c r="X16" s="526"/>
      <c r="Y16" s="526"/>
      <c r="Z16" s="526"/>
      <c r="AA16" s="526"/>
      <c r="AB16" s="526"/>
      <c r="AC16" s="526"/>
    </row>
    <row r="17" spans="2:31" ht="30.75" customHeight="1">
      <c r="B17" s="49">
        <v>2</v>
      </c>
      <c r="C17" s="109"/>
      <c r="D17" s="56" t="s">
        <v>643</v>
      </c>
      <c r="E17" s="108"/>
      <c r="F17" s="108"/>
      <c r="G17" s="56"/>
      <c r="H17" s="56"/>
      <c r="I17" s="56"/>
      <c r="J17" s="57"/>
      <c r="K17" s="526" t="s">
        <v>69</v>
      </c>
      <c r="L17" s="526"/>
      <c r="M17" s="526"/>
      <c r="N17" s="526"/>
      <c r="O17" s="527" t="s">
        <v>62</v>
      </c>
      <c r="P17" s="527"/>
      <c r="Q17" s="527">
        <v>50</v>
      </c>
      <c r="R17" s="527"/>
      <c r="S17" s="527"/>
      <c r="T17" s="527"/>
      <c r="U17" s="527" t="s">
        <v>168</v>
      </c>
      <c r="V17" s="527"/>
      <c r="W17" s="530" t="s">
        <v>177</v>
      </c>
      <c r="X17" s="526"/>
      <c r="Y17" s="526"/>
      <c r="Z17" s="526"/>
      <c r="AA17" s="526"/>
      <c r="AB17" s="526"/>
      <c r="AC17" s="526"/>
    </row>
    <row r="18" spans="2:31" ht="36" customHeight="1">
      <c r="B18" s="49">
        <v>2</v>
      </c>
      <c r="C18" s="109"/>
      <c r="D18" s="56" t="s">
        <v>644</v>
      </c>
      <c r="E18" s="108"/>
      <c r="F18" s="108"/>
      <c r="G18" s="56"/>
      <c r="H18" s="56"/>
      <c r="I18" s="56"/>
      <c r="J18" s="57"/>
      <c r="K18" s="526" t="s">
        <v>178</v>
      </c>
      <c r="L18" s="526"/>
      <c r="M18" s="526"/>
      <c r="N18" s="526"/>
      <c r="O18" s="527" t="s">
        <v>179</v>
      </c>
      <c r="P18" s="527"/>
      <c r="Q18" s="527">
        <v>50</v>
      </c>
      <c r="R18" s="527"/>
      <c r="S18" s="527"/>
      <c r="T18" s="527"/>
      <c r="U18" s="527" t="s">
        <v>180</v>
      </c>
      <c r="V18" s="527"/>
      <c r="W18" s="530" t="s">
        <v>181</v>
      </c>
      <c r="X18" s="526"/>
      <c r="Y18" s="526"/>
      <c r="Z18" s="526"/>
      <c r="AA18" s="526"/>
      <c r="AB18" s="526"/>
      <c r="AC18" s="526"/>
    </row>
    <row r="19" spans="2:31" ht="37.5" customHeight="1">
      <c r="B19" s="49">
        <v>2</v>
      </c>
      <c r="C19" s="109"/>
      <c r="D19" s="56" t="s">
        <v>645</v>
      </c>
      <c r="E19" s="108"/>
      <c r="F19" s="108"/>
      <c r="G19" s="56"/>
      <c r="H19" s="56"/>
      <c r="I19" s="56"/>
      <c r="J19" s="57"/>
      <c r="K19" s="526" t="s">
        <v>70</v>
      </c>
      <c r="L19" s="526"/>
      <c r="M19" s="526"/>
      <c r="N19" s="526"/>
      <c r="O19" s="527" t="s">
        <v>171</v>
      </c>
      <c r="P19" s="527"/>
      <c r="Q19" s="527">
        <v>50</v>
      </c>
      <c r="R19" s="527"/>
      <c r="S19" s="527"/>
      <c r="T19" s="527"/>
      <c r="U19" s="527" t="s">
        <v>57</v>
      </c>
      <c r="V19" s="527"/>
      <c r="W19" s="530" t="s">
        <v>182</v>
      </c>
      <c r="X19" s="526"/>
      <c r="Y19" s="526"/>
      <c r="Z19" s="526"/>
      <c r="AA19" s="526"/>
      <c r="AB19" s="526"/>
      <c r="AC19" s="526"/>
    </row>
    <row r="20" spans="2:31" ht="14.25" customHeight="1">
      <c r="B20" s="49">
        <v>2</v>
      </c>
      <c r="C20" s="50"/>
      <c r="D20" s="56" t="s">
        <v>646</v>
      </c>
      <c r="E20" s="108"/>
      <c r="F20" s="108"/>
      <c r="G20" s="56"/>
      <c r="H20" s="56"/>
      <c r="I20" s="56"/>
      <c r="J20" s="57"/>
      <c r="K20" s="533" t="s">
        <v>183</v>
      </c>
      <c r="L20" s="534"/>
      <c r="M20" s="534"/>
      <c r="N20" s="535"/>
      <c r="O20" s="527" t="s">
        <v>62</v>
      </c>
      <c r="P20" s="527"/>
      <c r="Q20" s="527">
        <v>50</v>
      </c>
      <c r="R20" s="527"/>
      <c r="S20" s="531"/>
      <c r="T20" s="532"/>
      <c r="U20" s="527" t="s">
        <v>168</v>
      </c>
      <c r="V20" s="527"/>
      <c r="W20" s="536"/>
      <c r="X20" s="537"/>
      <c r="Y20" s="537"/>
      <c r="Z20" s="537"/>
      <c r="AA20" s="537"/>
      <c r="AB20" s="537"/>
      <c r="AC20" s="538"/>
    </row>
    <row r="21" spans="2:31" ht="15.6" customHeight="1">
      <c r="B21" s="49">
        <v>2</v>
      </c>
      <c r="C21" s="50"/>
      <c r="D21" s="56" t="s">
        <v>647</v>
      </c>
      <c r="E21" s="108"/>
      <c r="F21" s="56"/>
      <c r="G21" s="56"/>
      <c r="H21" s="56"/>
      <c r="I21" s="56"/>
      <c r="J21" s="57"/>
      <c r="K21" s="526" t="s">
        <v>184</v>
      </c>
      <c r="L21" s="526"/>
      <c r="M21" s="526"/>
      <c r="N21" s="526"/>
      <c r="O21" s="527" t="s">
        <v>62</v>
      </c>
      <c r="P21" s="527"/>
      <c r="Q21" s="527">
        <v>50</v>
      </c>
      <c r="R21" s="527"/>
      <c r="S21" s="527"/>
      <c r="T21" s="527"/>
      <c r="U21" s="527" t="s">
        <v>57</v>
      </c>
      <c r="V21" s="527"/>
      <c r="W21" s="530" t="s">
        <v>185</v>
      </c>
      <c r="X21" s="526"/>
      <c r="Y21" s="526"/>
      <c r="Z21" s="526"/>
      <c r="AA21" s="526"/>
      <c r="AB21" s="526"/>
      <c r="AC21" s="526"/>
    </row>
    <row r="22" spans="2:31">
      <c r="B22" s="49">
        <v>2</v>
      </c>
      <c r="C22" s="50"/>
      <c r="D22" s="56" t="s">
        <v>186</v>
      </c>
      <c r="E22" s="56"/>
      <c r="F22" s="56"/>
      <c r="G22" s="56"/>
      <c r="H22" s="56"/>
      <c r="I22" s="56"/>
      <c r="J22" s="57"/>
      <c r="K22" s="526" t="s">
        <v>187</v>
      </c>
      <c r="L22" s="526"/>
      <c r="M22" s="526"/>
      <c r="N22" s="526"/>
      <c r="O22" s="527" t="s">
        <v>188</v>
      </c>
      <c r="P22" s="527"/>
      <c r="Q22" s="527">
        <v>10</v>
      </c>
      <c r="R22" s="527"/>
      <c r="S22" s="527"/>
      <c r="T22" s="527"/>
      <c r="U22" s="527"/>
      <c r="V22" s="527"/>
      <c r="W22" s="530">
        <v>1</v>
      </c>
      <c r="X22" s="526"/>
      <c r="Y22" s="526"/>
      <c r="Z22" s="526"/>
      <c r="AA22" s="526"/>
      <c r="AB22" s="526"/>
      <c r="AC22" s="526"/>
    </row>
    <row r="23" spans="2:31">
      <c r="B23" s="49">
        <v>2</v>
      </c>
      <c r="C23" s="50"/>
      <c r="D23" s="56" t="s">
        <v>189</v>
      </c>
      <c r="E23" s="56"/>
      <c r="F23" s="56"/>
      <c r="G23" s="56"/>
      <c r="H23" s="56"/>
      <c r="I23" s="56"/>
      <c r="J23" s="57"/>
      <c r="K23" s="526" t="s">
        <v>190</v>
      </c>
      <c r="L23" s="526"/>
      <c r="M23" s="526"/>
      <c r="N23" s="526"/>
      <c r="O23" s="531" t="s">
        <v>188</v>
      </c>
      <c r="P23" s="532"/>
      <c r="Q23" s="531">
        <v>10</v>
      </c>
      <c r="R23" s="532"/>
      <c r="S23" s="527"/>
      <c r="T23" s="527"/>
      <c r="U23" s="527"/>
      <c r="V23" s="527"/>
      <c r="W23" s="530"/>
      <c r="X23" s="526"/>
      <c r="Y23" s="526"/>
      <c r="Z23" s="526"/>
      <c r="AA23" s="526"/>
      <c r="AB23" s="526"/>
      <c r="AC23" s="526"/>
    </row>
    <row r="24" spans="2:31" ht="39" customHeight="1">
      <c r="B24" s="49">
        <v>2</v>
      </c>
      <c r="C24" s="50"/>
      <c r="D24" s="56" t="s">
        <v>71</v>
      </c>
      <c r="E24" s="56"/>
      <c r="F24" s="56"/>
      <c r="G24" s="56"/>
      <c r="H24" s="56"/>
      <c r="I24" s="56"/>
      <c r="J24" s="57"/>
      <c r="K24" s="526" t="s">
        <v>191</v>
      </c>
      <c r="L24" s="526"/>
      <c r="M24" s="526"/>
      <c r="N24" s="526"/>
      <c r="O24" s="527" t="s">
        <v>62</v>
      </c>
      <c r="P24" s="527"/>
      <c r="Q24" s="527">
        <v>1000</v>
      </c>
      <c r="R24" s="527"/>
      <c r="S24" s="527"/>
      <c r="T24" s="527"/>
      <c r="U24" s="527"/>
      <c r="V24" s="527"/>
      <c r="W24" s="539" t="s">
        <v>639</v>
      </c>
      <c r="X24" s="540"/>
      <c r="Y24" s="540"/>
      <c r="Z24" s="540"/>
      <c r="AA24" s="540"/>
      <c r="AB24" s="540"/>
      <c r="AC24" s="540"/>
    </row>
    <row r="25" spans="2:31" ht="15" customHeight="1">
      <c r="B25" s="49">
        <v>2</v>
      </c>
      <c r="C25" s="50"/>
      <c r="D25" s="56" t="s">
        <v>193</v>
      </c>
      <c r="E25" s="56"/>
      <c r="F25" s="56"/>
      <c r="G25" s="56"/>
      <c r="H25" s="56"/>
      <c r="I25" s="56"/>
      <c r="J25" s="57"/>
      <c r="K25" s="533" t="s">
        <v>194</v>
      </c>
      <c r="L25" s="534"/>
      <c r="M25" s="534"/>
      <c r="N25" s="535"/>
      <c r="O25" s="531" t="s">
        <v>195</v>
      </c>
      <c r="P25" s="532"/>
      <c r="Q25" s="531">
        <v>1</v>
      </c>
      <c r="R25" s="532"/>
      <c r="S25" s="531"/>
      <c r="T25" s="532"/>
      <c r="U25" s="531" t="s">
        <v>180</v>
      </c>
      <c r="V25" s="532"/>
      <c r="W25" s="536" t="s">
        <v>196</v>
      </c>
      <c r="X25" s="537"/>
      <c r="Y25" s="537"/>
      <c r="Z25" s="537"/>
      <c r="AA25" s="537"/>
      <c r="AB25" s="537"/>
      <c r="AC25" s="538"/>
    </row>
    <row r="26" spans="2:31" ht="15" customHeight="1">
      <c r="B26" s="504"/>
      <c r="C26" s="504"/>
      <c r="D26" s="504"/>
      <c r="E26" s="504"/>
      <c r="F26" s="504"/>
      <c r="G26" s="504"/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4"/>
      <c r="T26" s="504"/>
      <c r="U26" s="504"/>
      <c r="V26" s="504"/>
      <c r="W26" s="505"/>
      <c r="X26" s="505"/>
      <c r="Y26" s="505"/>
      <c r="Z26" s="505"/>
      <c r="AA26" s="505"/>
      <c r="AB26" s="505"/>
    </row>
    <row r="27" spans="2:31" ht="15" customHeight="1">
      <c r="B27" s="506" t="s">
        <v>125</v>
      </c>
      <c r="C27" s="506"/>
      <c r="D27" s="506"/>
      <c r="E27" s="506"/>
      <c r="F27" s="528"/>
      <c r="G27" s="529"/>
      <c r="H27" s="529"/>
      <c r="I27" s="529"/>
      <c r="J27" s="529"/>
      <c r="K27" s="529"/>
      <c r="L27" s="529"/>
      <c r="M27" s="529"/>
      <c r="N27" s="529"/>
      <c r="O27" s="529"/>
      <c r="P27" s="529"/>
      <c r="Q27" s="529"/>
      <c r="R27" s="529"/>
      <c r="S27" s="529"/>
      <c r="T27" s="529"/>
      <c r="U27" s="529"/>
      <c r="V27" s="529"/>
      <c r="W27" s="529"/>
      <c r="X27" s="529"/>
      <c r="Y27" s="529"/>
      <c r="Z27" s="529"/>
      <c r="AA27" s="529"/>
      <c r="AB27" s="529"/>
      <c r="AC27" s="529"/>
      <c r="AE27" s="81"/>
    </row>
    <row r="28" spans="2:31" ht="15" customHeight="1">
      <c r="B28" s="4" t="s">
        <v>46</v>
      </c>
      <c r="C28" s="500" t="s">
        <v>164</v>
      </c>
      <c r="D28" s="500"/>
      <c r="E28" s="500"/>
      <c r="F28" s="500"/>
      <c r="G28" s="500"/>
      <c r="H28" s="500"/>
      <c r="I28" s="500"/>
      <c r="J28" s="500"/>
      <c r="K28" s="500" t="s">
        <v>48</v>
      </c>
      <c r="L28" s="500"/>
      <c r="M28" s="500"/>
      <c r="N28" s="500"/>
      <c r="O28" s="500" t="s">
        <v>49</v>
      </c>
      <c r="P28" s="500"/>
      <c r="Q28" s="500" t="s">
        <v>197</v>
      </c>
      <c r="R28" s="500"/>
      <c r="S28" s="500" t="s">
        <v>51</v>
      </c>
      <c r="T28" s="500"/>
      <c r="U28" s="500" t="s">
        <v>198</v>
      </c>
      <c r="V28" s="500"/>
      <c r="W28" s="500" t="s">
        <v>53</v>
      </c>
      <c r="X28" s="500"/>
      <c r="Y28" s="500"/>
      <c r="Z28" s="500"/>
      <c r="AA28" s="500"/>
      <c r="AB28" s="500"/>
      <c r="AC28" s="500"/>
    </row>
    <row r="29" spans="2:31" ht="15" customHeight="1">
      <c r="B29" s="49">
        <v>1</v>
      </c>
      <c r="C29" s="50" t="s">
        <v>86</v>
      </c>
      <c r="D29" s="51"/>
      <c r="E29" s="51"/>
      <c r="F29" s="51"/>
      <c r="G29" s="51"/>
      <c r="H29" s="51"/>
      <c r="I29" s="51"/>
      <c r="J29" s="52"/>
      <c r="K29" s="490" t="s">
        <v>87</v>
      </c>
      <c r="L29" s="491"/>
      <c r="M29" s="491"/>
      <c r="N29" s="492"/>
      <c r="O29" s="467" t="s">
        <v>62</v>
      </c>
      <c r="P29" s="468"/>
      <c r="Q29" s="467">
        <v>20</v>
      </c>
      <c r="R29" s="468"/>
      <c r="S29" s="467"/>
      <c r="T29" s="468"/>
      <c r="U29" s="467" t="s">
        <v>57</v>
      </c>
      <c r="V29" s="468"/>
      <c r="W29" s="493" t="s">
        <v>352</v>
      </c>
      <c r="X29" s="484"/>
      <c r="Y29" s="484"/>
      <c r="Z29" s="484"/>
      <c r="AA29" s="484"/>
      <c r="AB29" s="484"/>
      <c r="AC29" s="485"/>
    </row>
    <row r="30" spans="2:31">
      <c r="B30" s="49">
        <v>1</v>
      </c>
      <c r="C30" s="50" t="s">
        <v>89</v>
      </c>
      <c r="D30" s="51"/>
      <c r="E30" s="51"/>
      <c r="F30" s="51"/>
      <c r="G30" s="51"/>
      <c r="H30" s="51"/>
      <c r="I30" s="51"/>
      <c r="J30" s="52"/>
      <c r="K30" s="494" t="s">
        <v>139</v>
      </c>
      <c r="L30" s="495"/>
      <c r="M30" s="495"/>
      <c r="N30" s="496"/>
      <c r="O30" s="467" t="s">
        <v>62</v>
      </c>
      <c r="P30" s="468"/>
      <c r="Q30" s="467">
        <v>4000</v>
      </c>
      <c r="R30" s="468"/>
      <c r="S30" s="467"/>
      <c r="T30" s="468"/>
      <c r="U30" s="467" t="s">
        <v>180</v>
      </c>
      <c r="V30" s="468"/>
      <c r="W30" s="483" t="s">
        <v>199</v>
      </c>
      <c r="X30" s="484"/>
      <c r="Y30" s="484"/>
      <c r="Z30" s="484"/>
      <c r="AA30" s="484"/>
      <c r="AB30" s="484"/>
      <c r="AC30" s="485"/>
    </row>
    <row r="31" spans="2:31">
      <c r="B31" s="58">
        <v>1</v>
      </c>
      <c r="C31" s="59" t="s">
        <v>90</v>
      </c>
      <c r="D31" s="59"/>
      <c r="E31" s="59"/>
      <c r="F31" s="59"/>
      <c r="G31" s="59"/>
      <c r="H31" s="59"/>
      <c r="I31" s="59"/>
      <c r="J31" s="60"/>
      <c r="K31" s="497" t="s">
        <v>141</v>
      </c>
      <c r="L31" s="498"/>
      <c r="M31" s="498"/>
      <c r="N31" s="499"/>
      <c r="O31" s="472"/>
      <c r="P31" s="473"/>
      <c r="Q31" s="472"/>
      <c r="R31" s="473"/>
      <c r="S31" s="472"/>
      <c r="T31" s="473"/>
      <c r="U31" s="472"/>
      <c r="V31" s="473"/>
      <c r="W31" s="487"/>
      <c r="X31" s="488"/>
      <c r="Y31" s="488"/>
      <c r="Z31" s="488"/>
      <c r="AA31" s="488"/>
      <c r="AB31" s="488"/>
      <c r="AC31" s="489"/>
    </row>
    <row r="32" spans="2:31">
      <c r="B32" s="49">
        <v>2</v>
      </c>
      <c r="C32" s="50"/>
      <c r="D32" s="56" t="s">
        <v>60</v>
      </c>
      <c r="E32" s="51"/>
      <c r="F32" s="51"/>
      <c r="G32" s="51"/>
      <c r="H32" s="51"/>
      <c r="I32" s="51"/>
      <c r="J32" s="52"/>
      <c r="K32" s="526" t="s">
        <v>61</v>
      </c>
      <c r="L32" s="526"/>
      <c r="M32" s="526"/>
      <c r="N32" s="526"/>
      <c r="O32" s="467" t="s">
        <v>62</v>
      </c>
      <c r="P32" s="468"/>
      <c r="Q32" s="467">
        <v>20</v>
      </c>
      <c r="R32" s="468"/>
      <c r="S32" s="467" t="s">
        <v>174</v>
      </c>
      <c r="T32" s="468"/>
      <c r="U32" s="467" t="s">
        <v>180</v>
      </c>
      <c r="V32" s="468"/>
      <c r="W32" s="464" t="s">
        <v>200</v>
      </c>
      <c r="X32" s="465"/>
      <c r="Y32" s="465"/>
      <c r="Z32" s="465"/>
      <c r="AA32" s="465"/>
      <c r="AB32" s="465"/>
      <c r="AC32" s="466"/>
    </row>
    <row r="33" spans="2:29" ht="13.5" customHeight="1">
      <c r="B33" s="49">
        <v>2</v>
      </c>
      <c r="C33" s="61"/>
      <c r="D33" s="62" t="s">
        <v>126</v>
      </c>
      <c r="E33" s="62"/>
      <c r="F33" s="51"/>
      <c r="G33" s="62"/>
      <c r="H33" s="62"/>
      <c r="I33" s="62"/>
      <c r="J33" s="63"/>
      <c r="K33" s="469" t="s">
        <v>127</v>
      </c>
      <c r="L33" s="470"/>
      <c r="M33" s="470"/>
      <c r="N33" s="471"/>
      <c r="O33" s="467" t="s">
        <v>62</v>
      </c>
      <c r="P33" s="468"/>
      <c r="Q33" s="467">
        <v>1</v>
      </c>
      <c r="R33" s="468"/>
      <c r="S33" s="467"/>
      <c r="T33" s="468"/>
      <c r="U33" s="467" t="s">
        <v>180</v>
      </c>
      <c r="V33" s="468"/>
      <c r="W33" s="493" t="s">
        <v>352</v>
      </c>
      <c r="X33" s="484"/>
      <c r="Y33" s="484"/>
      <c r="Z33" s="484"/>
      <c r="AA33" s="484"/>
      <c r="AB33" s="484"/>
      <c r="AC33" s="485"/>
    </row>
    <row r="34" spans="2:29">
      <c r="B34" s="49">
        <v>2</v>
      </c>
      <c r="C34" s="61"/>
      <c r="D34" s="62" t="s">
        <v>201</v>
      </c>
      <c r="E34" s="62"/>
      <c r="F34" s="51"/>
      <c r="G34" s="62"/>
      <c r="H34" s="62"/>
      <c r="I34" s="62"/>
      <c r="J34" s="63"/>
      <c r="K34" s="469" t="s">
        <v>140</v>
      </c>
      <c r="L34" s="470"/>
      <c r="M34" s="470"/>
      <c r="N34" s="471"/>
      <c r="O34" s="467" t="s">
        <v>62</v>
      </c>
      <c r="P34" s="468"/>
      <c r="Q34" s="467">
        <v>100</v>
      </c>
      <c r="R34" s="468"/>
      <c r="S34" s="467"/>
      <c r="T34" s="468"/>
      <c r="U34" s="467"/>
      <c r="V34" s="468"/>
      <c r="W34" s="464" t="s">
        <v>80</v>
      </c>
      <c r="X34" s="465"/>
      <c r="Y34" s="465"/>
      <c r="Z34" s="465"/>
      <c r="AA34" s="465"/>
      <c r="AB34" s="465"/>
      <c r="AC34" s="466"/>
    </row>
    <row r="35" spans="2:29">
      <c r="B35" s="486"/>
      <c r="C35" s="486"/>
      <c r="D35" s="486"/>
      <c r="E35" s="486"/>
      <c r="F35" s="486"/>
      <c r="G35" s="486"/>
      <c r="H35" s="486"/>
      <c r="I35" s="486"/>
      <c r="J35" s="486"/>
      <c r="K35" s="486"/>
      <c r="L35" s="486"/>
      <c r="M35" s="486"/>
      <c r="N35" s="486"/>
      <c r="O35" s="486"/>
      <c r="P35" s="486"/>
      <c r="Q35" s="486"/>
      <c r="R35" s="486"/>
      <c r="S35" s="486"/>
      <c r="T35" s="486"/>
      <c r="U35" s="486"/>
      <c r="V35" s="486"/>
      <c r="W35" s="486"/>
      <c r="X35" s="486"/>
      <c r="Y35" s="486"/>
      <c r="Z35" s="486"/>
      <c r="AA35" s="486"/>
      <c r="AB35" s="486"/>
      <c r="AC35" s="486"/>
    </row>
    <row r="36" spans="2:29">
      <c r="B36" s="474" t="s">
        <v>202</v>
      </c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6"/>
    </row>
    <row r="37" spans="2:29" ht="15.6" customHeight="1">
      <c r="B37" s="517" t="s">
        <v>203</v>
      </c>
      <c r="C37" s="518"/>
      <c r="D37" s="518"/>
      <c r="E37" s="518"/>
      <c r="F37" s="518"/>
      <c r="G37" s="518"/>
      <c r="H37" s="518"/>
      <c r="I37" s="518"/>
      <c r="J37" s="518"/>
      <c r="K37" s="518"/>
      <c r="L37" s="518"/>
      <c r="M37" s="518"/>
      <c r="N37" s="518"/>
      <c r="O37" s="518"/>
      <c r="P37" s="518"/>
      <c r="Q37" s="518"/>
      <c r="R37" s="518"/>
      <c r="S37" s="518"/>
      <c r="T37" s="518"/>
      <c r="U37" s="518"/>
      <c r="V37" s="518"/>
      <c r="W37" s="518"/>
      <c r="X37" s="518"/>
      <c r="Y37" s="518"/>
      <c r="Z37" s="518"/>
      <c r="AA37" s="518"/>
      <c r="AB37" s="518"/>
      <c r="AC37" s="519"/>
    </row>
    <row r="38" spans="2:29" ht="15" customHeight="1">
      <c r="B38" s="520"/>
      <c r="C38" s="521"/>
      <c r="D38" s="521"/>
      <c r="E38" s="521"/>
      <c r="F38" s="521"/>
      <c r="G38" s="521"/>
      <c r="H38" s="521"/>
      <c r="I38" s="521"/>
      <c r="J38" s="521"/>
      <c r="K38" s="521"/>
      <c r="L38" s="521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  <c r="AA38" s="521"/>
      <c r="AB38" s="521"/>
      <c r="AC38" s="522"/>
    </row>
    <row r="39" spans="2:29">
      <c r="B39" s="520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  <c r="AA39" s="521"/>
      <c r="AB39" s="521"/>
      <c r="AC39" s="522"/>
    </row>
    <row r="40" spans="2:29" ht="15" customHeight="1">
      <c r="B40" s="520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521"/>
      <c r="AB40" s="521"/>
      <c r="AC40" s="522"/>
    </row>
    <row r="41" spans="2:29" ht="15.75" customHeight="1">
      <c r="B41" s="520"/>
      <c r="C41" s="521"/>
      <c r="D41" s="521"/>
      <c r="E41" s="521"/>
      <c r="F41" s="521"/>
      <c r="G41" s="521"/>
      <c r="H41" s="521"/>
      <c r="I41" s="521"/>
      <c r="J41" s="521"/>
      <c r="K41" s="521"/>
      <c r="L41" s="521"/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  <c r="AA41" s="521"/>
      <c r="AB41" s="521"/>
      <c r="AC41" s="522"/>
    </row>
    <row r="42" spans="2:29" ht="15.6" customHeight="1">
      <c r="B42" s="520"/>
      <c r="C42" s="521"/>
      <c r="D42" s="521"/>
      <c r="E42" s="521"/>
      <c r="F42" s="521"/>
      <c r="G42" s="521"/>
      <c r="H42" s="521"/>
      <c r="I42" s="521"/>
      <c r="J42" s="521"/>
      <c r="K42" s="521"/>
      <c r="L42" s="521"/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  <c r="AA42" s="521"/>
      <c r="AB42" s="521"/>
      <c r="AC42" s="522"/>
    </row>
    <row r="43" spans="2:29">
      <c r="B43" s="523"/>
      <c r="C43" s="524"/>
      <c r="D43" s="524"/>
      <c r="E43" s="524"/>
      <c r="F43" s="524"/>
      <c r="G43" s="524"/>
      <c r="H43" s="524"/>
      <c r="I43" s="524"/>
      <c r="J43" s="524"/>
      <c r="K43" s="524"/>
      <c r="L43" s="524"/>
      <c r="M43" s="524"/>
      <c r="N43" s="524"/>
      <c r="O43" s="524"/>
      <c r="P43" s="524"/>
      <c r="Q43" s="524"/>
      <c r="R43" s="524"/>
      <c r="S43" s="524"/>
      <c r="T43" s="524"/>
      <c r="U43" s="524"/>
      <c r="V43" s="524"/>
      <c r="W43" s="524"/>
      <c r="X43" s="524"/>
      <c r="Y43" s="524"/>
      <c r="Z43" s="524"/>
      <c r="AA43" s="524"/>
      <c r="AB43" s="524"/>
      <c r="AC43" s="525"/>
    </row>
  </sheetData>
  <mergeCells count="175">
    <mergeCell ref="K28:N28"/>
    <mergeCell ref="O28:P28"/>
    <mergeCell ref="Q28:R28"/>
    <mergeCell ref="S28:T28"/>
    <mergeCell ref="U28:V28"/>
    <mergeCell ref="W28:AC28"/>
    <mergeCell ref="K31:N31"/>
    <mergeCell ref="O31:P31"/>
    <mergeCell ref="Q31:R31"/>
    <mergeCell ref="S31:T31"/>
    <mergeCell ref="U31:V31"/>
    <mergeCell ref="K29:N29"/>
    <mergeCell ref="O29:P29"/>
    <mergeCell ref="Q29:R29"/>
    <mergeCell ref="S29:T29"/>
    <mergeCell ref="U29:V29"/>
    <mergeCell ref="W29:AC29"/>
    <mergeCell ref="U8:V8"/>
    <mergeCell ref="B4:D4"/>
    <mergeCell ref="E4:N4"/>
    <mergeCell ref="O4:Q4"/>
    <mergeCell ref="R4:AC4"/>
    <mergeCell ref="B6:AB6"/>
    <mergeCell ref="B7:E7"/>
    <mergeCell ref="F7:AC7"/>
    <mergeCell ref="K10:N10"/>
    <mergeCell ref="O10:P10"/>
    <mergeCell ref="Q10:R10"/>
    <mergeCell ref="S10:T10"/>
    <mergeCell ref="U10:V10"/>
    <mergeCell ref="W10:AC10"/>
    <mergeCell ref="B5:D5"/>
    <mergeCell ref="E5:N5"/>
    <mergeCell ref="O5:Q5"/>
    <mergeCell ref="R5:AC5"/>
    <mergeCell ref="K11:N11"/>
    <mergeCell ref="O11:P11"/>
    <mergeCell ref="Q11:R11"/>
    <mergeCell ref="S11:T11"/>
    <mergeCell ref="U11:V11"/>
    <mergeCell ref="W11:AC11"/>
    <mergeCell ref="B2:D2"/>
    <mergeCell ref="E2:N2"/>
    <mergeCell ref="O2:Q2"/>
    <mergeCell ref="R2:AC2"/>
    <mergeCell ref="B3:D3"/>
    <mergeCell ref="E3:AC3"/>
    <mergeCell ref="W8:AC8"/>
    <mergeCell ref="K9:N9"/>
    <mergeCell ref="O9:P9"/>
    <mergeCell ref="Q9:R9"/>
    <mergeCell ref="S9:T9"/>
    <mergeCell ref="U9:V9"/>
    <mergeCell ref="W9:AC9"/>
    <mergeCell ref="C8:J8"/>
    <mergeCell ref="K8:N8"/>
    <mergeCell ref="O8:P8"/>
    <mergeCell ref="Q8:R8"/>
    <mergeCell ref="S8:T8"/>
    <mergeCell ref="K13:N13"/>
    <mergeCell ref="O13:P13"/>
    <mergeCell ref="Q13:R13"/>
    <mergeCell ref="S13:T13"/>
    <mergeCell ref="U13:V13"/>
    <mergeCell ref="W13:AC13"/>
    <mergeCell ref="K12:N12"/>
    <mergeCell ref="O12:P12"/>
    <mergeCell ref="Q12:R12"/>
    <mergeCell ref="S12:T12"/>
    <mergeCell ref="U12:V12"/>
    <mergeCell ref="W12:AC12"/>
    <mergeCell ref="K14:N14"/>
    <mergeCell ref="O14:P14"/>
    <mergeCell ref="Q14:R14"/>
    <mergeCell ref="S14:T14"/>
    <mergeCell ref="U14:V14"/>
    <mergeCell ref="W14:AC14"/>
    <mergeCell ref="K15:N15"/>
    <mergeCell ref="O15:P15"/>
    <mergeCell ref="Q15:R15"/>
    <mergeCell ref="S15:T15"/>
    <mergeCell ref="U15:V15"/>
    <mergeCell ref="W15:AC15"/>
    <mergeCell ref="O20:P20"/>
    <mergeCell ref="Q20:R20"/>
    <mergeCell ref="S20:T20"/>
    <mergeCell ref="U20:V20"/>
    <mergeCell ref="W20:AC20"/>
    <mergeCell ref="K20:N20"/>
    <mergeCell ref="K16:N16"/>
    <mergeCell ref="O16:P16"/>
    <mergeCell ref="Q16:R16"/>
    <mergeCell ref="S16:T16"/>
    <mergeCell ref="U16:V16"/>
    <mergeCell ref="W16:AC16"/>
    <mergeCell ref="W17:AC17"/>
    <mergeCell ref="W19:AC19"/>
    <mergeCell ref="K18:N18"/>
    <mergeCell ref="O18:P18"/>
    <mergeCell ref="Q18:R18"/>
    <mergeCell ref="S18:T18"/>
    <mergeCell ref="U18:V18"/>
    <mergeCell ref="W18:AC18"/>
    <mergeCell ref="K17:N17"/>
    <mergeCell ref="K19:N19"/>
    <mergeCell ref="O17:P17"/>
    <mergeCell ref="O19:P19"/>
    <mergeCell ref="Q23:R23"/>
    <mergeCell ref="S23:T23"/>
    <mergeCell ref="U23:V23"/>
    <mergeCell ref="W23:AC23"/>
    <mergeCell ref="K25:N25"/>
    <mergeCell ref="O25:P25"/>
    <mergeCell ref="Q25:R25"/>
    <mergeCell ref="S25:T25"/>
    <mergeCell ref="U25:V25"/>
    <mergeCell ref="W25:AC25"/>
    <mergeCell ref="K24:N24"/>
    <mergeCell ref="O24:P24"/>
    <mergeCell ref="Q24:R24"/>
    <mergeCell ref="S24:T24"/>
    <mergeCell ref="U24:V24"/>
    <mergeCell ref="W24:AC24"/>
    <mergeCell ref="Q17:R17"/>
    <mergeCell ref="Q19:R19"/>
    <mergeCell ref="S19:T19"/>
    <mergeCell ref="S17:T17"/>
    <mergeCell ref="U17:V17"/>
    <mergeCell ref="U19:V19"/>
    <mergeCell ref="B27:E27"/>
    <mergeCell ref="F27:AC27"/>
    <mergeCell ref="C28:J28"/>
    <mergeCell ref="K21:N21"/>
    <mergeCell ref="O21:P21"/>
    <mergeCell ref="Q21:R21"/>
    <mergeCell ref="S21:T21"/>
    <mergeCell ref="U21:V21"/>
    <mergeCell ref="W21:AC21"/>
    <mergeCell ref="W22:AC22"/>
    <mergeCell ref="K22:N22"/>
    <mergeCell ref="O22:P22"/>
    <mergeCell ref="Q22:R22"/>
    <mergeCell ref="S22:T22"/>
    <mergeCell ref="U22:V22"/>
    <mergeCell ref="B26:AB26"/>
    <mergeCell ref="K23:N23"/>
    <mergeCell ref="O23:P23"/>
    <mergeCell ref="K33:N33"/>
    <mergeCell ref="O33:P33"/>
    <mergeCell ref="Q33:R33"/>
    <mergeCell ref="S33:T33"/>
    <mergeCell ref="U33:V33"/>
    <mergeCell ref="W33:AC33"/>
    <mergeCell ref="K30:N30"/>
    <mergeCell ref="O30:P30"/>
    <mergeCell ref="Q30:R30"/>
    <mergeCell ref="S30:T30"/>
    <mergeCell ref="U30:V30"/>
    <mergeCell ref="W30:AC30"/>
    <mergeCell ref="W31:AC31"/>
    <mergeCell ref="K32:N32"/>
    <mergeCell ref="O32:P32"/>
    <mergeCell ref="Q32:R32"/>
    <mergeCell ref="S32:T32"/>
    <mergeCell ref="U32:V32"/>
    <mergeCell ref="W32:AC32"/>
    <mergeCell ref="K34:N34"/>
    <mergeCell ref="O34:P34"/>
    <mergeCell ref="Q34:R34"/>
    <mergeCell ref="S34:T34"/>
    <mergeCell ref="U34:V34"/>
    <mergeCell ref="W34:AC34"/>
    <mergeCell ref="B35:AC35"/>
    <mergeCell ref="B36:AC36"/>
    <mergeCell ref="B37:AC43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DDEBF7"/>
  </sheetPr>
  <dimension ref="A1:Q57"/>
  <sheetViews>
    <sheetView zoomScaleNormal="100" workbookViewId="0">
      <selection activeCell="L45" sqref="L45"/>
    </sheetView>
  </sheetViews>
  <sheetFormatPr defaultRowHeight="16.5"/>
  <cols>
    <col min="1" max="1" width="12.75" style="272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1389</v>
      </c>
      <c r="B2" s="546" t="s">
        <v>1390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248" t="s">
        <v>1391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>
      <c r="A4" s="248" t="s">
        <v>1392</v>
      </c>
      <c r="B4" s="550" t="s">
        <v>1393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1394</v>
      </c>
      <c r="B5" s="554" t="s">
        <v>1395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248" t="s">
        <v>1396</v>
      </c>
      <c r="B9" s="559"/>
      <c r="C9" s="559"/>
      <c r="D9" s="559"/>
      <c r="E9" s="559"/>
      <c r="F9" s="559"/>
      <c r="G9" s="559"/>
      <c r="H9" s="559"/>
      <c r="I9" s="250" t="s">
        <v>1397</v>
      </c>
      <c r="J9" s="559" t="s">
        <v>1398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248" t="s">
        <v>1399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1401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248" t="s">
        <v>1403</v>
      </c>
      <c r="B12" s="566" t="s">
        <v>1404</v>
      </c>
      <c r="C12" s="566"/>
      <c r="D12" s="566"/>
      <c r="E12" s="566"/>
      <c r="F12" s="566"/>
      <c r="G12" s="566"/>
      <c r="H12" s="566"/>
      <c r="I12" s="250" t="s">
        <v>1405</v>
      </c>
      <c r="J12" s="566" t="s">
        <v>1406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1407</v>
      </c>
      <c r="B13" s="563"/>
      <c r="C13" s="563"/>
      <c r="D13" s="563"/>
      <c r="E13" s="563"/>
      <c r="F13" s="563"/>
      <c r="G13" s="563"/>
      <c r="H13" s="563"/>
      <c r="I13" s="564" t="s">
        <v>1408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1409</v>
      </c>
      <c r="B14" s="252" t="s">
        <v>1410</v>
      </c>
      <c r="C14" s="252" t="s">
        <v>1411</v>
      </c>
      <c r="D14" s="253" t="s">
        <v>1412</v>
      </c>
      <c r="E14" s="252" t="s">
        <v>52</v>
      </c>
      <c r="F14" s="252" t="s">
        <v>1413</v>
      </c>
      <c r="G14" s="252" t="s">
        <v>1414</v>
      </c>
      <c r="H14" s="252" t="s">
        <v>1415</v>
      </c>
      <c r="I14" s="252" t="s">
        <v>1409</v>
      </c>
      <c r="J14" s="252" t="s">
        <v>1416</v>
      </c>
      <c r="K14" s="252" t="s">
        <v>1417</v>
      </c>
      <c r="L14" s="253" t="s">
        <v>1418</v>
      </c>
      <c r="M14" s="253" t="s">
        <v>52</v>
      </c>
      <c r="N14" s="252" t="s">
        <v>1419</v>
      </c>
      <c r="O14" s="252" t="s">
        <v>1420</v>
      </c>
      <c r="P14" s="254" t="s">
        <v>1415</v>
      </c>
    </row>
    <row r="15" spans="1:17" s="262" customFormat="1" ht="16.5" customHeight="1">
      <c r="A15" s="255" t="s">
        <v>1421</v>
      </c>
      <c r="B15" s="256" t="s">
        <v>3299</v>
      </c>
      <c r="C15" s="256" t="s">
        <v>1642</v>
      </c>
      <c r="D15" s="257" t="s">
        <v>1412</v>
      </c>
      <c r="E15" s="257" t="s">
        <v>1643</v>
      </c>
      <c r="F15" s="257"/>
      <c r="G15" s="256" t="s">
        <v>1422</v>
      </c>
      <c r="H15" s="256" t="s">
        <v>1644</v>
      </c>
      <c r="I15" s="256"/>
      <c r="J15" s="256"/>
      <c r="K15" s="258"/>
      <c r="L15" s="257"/>
      <c r="M15" s="256"/>
      <c r="N15" s="256"/>
      <c r="O15" s="259"/>
      <c r="P15" s="260"/>
      <c r="Q15" s="261"/>
    </row>
    <row r="16" spans="1:17" s="262" customFormat="1" ht="16.5" customHeight="1">
      <c r="A16" s="255" t="s">
        <v>1423</v>
      </c>
      <c r="B16" s="256" t="s">
        <v>3300</v>
      </c>
      <c r="C16" s="256" t="s">
        <v>1645</v>
      </c>
      <c r="D16" s="257"/>
      <c r="E16" s="257" t="s">
        <v>515</v>
      </c>
      <c r="F16" s="257"/>
      <c r="G16" s="256" t="s">
        <v>1424</v>
      </c>
      <c r="H16" s="256"/>
      <c r="I16" s="256"/>
      <c r="J16" s="256"/>
      <c r="K16" s="258"/>
      <c r="L16" s="257"/>
      <c r="M16" s="256"/>
      <c r="N16" s="256"/>
      <c r="O16" s="259"/>
      <c r="P16" s="260"/>
      <c r="Q16" s="261"/>
    </row>
    <row r="17" spans="1:17" s="262" customFormat="1" ht="16.5" customHeight="1">
      <c r="A17" s="255" t="s">
        <v>1423</v>
      </c>
      <c r="B17" s="256" t="s">
        <v>3301</v>
      </c>
      <c r="C17" s="256" t="s">
        <v>1440</v>
      </c>
      <c r="D17" s="257"/>
      <c r="E17" s="257" t="s">
        <v>515</v>
      </c>
      <c r="F17" s="257"/>
      <c r="G17" s="256" t="s">
        <v>1425</v>
      </c>
      <c r="H17" s="256"/>
      <c r="I17" s="256"/>
      <c r="J17" s="256"/>
      <c r="K17" s="258"/>
      <c r="L17" s="257"/>
      <c r="M17" s="256"/>
      <c r="N17" s="256"/>
      <c r="O17" s="259"/>
      <c r="P17" s="260"/>
      <c r="Q17" s="261"/>
    </row>
    <row r="18" spans="1:17" s="265" customFormat="1" ht="36">
      <c r="A18" s="255" t="s">
        <v>1423</v>
      </c>
      <c r="B18" s="256" t="s">
        <v>3302</v>
      </c>
      <c r="C18" s="256" t="s">
        <v>1646</v>
      </c>
      <c r="D18" s="257"/>
      <c r="E18" s="257"/>
      <c r="F18" s="257" t="s">
        <v>1647</v>
      </c>
      <c r="G18" s="256" t="s">
        <v>1427</v>
      </c>
      <c r="H18" s="263" t="s">
        <v>1428</v>
      </c>
      <c r="I18" s="256"/>
      <c r="J18" s="256"/>
      <c r="K18" s="258"/>
      <c r="L18" s="257"/>
      <c r="M18" s="256"/>
      <c r="N18" s="256"/>
      <c r="O18" s="259"/>
      <c r="P18" s="260"/>
      <c r="Q18" s="264"/>
    </row>
    <row r="19" spans="1:17" s="265" customFormat="1" ht="16.5" customHeight="1">
      <c r="A19" s="255" t="s">
        <v>1423</v>
      </c>
      <c r="B19" s="256" t="s">
        <v>3303</v>
      </c>
      <c r="C19" s="256" t="s">
        <v>1440</v>
      </c>
      <c r="D19" s="257"/>
      <c r="E19" s="257"/>
      <c r="F19" s="257"/>
      <c r="G19" s="256" t="s">
        <v>1429</v>
      </c>
      <c r="H19" s="266" t="s">
        <v>1648</v>
      </c>
      <c r="I19" s="256"/>
      <c r="J19" s="256"/>
      <c r="K19" s="258"/>
      <c r="L19" s="257"/>
      <c r="M19" s="256"/>
      <c r="N19" s="256"/>
      <c r="O19" s="259"/>
      <c r="P19" s="260"/>
      <c r="Q19" s="264"/>
    </row>
    <row r="20" spans="1:17" s="265" customFormat="1" ht="36">
      <c r="A20" s="259" t="s">
        <v>1423</v>
      </c>
      <c r="B20" s="256" t="s">
        <v>3304</v>
      </c>
      <c r="C20" s="256" t="s">
        <v>1646</v>
      </c>
      <c r="D20" s="257"/>
      <c r="E20" s="257"/>
      <c r="F20" s="257" t="s">
        <v>1426</v>
      </c>
      <c r="G20" s="256" t="s">
        <v>1427</v>
      </c>
      <c r="H20" s="263" t="s">
        <v>1428</v>
      </c>
      <c r="I20" s="256"/>
      <c r="J20" s="256"/>
      <c r="K20" s="258"/>
      <c r="L20" s="257"/>
      <c r="M20" s="256"/>
      <c r="N20" s="256"/>
      <c r="O20" s="259"/>
      <c r="P20" s="260"/>
      <c r="Q20" s="264"/>
    </row>
    <row r="21" spans="1:17" s="265" customFormat="1" ht="16.5" customHeight="1">
      <c r="A21" s="259" t="s">
        <v>1423</v>
      </c>
      <c r="B21" s="256" t="s">
        <v>3305</v>
      </c>
      <c r="C21" s="256" t="s">
        <v>1440</v>
      </c>
      <c r="D21" s="257"/>
      <c r="E21" s="257"/>
      <c r="F21" s="257"/>
      <c r="G21" s="256" t="s">
        <v>1429</v>
      </c>
      <c r="H21" s="266" t="s">
        <v>1649</v>
      </c>
      <c r="I21" s="256"/>
      <c r="J21" s="256"/>
      <c r="K21" s="258"/>
      <c r="L21" s="257"/>
      <c r="M21" s="256"/>
      <c r="N21" s="256"/>
      <c r="O21" s="259"/>
      <c r="P21" s="260"/>
      <c r="Q21" s="264"/>
    </row>
    <row r="22" spans="1:17" s="265" customFormat="1" ht="16.5" customHeight="1">
      <c r="A22" s="259" t="s">
        <v>1423</v>
      </c>
      <c r="B22" s="256" t="s">
        <v>3306</v>
      </c>
      <c r="C22" s="256" t="s">
        <v>1434</v>
      </c>
      <c r="D22" s="257"/>
      <c r="E22" s="257" t="s">
        <v>515</v>
      </c>
      <c r="F22" s="257">
        <v>1</v>
      </c>
      <c r="G22" s="256" t="s">
        <v>1650</v>
      </c>
      <c r="H22" s="256" t="s">
        <v>410</v>
      </c>
      <c r="I22" s="256" t="s">
        <v>1651</v>
      </c>
      <c r="J22" s="256" t="s">
        <v>1433</v>
      </c>
      <c r="K22" s="258" t="s">
        <v>1652</v>
      </c>
      <c r="L22" s="257"/>
      <c r="M22" s="256"/>
      <c r="N22" s="256"/>
      <c r="O22" s="259"/>
      <c r="P22" s="260"/>
      <c r="Q22" s="264"/>
    </row>
    <row r="23" spans="1:17" s="265" customFormat="1" ht="16.5" customHeight="1">
      <c r="A23" s="255" t="s">
        <v>1423</v>
      </c>
      <c r="B23" s="256" t="s">
        <v>1653</v>
      </c>
      <c r="C23" s="256" t="s">
        <v>1654</v>
      </c>
      <c r="D23" s="257"/>
      <c r="E23" s="257"/>
      <c r="F23" s="257"/>
      <c r="G23" s="256" t="s">
        <v>1655</v>
      </c>
      <c r="H23" s="256"/>
      <c r="I23" s="256"/>
      <c r="J23" s="256"/>
      <c r="K23" s="258"/>
      <c r="L23" s="257"/>
      <c r="M23" s="256"/>
      <c r="N23" s="256"/>
      <c r="O23" s="259"/>
      <c r="P23" s="260"/>
      <c r="Q23" s="264"/>
    </row>
    <row r="24" spans="1:17" s="265" customFormat="1" ht="16.5" customHeight="1">
      <c r="A24" s="255" t="s">
        <v>1423</v>
      </c>
      <c r="B24" s="256" t="s">
        <v>1439</v>
      </c>
      <c r="C24" s="256" t="s">
        <v>1436</v>
      </c>
      <c r="D24" s="257"/>
      <c r="E24" s="257" t="s">
        <v>515</v>
      </c>
      <c r="F24" s="257"/>
      <c r="G24" s="256" t="s">
        <v>82</v>
      </c>
      <c r="H24" s="256" t="s">
        <v>1437</v>
      </c>
      <c r="I24" s="256" t="s">
        <v>1656</v>
      </c>
      <c r="J24" s="256" t="s">
        <v>1657</v>
      </c>
      <c r="K24" s="258" t="s">
        <v>1436</v>
      </c>
      <c r="L24" s="257"/>
      <c r="M24" s="256"/>
      <c r="N24" s="256"/>
      <c r="O24" s="259"/>
      <c r="P24" s="260"/>
      <c r="Q24" s="264"/>
    </row>
    <row r="25" spans="1:17" s="265" customFormat="1" ht="16.5" customHeight="1">
      <c r="A25" s="255" t="s">
        <v>1423</v>
      </c>
      <c r="B25" s="256" t="s">
        <v>1442</v>
      </c>
      <c r="C25" s="256" t="s">
        <v>1440</v>
      </c>
      <c r="D25" s="257"/>
      <c r="E25" s="257" t="s">
        <v>515</v>
      </c>
      <c r="F25" s="257"/>
      <c r="G25" s="256" t="s">
        <v>1441</v>
      </c>
      <c r="H25" s="256" t="s">
        <v>1542</v>
      </c>
      <c r="I25" s="256" t="s">
        <v>1438</v>
      </c>
      <c r="J25" s="256" t="s">
        <v>1442</v>
      </c>
      <c r="K25" s="258" t="s">
        <v>1443</v>
      </c>
      <c r="L25" s="257"/>
      <c r="M25" s="256"/>
      <c r="N25" s="256"/>
      <c r="O25" s="259"/>
      <c r="P25" s="260"/>
      <c r="Q25" s="264"/>
    </row>
    <row r="26" spans="1:17" s="265" customFormat="1" ht="16.5" customHeight="1">
      <c r="A26" s="255" t="s">
        <v>1423</v>
      </c>
      <c r="B26" s="256" t="s">
        <v>1444</v>
      </c>
      <c r="C26" s="256" t="s">
        <v>1436</v>
      </c>
      <c r="D26" s="257"/>
      <c r="E26" s="257"/>
      <c r="F26" s="257"/>
      <c r="G26" s="256" t="s">
        <v>1658</v>
      </c>
      <c r="H26" s="256" t="s">
        <v>1659</v>
      </c>
      <c r="I26" s="256" t="s">
        <v>1656</v>
      </c>
      <c r="J26" s="256" t="s">
        <v>1444</v>
      </c>
      <c r="K26" s="258" t="s">
        <v>1436</v>
      </c>
      <c r="L26" s="257"/>
      <c r="M26" s="256"/>
      <c r="N26" s="256"/>
      <c r="O26" s="259"/>
      <c r="P26" s="260"/>
      <c r="Q26" s="264"/>
    </row>
    <row r="27" spans="1:17" s="265" customFormat="1" ht="16.5" customHeight="1">
      <c r="A27" s="255" t="s">
        <v>1423</v>
      </c>
      <c r="B27" s="256" t="s">
        <v>1660</v>
      </c>
      <c r="C27" s="256" t="s">
        <v>1440</v>
      </c>
      <c r="D27" s="257"/>
      <c r="E27" s="257"/>
      <c r="F27" s="257"/>
      <c r="G27" s="256" t="s">
        <v>1547</v>
      </c>
      <c r="H27" s="256" t="s">
        <v>1661</v>
      </c>
      <c r="I27" s="256" t="s">
        <v>1656</v>
      </c>
      <c r="J27" s="256" t="s">
        <v>1446</v>
      </c>
      <c r="K27" s="258" t="s">
        <v>1443</v>
      </c>
      <c r="L27" s="257"/>
      <c r="M27" s="256"/>
      <c r="N27" s="256"/>
      <c r="O27" s="259"/>
      <c r="P27" s="260"/>
      <c r="Q27" s="264"/>
    </row>
    <row r="28" spans="1:17">
      <c r="A28" s="267" t="s">
        <v>1423</v>
      </c>
      <c r="B28" s="268" t="s">
        <v>1662</v>
      </c>
      <c r="C28" s="268" t="s">
        <v>1447</v>
      </c>
      <c r="D28" s="269" t="s">
        <v>1412</v>
      </c>
      <c r="E28" s="269" t="s">
        <v>515</v>
      </c>
      <c r="F28" s="269">
        <v>1000</v>
      </c>
      <c r="G28" s="268" t="s">
        <v>1448</v>
      </c>
      <c r="H28" s="270"/>
      <c r="I28" s="270"/>
      <c r="J28" s="270" t="s">
        <v>1663</v>
      </c>
      <c r="K28" s="270"/>
      <c r="L28" s="269"/>
      <c r="M28" s="269"/>
      <c r="N28" s="269"/>
      <c r="O28" s="270"/>
      <c r="P28" s="271" t="s">
        <v>1450</v>
      </c>
    </row>
    <row r="29" spans="1:17">
      <c r="A29" s="267" t="s">
        <v>1423</v>
      </c>
      <c r="B29" s="268" t="s">
        <v>1664</v>
      </c>
      <c r="C29" s="268" t="s">
        <v>1447</v>
      </c>
      <c r="D29" s="269" t="s">
        <v>1412</v>
      </c>
      <c r="E29" s="269" t="s">
        <v>515</v>
      </c>
      <c r="F29" s="269">
        <v>1000</v>
      </c>
      <c r="G29" s="268" t="s">
        <v>1452</v>
      </c>
      <c r="H29" s="270"/>
      <c r="I29" s="270"/>
      <c r="J29" s="270" t="s">
        <v>1665</v>
      </c>
      <c r="K29" s="270"/>
      <c r="L29" s="269"/>
      <c r="M29" s="269"/>
      <c r="N29" s="269"/>
      <c r="O29" s="273"/>
      <c r="P29" s="271" t="s">
        <v>1666</v>
      </c>
    </row>
    <row r="30" spans="1:17">
      <c r="A30" s="274"/>
      <c r="B30" s="275"/>
      <c r="C30" s="275"/>
      <c r="D30" s="276"/>
      <c r="E30" s="276"/>
      <c r="F30" s="276"/>
      <c r="G30" s="275"/>
      <c r="H30" s="275"/>
      <c r="I30" s="275" t="s">
        <v>1667</v>
      </c>
      <c r="J30" s="275" t="s">
        <v>1668</v>
      </c>
      <c r="K30" s="275" t="s">
        <v>1468</v>
      </c>
      <c r="L30" s="276" t="s">
        <v>1412</v>
      </c>
      <c r="M30" s="276" t="s">
        <v>57</v>
      </c>
      <c r="N30" s="276"/>
      <c r="O30" s="275" t="s">
        <v>1669</v>
      </c>
      <c r="P30" s="277" t="s">
        <v>1670</v>
      </c>
    </row>
    <row r="31" spans="1:17">
      <c r="A31" s="274" t="s">
        <v>1671</v>
      </c>
      <c r="B31" s="278" t="s">
        <v>1672</v>
      </c>
      <c r="C31" s="278" t="s">
        <v>1453</v>
      </c>
      <c r="D31" s="279" t="s">
        <v>1412</v>
      </c>
      <c r="E31" s="279" t="s">
        <v>515</v>
      </c>
      <c r="F31" s="279"/>
      <c r="G31" s="278" t="s">
        <v>822</v>
      </c>
      <c r="H31" s="275" t="s">
        <v>1454</v>
      </c>
      <c r="I31" s="275" t="s">
        <v>1673</v>
      </c>
      <c r="J31" s="275" t="s">
        <v>1674</v>
      </c>
      <c r="K31" s="280" t="s">
        <v>1675</v>
      </c>
      <c r="L31" s="276"/>
      <c r="M31" s="276" t="s">
        <v>1676</v>
      </c>
      <c r="N31" s="276"/>
      <c r="O31" s="275" t="s">
        <v>1455</v>
      </c>
      <c r="P31" s="277"/>
    </row>
    <row r="32" spans="1:17">
      <c r="A32" s="274" t="s">
        <v>1423</v>
      </c>
      <c r="B32" s="275" t="s">
        <v>1677</v>
      </c>
      <c r="C32" s="275" t="s">
        <v>1456</v>
      </c>
      <c r="D32" s="276"/>
      <c r="E32" s="276" t="s">
        <v>515</v>
      </c>
      <c r="F32" s="276"/>
      <c r="G32" s="275" t="s">
        <v>1678</v>
      </c>
      <c r="H32" s="275"/>
      <c r="I32" s="275" t="s">
        <v>1679</v>
      </c>
      <c r="J32" s="275" t="s">
        <v>1680</v>
      </c>
      <c r="K32" s="280" t="s">
        <v>1456</v>
      </c>
      <c r="L32" s="276"/>
      <c r="M32" s="276" t="s">
        <v>57</v>
      </c>
      <c r="N32" s="276"/>
      <c r="O32" s="275" t="s">
        <v>1457</v>
      </c>
      <c r="P32" s="277"/>
    </row>
    <row r="33" spans="1:16" ht="24">
      <c r="A33" s="267" t="s">
        <v>1423</v>
      </c>
      <c r="B33" s="268" t="s">
        <v>1458</v>
      </c>
      <c r="C33" s="268" t="s">
        <v>1459</v>
      </c>
      <c r="D33" s="269"/>
      <c r="E33" s="269"/>
      <c r="F33" s="269"/>
      <c r="G33" s="268" t="s">
        <v>1681</v>
      </c>
      <c r="H33" s="281" t="s">
        <v>1682</v>
      </c>
      <c r="I33" s="270"/>
      <c r="J33" s="270" t="s">
        <v>1665</v>
      </c>
      <c r="K33" s="270"/>
      <c r="L33" s="269"/>
      <c r="M33" s="269"/>
      <c r="N33" s="269"/>
      <c r="O33" s="282"/>
      <c r="P33" s="271" t="s">
        <v>1683</v>
      </c>
    </row>
    <row r="34" spans="1:16" ht="24">
      <c r="A34" s="267" t="s">
        <v>1423</v>
      </c>
      <c r="B34" s="268" t="s">
        <v>1461</v>
      </c>
      <c r="C34" s="268" t="s">
        <v>1459</v>
      </c>
      <c r="D34" s="269"/>
      <c r="E34" s="269"/>
      <c r="F34" s="269"/>
      <c r="G34" s="268" t="s">
        <v>1684</v>
      </c>
      <c r="H34" s="281" t="s">
        <v>1685</v>
      </c>
      <c r="I34" s="270"/>
      <c r="J34" s="270" t="s">
        <v>1665</v>
      </c>
      <c r="K34" s="270"/>
      <c r="L34" s="269"/>
      <c r="M34" s="269"/>
      <c r="N34" s="269"/>
      <c r="O34" s="270"/>
      <c r="P34" s="271" t="s">
        <v>1686</v>
      </c>
    </row>
    <row r="35" spans="1:16" ht="24">
      <c r="A35" s="274" t="s">
        <v>1423</v>
      </c>
      <c r="B35" s="283" t="s">
        <v>1462</v>
      </c>
      <c r="C35" s="283" t="s">
        <v>1459</v>
      </c>
      <c r="D35" s="276"/>
      <c r="E35" s="276"/>
      <c r="F35" s="276"/>
      <c r="G35" s="283" t="s">
        <v>1687</v>
      </c>
      <c r="H35" s="284" t="s">
        <v>1688</v>
      </c>
      <c r="I35" s="275" t="s">
        <v>1438</v>
      </c>
      <c r="J35" s="275" t="s">
        <v>1689</v>
      </c>
      <c r="K35" s="275" t="s">
        <v>1468</v>
      </c>
      <c r="L35" s="276"/>
      <c r="M35" s="276" t="s">
        <v>515</v>
      </c>
      <c r="N35" s="276"/>
      <c r="O35" s="275" t="s">
        <v>1463</v>
      </c>
      <c r="P35" s="277"/>
    </row>
    <row r="36" spans="1:16" ht="24">
      <c r="A36" s="267" t="s">
        <v>1423</v>
      </c>
      <c r="B36" s="268" t="s">
        <v>1690</v>
      </c>
      <c r="C36" s="268" t="s">
        <v>1464</v>
      </c>
      <c r="D36" s="269"/>
      <c r="E36" s="269"/>
      <c r="F36" s="269"/>
      <c r="G36" s="268" t="s">
        <v>1465</v>
      </c>
      <c r="H36" s="281" t="s">
        <v>1466</v>
      </c>
      <c r="I36" s="270" t="s">
        <v>1438</v>
      </c>
      <c r="J36" s="270" t="s">
        <v>1467</v>
      </c>
      <c r="K36" s="270" t="s">
        <v>1691</v>
      </c>
      <c r="L36" s="269"/>
      <c r="M36" s="269" t="s">
        <v>515</v>
      </c>
      <c r="N36" s="269"/>
      <c r="O36" s="270" t="s">
        <v>1469</v>
      </c>
      <c r="P36" s="271" t="s">
        <v>1470</v>
      </c>
    </row>
    <row r="37" spans="1:16">
      <c r="A37" s="274" t="s">
        <v>1423</v>
      </c>
      <c r="B37" s="283" t="s">
        <v>1471</v>
      </c>
      <c r="C37" s="283" t="s">
        <v>1472</v>
      </c>
      <c r="D37" s="276"/>
      <c r="E37" s="276"/>
      <c r="F37" s="276"/>
      <c r="G37" s="283" t="s">
        <v>1473</v>
      </c>
      <c r="H37" s="275"/>
      <c r="I37" s="275" t="s">
        <v>1438</v>
      </c>
      <c r="J37" s="275" t="s">
        <v>1088</v>
      </c>
      <c r="K37" s="280" t="s">
        <v>1692</v>
      </c>
      <c r="L37" s="276"/>
      <c r="M37" s="276"/>
      <c r="N37" s="276"/>
      <c r="O37" s="275" t="s">
        <v>1474</v>
      </c>
      <c r="P37" s="277"/>
    </row>
    <row r="38" spans="1:16">
      <c r="A38" s="274" t="s">
        <v>1423</v>
      </c>
      <c r="B38" s="283" t="s">
        <v>1475</v>
      </c>
      <c r="C38" s="283" t="s">
        <v>1464</v>
      </c>
      <c r="D38" s="276"/>
      <c r="E38" s="276"/>
      <c r="F38" s="276"/>
      <c r="G38" s="283" t="s">
        <v>1476</v>
      </c>
      <c r="H38" s="275" t="s">
        <v>1693</v>
      </c>
      <c r="I38" s="275" t="s">
        <v>1679</v>
      </c>
      <c r="J38" s="275" t="s">
        <v>1694</v>
      </c>
      <c r="K38" s="275" t="s">
        <v>1557</v>
      </c>
      <c r="L38" s="276"/>
      <c r="M38" s="276"/>
      <c r="N38" s="276"/>
      <c r="O38" s="275" t="s">
        <v>1695</v>
      </c>
      <c r="P38" s="277"/>
    </row>
    <row r="39" spans="1:16">
      <c r="A39" s="274" t="s">
        <v>1423</v>
      </c>
      <c r="B39" s="283" t="s">
        <v>1477</v>
      </c>
      <c r="C39" s="283" t="s">
        <v>1478</v>
      </c>
      <c r="D39" s="276"/>
      <c r="E39" s="276"/>
      <c r="F39" s="276"/>
      <c r="G39" s="283" t="s">
        <v>1696</v>
      </c>
      <c r="H39" s="275" t="s">
        <v>1479</v>
      </c>
      <c r="I39" s="275" t="s">
        <v>1697</v>
      </c>
      <c r="J39" s="275" t="s">
        <v>1698</v>
      </c>
      <c r="K39" s="275" t="s">
        <v>1699</v>
      </c>
      <c r="L39" s="276"/>
      <c r="M39" s="276" t="s">
        <v>515</v>
      </c>
      <c r="N39" s="276"/>
      <c r="O39" s="275" t="s">
        <v>1480</v>
      </c>
      <c r="P39" s="277"/>
    </row>
    <row r="40" spans="1:16">
      <c r="A40" s="274" t="s">
        <v>1423</v>
      </c>
      <c r="B40" s="283" t="s">
        <v>1481</v>
      </c>
      <c r="C40" s="283" t="s">
        <v>1478</v>
      </c>
      <c r="D40" s="276"/>
      <c r="E40" s="276"/>
      <c r="F40" s="276"/>
      <c r="G40" s="283" t="s">
        <v>1700</v>
      </c>
      <c r="H40" s="284" t="s">
        <v>1482</v>
      </c>
      <c r="I40" s="275" t="s">
        <v>1697</v>
      </c>
      <c r="J40" s="275" t="s">
        <v>1701</v>
      </c>
      <c r="K40" s="275" t="s">
        <v>1699</v>
      </c>
      <c r="L40" s="276"/>
      <c r="M40" s="276" t="s">
        <v>515</v>
      </c>
      <c r="N40" s="276"/>
      <c r="O40" s="275" t="s">
        <v>1483</v>
      </c>
      <c r="P40" s="277"/>
    </row>
    <row r="41" spans="1:16">
      <c r="A41" s="274" t="s">
        <v>1423</v>
      </c>
      <c r="B41" s="283" t="s">
        <v>1484</v>
      </c>
      <c r="C41" s="283" t="s">
        <v>1478</v>
      </c>
      <c r="D41" s="276"/>
      <c r="E41" s="276"/>
      <c r="F41" s="276"/>
      <c r="G41" s="283" t="s">
        <v>1485</v>
      </c>
      <c r="H41" s="275" t="s">
        <v>1486</v>
      </c>
      <c r="I41" s="275" t="s">
        <v>1697</v>
      </c>
      <c r="J41" s="275" t="s">
        <v>1702</v>
      </c>
      <c r="K41" s="275" t="s">
        <v>1675</v>
      </c>
      <c r="L41" s="276"/>
      <c r="M41" s="276" t="s">
        <v>515</v>
      </c>
      <c r="N41" s="276"/>
      <c r="O41" s="275" t="s">
        <v>1487</v>
      </c>
      <c r="P41" s="277"/>
    </row>
    <row r="42" spans="1:16">
      <c r="A42" s="267" t="s">
        <v>1423</v>
      </c>
      <c r="B42" s="268" t="s">
        <v>1488</v>
      </c>
      <c r="C42" s="268" t="s">
        <v>1478</v>
      </c>
      <c r="D42" s="269"/>
      <c r="E42" s="269"/>
      <c r="F42" s="269"/>
      <c r="G42" s="268" t="s">
        <v>1489</v>
      </c>
      <c r="H42" s="270" t="s">
        <v>1703</v>
      </c>
      <c r="I42" s="270"/>
      <c r="J42" s="270" t="s">
        <v>1449</v>
      </c>
      <c r="K42" s="270"/>
      <c r="L42" s="269"/>
      <c r="M42" s="269"/>
      <c r="N42" s="269"/>
      <c r="O42" s="270"/>
      <c r="P42" s="271" t="s">
        <v>1666</v>
      </c>
    </row>
    <row r="43" spans="1:16">
      <c r="A43" s="267" t="s">
        <v>1423</v>
      </c>
      <c r="B43" s="268" t="s">
        <v>1490</v>
      </c>
      <c r="C43" s="268" t="s">
        <v>1478</v>
      </c>
      <c r="D43" s="269"/>
      <c r="E43" s="269"/>
      <c r="F43" s="269"/>
      <c r="G43" s="268" t="s">
        <v>1491</v>
      </c>
      <c r="H43" s="270" t="s">
        <v>1704</v>
      </c>
      <c r="I43" s="270"/>
      <c r="J43" s="270" t="s">
        <v>1663</v>
      </c>
      <c r="K43" s="270"/>
      <c r="L43" s="269"/>
      <c r="M43" s="269"/>
      <c r="N43" s="269"/>
      <c r="O43" s="270"/>
      <c r="P43" s="271" t="s">
        <v>1683</v>
      </c>
    </row>
    <row r="44" spans="1:16" ht="24">
      <c r="A44" s="267" t="s">
        <v>1423</v>
      </c>
      <c r="B44" s="268" t="s">
        <v>1492</v>
      </c>
      <c r="C44" s="268" t="s">
        <v>1472</v>
      </c>
      <c r="D44" s="269"/>
      <c r="E44" s="269"/>
      <c r="F44" s="269"/>
      <c r="G44" s="268" t="s">
        <v>1705</v>
      </c>
      <c r="H44" s="270" t="s">
        <v>3342</v>
      </c>
      <c r="I44" s="275" t="s">
        <v>1438</v>
      </c>
      <c r="J44" s="280" t="s">
        <v>1706</v>
      </c>
      <c r="K44" s="280" t="s">
        <v>1707</v>
      </c>
      <c r="L44" s="285"/>
      <c r="M44" s="285"/>
      <c r="N44" s="285"/>
      <c r="O44" s="286" t="s">
        <v>1493</v>
      </c>
      <c r="P44" s="287" t="s">
        <v>1494</v>
      </c>
    </row>
    <row r="45" spans="1:16" ht="60">
      <c r="A45" s="274" t="s">
        <v>1423</v>
      </c>
      <c r="B45" s="283" t="s">
        <v>1495</v>
      </c>
      <c r="C45" s="283" t="s">
        <v>1478</v>
      </c>
      <c r="D45" s="276"/>
      <c r="E45" s="276"/>
      <c r="F45" s="276"/>
      <c r="G45" s="283" t="s">
        <v>1496</v>
      </c>
      <c r="H45" s="340" t="s">
        <v>3344</v>
      </c>
      <c r="I45" s="275" t="s">
        <v>1667</v>
      </c>
      <c r="J45" s="275" t="s">
        <v>3341</v>
      </c>
      <c r="K45" s="275" t="s">
        <v>1691</v>
      </c>
      <c r="L45" s="276"/>
      <c r="M45" s="276" t="s">
        <v>515</v>
      </c>
      <c r="N45" s="276"/>
      <c r="O45" s="340" t="s">
        <v>3345</v>
      </c>
      <c r="P45" s="277"/>
    </row>
    <row r="46" spans="1:16">
      <c r="A46" s="267" t="s">
        <v>1423</v>
      </c>
      <c r="B46" s="268" t="s">
        <v>1497</v>
      </c>
      <c r="C46" s="268" t="s">
        <v>1478</v>
      </c>
      <c r="D46" s="269"/>
      <c r="E46" s="269"/>
      <c r="F46" s="269"/>
      <c r="G46" s="268" t="s">
        <v>1498</v>
      </c>
      <c r="H46" s="270" t="s">
        <v>1708</v>
      </c>
      <c r="I46" s="270"/>
      <c r="J46" s="270" t="s">
        <v>1709</v>
      </c>
      <c r="K46" s="270"/>
      <c r="L46" s="269"/>
      <c r="M46" s="269"/>
      <c r="N46" s="269"/>
      <c r="O46" s="270" t="s">
        <v>1710</v>
      </c>
      <c r="P46" s="271" t="s">
        <v>1666</v>
      </c>
    </row>
    <row r="47" spans="1:16">
      <c r="A47" s="267" t="s">
        <v>1423</v>
      </c>
      <c r="B47" s="268" t="s">
        <v>1499</v>
      </c>
      <c r="C47" s="268" t="s">
        <v>1478</v>
      </c>
      <c r="D47" s="269"/>
      <c r="E47" s="269"/>
      <c r="F47" s="269"/>
      <c r="G47" s="268" t="s">
        <v>1500</v>
      </c>
      <c r="H47" s="270" t="s">
        <v>1711</v>
      </c>
      <c r="I47" s="270"/>
      <c r="J47" s="270" t="s">
        <v>1665</v>
      </c>
      <c r="K47" s="270"/>
      <c r="L47" s="269"/>
      <c r="M47" s="269"/>
      <c r="N47" s="269"/>
      <c r="O47" s="270" t="s">
        <v>1712</v>
      </c>
      <c r="P47" s="271" t="s">
        <v>1683</v>
      </c>
    </row>
    <row r="48" spans="1:16">
      <c r="A48" s="267" t="s">
        <v>1423</v>
      </c>
      <c r="B48" s="268" t="s">
        <v>1501</v>
      </c>
      <c r="C48" s="268" t="s">
        <v>1478</v>
      </c>
      <c r="D48" s="269"/>
      <c r="E48" s="269"/>
      <c r="F48" s="269"/>
      <c r="G48" s="268" t="s">
        <v>1502</v>
      </c>
      <c r="H48" s="270" t="s">
        <v>1713</v>
      </c>
      <c r="I48" s="270"/>
      <c r="J48" s="273" t="s">
        <v>1714</v>
      </c>
      <c r="K48" s="270"/>
      <c r="L48" s="269"/>
      <c r="M48" s="269"/>
      <c r="N48" s="269"/>
      <c r="O48" s="270" t="s">
        <v>1710</v>
      </c>
      <c r="P48" s="271" t="s">
        <v>1715</v>
      </c>
    </row>
    <row r="49" spans="1:16">
      <c r="A49" s="288" t="s">
        <v>1423</v>
      </c>
      <c r="B49" s="56" t="s">
        <v>1503</v>
      </c>
      <c r="C49" s="275" t="s">
        <v>1435</v>
      </c>
      <c r="D49" s="276"/>
      <c r="E49" s="276"/>
      <c r="F49" s="276"/>
      <c r="G49" s="275" t="s">
        <v>122</v>
      </c>
      <c r="H49" s="275" t="s">
        <v>1504</v>
      </c>
      <c r="I49" s="275" t="s">
        <v>1438</v>
      </c>
      <c r="J49" s="275" t="s">
        <v>1716</v>
      </c>
      <c r="K49" s="280" t="s">
        <v>1717</v>
      </c>
      <c r="L49" s="276"/>
      <c r="M49" s="276"/>
      <c r="N49" s="276"/>
      <c r="O49" s="275" t="s">
        <v>1718</v>
      </c>
      <c r="P49" s="277"/>
    </row>
    <row r="50" spans="1:16">
      <c r="A50" s="288" t="s">
        <v>1423</v>
      </c>
      <c r="B50" s="275" t="s">
        <v>1719</v>
      </c>
      <c r="C50" s="275" t="s">
        <v>1720</v>
      </c>
      <c r="D50" s="276"/>
      <c r="E50" s="276"/>
      <c r="F50" s="276"/>
      <c r="G50" s="275" t="s">
        <v>1721</v>
      </c>
      <c r="H50" s="275"/>
      <c r="I50" s="275" t="s">
        <v>1722</v>
      </c>
      <c r="J50" s="275" t="s">
        <v>1723</v>
      </c>
      <c r="K50" s="275" t="s">
        <v>1724</v>
      </c>
      <c r="L50" s="276"/>
      <c r="M50" s="276" t="s">
        <v>515</v>
      </c>
      <c r="N50" s="276"/>
      <c r="O50" s="275" t="s">
        <v>1725</v>
      </c>
      <c r="P50" s="277"/>
    </row>
    <row r="51" spans="1:16" ht="16.5" customHeight="1">
      <c r="A51" s="267"/>
      <c r="B51" s="268"/>
      <c r="C51" s="268"/>
      <c r="D51" s="269"/>
      <c r="E51" s="269"/>
      <c r="F51" s="269"/>
      <c r="G51" s="268"/>
      <c r="H51" s="270"/>
      <c r="I51" s="270"/>
      <c r="J51" s="270"/>
      <c r="K51" s="270"/>
      <c r="L51" s="269"/>
      <c r="M51" s="269"/>
      <c r="N51" s="269"/>
      <c r="O51" s="270"/>
      <c r="P51" s="271"/>
    </row>
    <row r="52" spans="1:16">
      <c r="A52" s="267"/>
      <c r="B52" s="268"/>
      <c r="C52" s="268"/>
      <c r="D52" s="269"/>
      <c r="E52" s="269"/>
      <c r="F52" s="269"/>
      <c r="G52" s="268"/>
      <c r="H52" s="270"/>
      <c r="I52" s="270"/>
      <c r="J52" s="270"/>
      <c r="K52" s="270"/>
      <c r="L52" s="269"/>
      <c r="M52" s="269"/>
      <c r="N52" s="269"/>
      <c r="O52" s="270"/>
      <c r="P52" s="271"/>
    </row>
    <row r="53" spans="1:16">
      <c r="A53" s="267"/>
      <c r="B53" s="268"/>
      <c r="C53" s="268"/>
      <c r="D53" s="269"/>
      <c r="E53" s="269"/>
      <c r="F53" s="269"/>
      <c r="G53" s="268"/>
      <c r="H53" s="270"/>
      <c r="I53" s="270"/>
      <c r="J53" s="270"/>
      <c r="K53" s="270"/>
      <c r="L53" s="269"/>
      <c r="M53" s="269"/>
      <c r="N53" s="269"/>
      <c r="O53" s="270"/>
      <c r="P53" s="271"/>
    </row>
    <row r="54" spans="1:16">
      <c r="A54" s="267"/>
      <c r="B54" s="268"/>
      <c r="C54" s="268"/>
      <c r="D54" s="269"/>
      <c r="E54" s="269"/>
      <c r="F54" s="269"/>
      <c r="G54" s="268"/>
      <c r="H54" s="270"/>
      <c r="I54" s="270"/>
      <c r="J54" s="270"/>
      <c r="K54" s="270"/>
      <c r="L54" s="269"/>
      <c r="M54" s="269"/>
      <c r="N54" s="269"/>
      <c r="O54" s="270"/>
      <c r="P54" s="271"/>
    </row>
    <row r="55" spans="1:16">
      <c r="A55" s="288"/>
      <c r="B55" s="275"/>
      <c r="C55" s="275"/>
      <c r="D55" s="276"/>
      <c r="E55" s="276"/>
      <c r="F55" s="276"/>
      <c r="G55" s="275"/>
      <c r="H55" s="275"/>
      <c r="I55" s="275"/>
      <c r="J55" s="275"/>
      <c r="K55" s="275"/>
      <c r="L55" s="276"/>
      <c r="M55" s="276"/>
      <c r="N55" s="276"/>
      <c r="O55" s="275"/>
      <c r="P55" s="277"/>
    </row>
    <row r="56" spans="1:16" ht="17.25" thickBot="1">
      <c r="A56" s="289" t="s">
        <v>1726</v>
      </c>
      <c r="B56" s="557"/>
      <c r="C56" s="557"/>
      <c r="D56" s="557"/>
      <c r="E56" s="557"/>
      <c r="F56" s="557"/>
      <c r="G56" s="557"/>
      <c r="H56" s="557"/>
      <c r="I56" s="557"/>
      <c r="J56" s="557"/>
      <c r="K56" s="557"/>
      <c r="L56" s="557"/>
      <c r="M56" s="557"/>
      <c r="N56" s="557"/>
      <c r="O56" s="557"/>
      <c r="P56" s="558"/>
    </row>
    <row r="57" spans="1:16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</row>
  </sheetData>
  <mergeCells count="17">
    <mergeCell ref="B9:C9"/>
    <mergeCell ref="D9:H9"/>
    <mergeCell ref="J9:P9"/>
    <mergeCell ref="A13:H13"/>
    <mergeCell ref="I13:P13"/>
    <mergeCell ref="B56:P56"/>
    <mergeCell ref="B10:H10"/>
    <mergeCell ref="J10:P10"/>
    <mergeCell ref="A11:H11"/>
    <mergeCell ref="I11:P11"/>
    <mergeCell ref="B12:H12"/>
    <mergeCell ref="J12:P12"/>
    <mergeCell ref="B2:P2"/>
    <mergeCell ref="B3:P3"/>
    <mergeCell ref="B4:P4"/>
    <mergeCell ref="A5:A8"/>
    <mergeCell ref="B5:P8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7633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4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5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6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7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7638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DDEBF7"/>
    <pageSetUpPr fitToPage="1"/>
  </sheetPr>
  <dimension ref="A1:AC45"/>
  <sheetViews>
    <sheetView zoomScaleSheetLayoutView="100" zoomScalePageLayoutView="55" workbookViewId="0">
      <selection activeCell="R5" sqref="R5:AC5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ERP_인터페이스목록!C5</f>
        <v>거래처 등록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ERP_인터페이스목록!G5</f>
        <v>E2W_CONT_REG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>
        <f>ERP_인터페이스목록!J5</f>
        <v>0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42</v>
      </c>
      <c r="C4" s="516"/>
      <c r="D4" s="516"/>
      <c r="E4" s="515" t="str">
        <f>ERP_인터페이스목록!L5</f>
        <v>DB to DB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ERP_인터페이스목록!D5</f>
        <v>ERP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ERP_인터페이스목록!E5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204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 ht="15" customHeight="1">
      <c r="B8" s="4" t="s">
        <v>46</v>
      </c>
      <c r="C8" s="500" t="s">
        <v>36</v>
      </c>
      <c r="D8" s="500"/>
      <c r="E8" s="500"/>
      <c r="F8" s="500"/>
      <c r="G8" s="500"/>
      <c r="H8" s="500"/>
      <c r="I8" s="500"/>
      <c r="J8" s="500"/>
      <c r="K8" s="500" t="s">
        <v>48</v>
      </c>
      <c r="L8" s="500"/>
      <c r="M8" s="500"/>
      <c r="N8" s="500"/>
      <c r="O8" s="512" t="s">
        <v>49</v>
      </c>
      <c r="P8" s="513"/>
      <c r="Q8" s="500" t="s">
        <v>50</v>
      </c>
      <c r="R8" s="500"/>
      <c r="S8" s="500" t="s">
        <v>51</v>
      </c>
      <c r="T8" s="500"/>
      <c r="U8" s="500" t="s">
        <v>52</v>
      </c>
      <c r="V8" s="500"/>
      <c r="W8" s="500" t="s">
        <v>205</v>
      </c>
      <c r="X8" s="500"/>
      <c r="Y8" s="500"/>
      <c r="Z8" s="500"/>
      <c r="AA8" s="500"/>
      <c r="AB8" s="500"/>
      <c r="AC8" s="500"/>
    </row>
    <row r="9" spans="1:29" ht="30.6" customHeight="1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206</v>
      </c>
      <c r="L9" s="510"/>
      <c r="M9" s="510"/>
      <c r="N9" s="511"/>
      <c r="O9" s="467" t="s">
        <v>56</v>
      </c>
      <c r="P9" s="468"/>
      <c r="Q9" s="467">
        <v>10</v>
      </c>
      <c r="R9" s="468"/>
      <c r="S9" s="467"/>
      <c r="T9" s="468"/>
      <c r="U9" s="467" t="s">
        <v>207</v>
      </c>
      <c r="V9" s="468"/>
      <c r="W9" s="493" t="s">
        <v>169</v>
      </c>
      <c r="X9" s="544"/>
      <c r="Y9" s="544"/>
      <c r="Z9" s="544"/>
      <c r="AA9" s="544"/>
      <c r="AB9" s="544"/>
      <c r="AC9" s="545"/>
    </row>
    <row r="10" spans="1:29" ht="1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208</v>
      </c>
      <c r="L10" s="501"/>
      <c r="M10" s="501"/>
      <c r="N10" s="501"/>
      <c r="O10" s="502" t="s">
        <v>209</v>
      </c>
      <c r="P10" s="502"/>
      <c r="Q10" s="502">
        <v>20</v>
      </c>
      <c r="R10" s="502"/>
      <c r="S10" s="502"/>
      <c r="T10" s="502"/>
      <c r="U10" s="502"/>
      <c r="V10" s="502"/>
      <c r="W10" s="503" t="s">
        <v>211</v>
      </c>
      <c r="X10" s="501"/>
      <c r="Y10" s="501"/>
      <c r="Z10" s="501"/>
      <c r="AA10" s="501"/>
      <c r="AB10" s="501"/>
      <c r="AC10" s="501"/>
    </row>
    <row r="11" spans="1:29" ht="15" customHeight="1">
      <c r="B11" s="104">
        <v>1</v>
      </c>
      <c r="C11" s="53" t="s">
        <v>212</v>
      </c>
      <c r="D11" s="53"/>
      <c r="E11" s="53"/>
      <c r="F11" s="53"/>
      <c r="G11" s="53"/>
      <c r="H11" s="53"/>
      <c r="I11" s="53"/>
      <c r="J11" s="65"/>
      <c r="K11" s="584" t="s">
        <v>213</v>
      </c>
      <c r="L11" s="584"/>
      <c r="M11" s="584"/>
      <c r="N11" s="584"/>
      <c r="O11" s="585"/>
      <c r="P11" s="585"/>
      <c r="Q11" s="585"/>
      <c r="R11" s="585"/>
      <c r="S11" s="585"/>
      <c r="T11" s="585"/>
      <c r="U11" s="585"/>
      <c r="V11" s="585"/>
      <c r="W11" s="584"/>
      <c r="X11" s="584"/>
      <c r="Y11" s="584"/>
      <c r="Z11" s="584"/>
      <c r="AA11" s="584"/>
      <c r="AB11" s="584"/>
      <c r="AC11" s="584"/>
    </row>
    <row r="12" spans="1:29" ht="14.1" customHeight="1">
      <c r="B12" s="49">
        <v>2</v>
      </c>
      <c r="C12" s="50"/>
      <c r="D12" s="51" t="s">
        <v>124</v>
      </c>
      <c r="E12" s="51"/>
      <c r="F12" s="51"/>
      <c r="G12" s="51"/>
      <c r="H12" s="51"/>
      <c r="I12" s="51"/>
      <c r="J12" s="52"/>
      <c r="K12" s="569" t="s">
        <v>103</v>
      </c>
      <c r="L12" s="569"/>
      <c r="M12" s="569"/>
      <c r="N12" s="569"/>
      <c r="O12" s="502" t="s">
        <v>62</v>
      </c>
      <c r="P12" s="502"/>
      <c r="Q12" s="575">
        <v>50</v>
      </c>
      <c r="R12" s="575"/>
      <c r="S12" s="527" t="s">
        <v>214</v>
      </c>
      <c r="T12" s="527"/>
      <c r="U12" s="502" t="s">
        <v>215</v>
      </c>
      <c r="V12" s="502"/>
      <c r="W12" s="530"/>
      <c r="X12" s="530"/>
      <c r="Y12" s="530"/>
      <c r="Z12" s="530"/>
      <c r="AA12" s="530"/>
      <c r="AB12" s="530"/>
      <c r="AC12" s="530"/>
    </row>
    <row r="13" spans="1:29">
      <c r="B13" s="49">
        <v>2</v>
      </c>
      <c r="C13" s="50"/>
      <c r="D13" s="51" t="s">
        <v>216</v>
      </c>
      <c r="E13" s="51"/>
      <c r="F13" s="51"/>
      <c r="G13" s="51"/>
      <c r="H13" s="51"/>
      <c r="I13" s="51"/>
      <c r="J13" s="52"/>
      <c r="K13" s="483" t="s">
        <v>217</v>
      </c>
      <c r="L13" s="484" t="s">
        <v>104</v>
      </c>
      <c r="M13" s="484" t="s">
        <v>104</v>
      </c>
      <c r="N13" s="485" t="s">
        <v>104</v>
      </c>
      <c r="O13" s="502" t="s">
        <v>62</v>
      </c>
      <c r="P13" s="502"/>
      <c r="Q13" s="576">
        <v>30</v>
      </c>
      <c r="R13" s="577"/>
      <c r="S13" s="527"/>
      <c r="T13" s="527"/>
      <c r="U13" s="502" t="s">
        <v>180</v>
      </c>
      <c r="V13" s="502"/>
      <c r="W13" s="501"/>
      <c r="X13" s="501"/>
      <c r="Y13" s="501"/>
      <c r="Z13" s="501"/>
      <c r="AA13" s="501"/>
      <c r="AB13" s="501"/>
      <c r="AC13" s="501"/>
    </row>
    <row r="14" spans="1:29" ht="15" customHeight="1">
      <c r="B14" s="49">
        <v>2</v>
      </c>
      <c r="C14" s="50"/>
      <c r="D14" s="51" t="s">
        <v>218</v>
      </c>
      <c r="E14" s="51"/>
      <c r="F14" s="51"/>
      <c r="G14" s="51"/>
      <c r="H14" s="51"/>
      <c r="I14" s="51"/>
      <c r="J14" s="52"/>
      <c r="K14" s="483" t="s">
        <v>219</v>
      </c>
      <c r="L14" s="484" t="s">
        <v>105</v>
      </c>
      <c r="M14" s="484" t="s">
        <v>105</v>
      </c>
      <c r="N14" s="485" t="s">
        <v>105</v>
      </c>
      <c r="O14" s="502" t="s">
        <v>209</v>
      </c>
      <c r="P14" s="502"/>
      <c r="Q14" s="502">
        <v>100</v>
      </c>
      <c r="R14" s="502"/>
      <c r="S14" s="502"/>
      <c r="T14" s="502"/>
      <c r="U14" s="502" t="s">
        <v>57</v>
      </c>
      <c r="V14" s="502"/>
      <c r="W14" s="501"/>
      <c r="X14" s="501"/>
      <c r="Y14" s="501"/>
      <c r="Z14" s="501"/>
      <c r="AA14" s="501"/>
      <c r="AB14" s="501"/>
      <c r="AC14" s="501"/>
    </row>
    <row r="15" spans="1:29" ht="43.5" customHeight="1">
      <c r="B15" s="49">
        <v>2</v>
      </c>
      <c r="C15" s="50"/>
      <c r="D15" s="51" t="s">
        <v>220</v>
      </c>
      <c r="E15" s="51"/>
      <c r="F15" s="51"/>
      <c r="G15" s="51"/>
      <c r="H15" s="51"/>
      <c r="I15" s="51"/>
      <c r="J15" s="52"/>
      <c r="K15" s="483" t="s">
        <v>221</v>
      </c>
      <c r="L15" s="484"/>
      <c r="M15" s="484"/>
      <c r="N15" s="485"/>
      <c r="O15" s="467" t="s">
        <v>179</v>
      </c>
      <c r="P15" s="468"/>
      <c r="Q15" s="576">
        <v>50</v>
      </c>
      <c r="R15" s="577"/>
      <c r="S15" s="467"/>
      <c r="T15" s="468"/>
      <c r="U15" s="502" t="s">
        <v>210</v>
      </c>
      <c r="V15" s="502"/>
      <c r="W15" s="493" t="s">
        <v>222</v>
      </c>
      <c r="X15" s="484"/>
      <c r="Y15" s="484"/>
      <c r="Z15" s="484"/>
      <c r="AA15" s="484"/>
      <c r="AB15" s="484"/>
      <c r="AC15" s="485"/>
    </row>
    <row r="16" spans="1:29" ht="15" customHeight="1">
      <c r="B16" s="49">
        <v>2</v>
      </c>
      <c r="C16" s="50"/>
      <c r="D16" s="51" t="s">
        <v>223</v>
      </c>
      <c r="E16" s="51"/>
      <c r="F16" s="51"/>
      <c r="G16" s="51"/>
      <c r="H16" s="51"/>
      <c r="I16" s="51"/>
      <c r="J16" s="52"/>
      <c r="K16" s="483" t="s">
        <v>224</v>
      </c>
      <c r="L16" s="484" t="s">
        <v>106</v>
      </c>
      <c r="M16" s="484" t="s">
        <v>106</v>
      </c>
      <c r="N16" s="485" t="s">
        <v>106</v>
      </c>
      <c r="O16" s="502" t="s">
        <v>179</v>
      </c>
      <c r="P16" s="502"/>
      <c r="Q16" s="502">
        <v>100</v>
      </c>
      <c r="R16" s="502"/>
      <c r="S16" s="502"/>
      <c r="T16" s="502"/>
      <c r="U16" s="502"/>
      <c r="V16" s="502"/>
      <c r="W16" s="503"/>
      <c r="X16" s="501"/>
      <c r="Y16" s="501"/>
      <c r="Z16" s="501"/>
      <c r="AA16" s="501"/>
      <c r="AB16" s="501"/>
      <c r="AC16" s="501"/>
    </row>
    <row r="17" spans="2:29" ht="15" customHeight="1">
      <c r="B17" s="49">
        <v>2</v>
      </c>
      <c r="C17" s="50"/>
      <c r="D17" s="51" t="s">
        <v>107</v>
      </c>
      <c r="E17" s="51"/>
      <c r="F17" s="51"/>
      <c r="G17" s="51"/>
      <c r="H17" s="51"/>
      <c r="I17" s="51"/>
      <c r="J17" s="52"/>
      <c r="K17" s="483" t="s">
        <v>225</v>
      </c>
      <c r="L17" s="484" t="s">
        <v>108</v>
      </c>
      <c r="M17" s="484" t="s">
        <v>108</v>
      </c>
      <c r="N17" s="485" t="s">
        <v>108</v>
      </c>
      <c r="O17" s="502" t="s">
        <v>62</v>
      </c>
      <c r="P17" s="502"/>
      <c r="Q17" s="502">
        <v>20</v>
      </c>
      <c r="R17" s="502"/>
      <c r="S17" s="502"/>
      <c r="T17" s="502"/>
      <c r="U17" s="502"/>
      <c r="V17" s="502"/>
      <c r="W17" s="501"/>
      <c r="X17" s="501"/>
      <c r="Y17" s="501"/>
      <c r="Z17" s="501"/>
      <c r="AA17" s="501"/>
      <c r="AB17" s="501"/>
      <c r="AC17" s="501"/>
    </row>
    <row r="18" spans="2:29" ht="15" customHeight="1">
      <c r="B18" s="49">
        <v>2</v>
      </c>
      <c r="C18" s="50"/>
      <c r="D18" s="51" t="s">
        <v>109</v>
      </c>
      <c r="E18" s="51"/>
      <c r="F18" s="51"/>
      <c r="G18" s="51"/>
      <c r="H18" s="51"/>
      <c r="I18" s="51"/>
      <c r="J18" s="52"/>
      <c r="K18" s="483" t="s">
        <v>226</v>
      </c>
      <c r="L18" s="484" t="s">
        <v>110</v>
      </c>
      <c r="M18" s="484" t="s">
        <v>110</v>
      </c>
      <c r="N18" s="485" t="s">
        <v>110</v>
      </c>
      <c r="O18" s="502" t="s">
        <v>62</v>
      </c>
      <c r="P18" s="502"/>
      <c r="Q18" s="575">
        <v>100</v>
      </c>
      <c r="R18" s="575"/>
      <c r="S18" s="502"/>
      <c r="T18" s="502"/>
      <c r="U18" s="502"/>
      <c r="V18" s="502"/>
      <c r="W18" s="501" t="s">
        <v>227</v>
      </c>
      <c r="X18" s="501"/>
      <c r="Y18" s="501"/>
      <c r="Z18" s="501"/>
      <c r="AA18" s="501"/>
      <c r="AB18" s="501"/>
      <c r="AC18" s="501"/>
    </row>
    <row r="19" spans="2:29" ht="15" customHeight="1">
      <c r="B19" s="49">
        <v>2</v>
      </c>
      <c r="C19" s="50"/>
      <c r="D19" s="51" t="s">
        <v>111</v>
      </c>
      <c r="E19" s="51"/>
      <c r="F19" s="51"/>
      <c r="G19" s="51"/>
      <c r="H19" s="51"/>
      <c r="I19" s="51"/>
      <c r="J19" s="52"/>
      <c r="K19" s="483" t="s">
        <v>112</v>
      </c>
      <c r="L19" s="484" t="s">
        <v>113</v>
      </c>
      <c r="M19" s="484" t="s">
        <v>113</v>
      </c>
      <c r="N19" s="485" t="s">
        <v>113</v>
      </c>
      <c r="O19" s="502" t="s">
        <v>228</v>
      </c>
      <c r="P19" s="502"/>
      <c r="Q19" s="575">
        <v>100</v>
      </c>
      <c r="R19" s="575"/>
      <c r="S19" s="502"/>
      <c r="T19" s="502"/>
      <c r="U19" s="502"/>
      <c r="V19" s="502"/>
      <c r="W19" s="501" t="s">
        <v>229</v>
      </c>
      <c r="X19" s="501"/>
      <c r="Y19" s="501"/>
      <c r="Z19" s="501"/>
      <c r="AA19" s="501"/>
      <c r="AB19" s="501"/>
      <c r="AC19" s="501"/>
    </row>
    <row r="20" spans="2:29" ht="15" hidden="1" customHeight="1">
      <c r="B20" s="49">
        <v>2</v>
      </c>
      <c r="C20" s="50"/>
      <c r="D20" s="68" t="s">
        <v>230</v>
      </c>
      <c r="E20" s="68"/>
      <c r="F20" s="68"/>
      <c r="G20" s="68"/>
      <c r="H20" s="68"/>
      <c r="I20" s="68"/>
      <c r="J20" s="85"/>
      <c r="K20" s="110" t="s">
        <v>231</v>
      </c>
      <c r="L20" s="102"/>
      <c r="M20" s="102"/>
      <c r="N20" s="103"/>
      <c r="O20" s="570" t="s">
        <v>228</v>
      </c>
      <c r="P20" s="571"/>
      <c r="Q20" s="570">
        <v>20</v>
      </c>
      <c r="R20" s="571"/>
      <c r="S20" s="579"/>
      <c r="T20" s="580"/>
      <c r="U20" s="579"/>
      <c r="V20" s="580"/>
      <c r="W20" s="581" t="s">
        <v>233</v>
      </c>
      <c r="X20" s="582"/>
      <c r="Y20" s="582"/>
      <c r="Z20" s="582"/>
      <c r="AA20" s="582"/>
      <c r="AB20" s="582"/>
      <c r="AC20" s="583"/>
    </row>
    <row r="21" spans="2:29" ht="15" hidden="1" customHeight="1">
      <c r="B21" s="49">
        <v>2</v>
      </c>
      <c r="C21" s="50"/>
      <c r="D21" s="68" t="s">
        <v>234</v>
      </c>
      <c r="E21" s="68"/>
      <c r="F21" s="68"/>
      <c r="G21" s="68"/>
      <c r="H21" s="68"/>
      <c r="I21" s="68"/>
      <c r="J21" s="85"/>
      <c r="K21" s="101" t="s">
        <v>235</v>
      </c>
      <c r="L21" s="102"/>
      <c r="M21" s="102"/>
      <c r="N21" s="103"/>
      <c r="O21" s="570" t="s">
        <v>236</v>
      </c>
      <c r="P21" s="571"/>
      <c r="Q21" s="570">
        <v>20</v>
      </c>
      <c r="R21" s="571"/>
      <c r="S21" s="570"/>
      <c r="T21" s="571"/>
      <c r="U21" s="570"/>
      <c r="V21" s="571"/>
      <c r="W21" s="572" t="s">
        <v>232</v>
      </c>
      <c r="X21" s="573"/>
      <c r="Y21" s="573"/>
      <c r="Z21" s="573"/>
      <c r="AA21" s="573"/>
      <c r="AB21" s="573"/>
      <c r="AC21" s="574"/>
    </row>
    <row r="22" spans="2:29" hidden="1">
      <c r="B22" s="49">
        <v>2</v>
      </c>
      <c r="C22" s="50"/>
      <c r="D22" s="68" t="s">
        <v>237</v>
      </c>
      <c r="E22" s="68"/>
      <c r="F22" s="68"/>
      <c r="G22" s="68"/>
      <c r="H22" s="68"/>
      <c r="I22" s="68"/>
      <c r="J22" s="85"/>
      <c r="K22" s="101" t="s">
        <v>238</v>
      </c>
      <c r="L22" s="102"/>
      <c r="M22" s="102"/>
      <c r="N22" s="103"/>
      <c r="O22" s="570" t="s">
        <v>62</v>
      </c>
      <c r="P22" s="571"/>
      <c r="Q22" s="570">
        <v>20</v>
      </c>
      <c r="R22" s="571"/>
      <c r="S22" s="570"/>
      <c r="T22" s="571"/>
      <c r="U22" s="570"/>
      <c r="V22" s="571"/>
      <c r="W22" s="572" t="s">
        <v>232</v>
      </c>
      <c r="X22" s="573"/>
      <c r="Y22" s="573"/>
      <c r="Z22" s="573"/>
      <c r="AA22" s="573"/>
      <c r="AB22" s="573"/>
      <c r="AC22" s="574"/>
    </row>
    <row r="23" spans="2:29" ht="15" hidden="1" customHeight="1">
      <c r="B23" s="49">
        <v>2</v>
      </c>
      <c r="C23" s="50"/>
      <c r="D23" s="68" t="s">
        <v>239</v>
      </c>
      <c r="E23" s="68"/>
      <c r="F23" s="68"/>
      <c r="G23" s="68"/>
      <c r="H23" s="68"/>
      <c r="I23" s="68"/>
      <c r="J23" s="85"/>
      <c r="K23" s="101" t="s">
        <v>240</v>
      </c>
      <c r="L23" s="102"/>
      <c r="M23" s="102"/>
      <c r="N23" s="103"/>
      <c r="O23" s="570" t="s">
        <v>209</v>
      </c>
      <c r="P23" s="571"/>
      <c r="Q23" s="570">
        <v>20</v>
      </c>
      <c r="R23" s="571"/>
      <c r="S23" s="570"/>
      <c r="T23" s="571"/>
      <c r="U23" s="570"/>
      <c r="V23" s="571"/>
      <c r="W23" s="572" t="s">
        <v>233</v>
      </c>
      <c r="X23" s="573"/>
      <c r="Y23" s="573"/>
      <c r="Z23" s="573"/>
      <c r="AA23" s="573"/>
      <c r="AB23" s="573"/>
      <c r="AC23" s="574"/>
    </row>
    <row r="24" spans="2:29" ht="115.5" hidden="1" customHeight="1">
      <c r="B24" s="49">
        <v>2</v>
      </c>
      <c r="C24" s="50"/>
      <c r="D24" s="68" t="s">
        <v>241</v>
      </c>
      <c r="E24" s="68"/>
      <c r="F24" s="68"/>
      <c r="G24" s="68"/>
      <c r="H24" s="68"/>
      <c r="I24" s="68"/>
      <c r="J24" s="85"/>
      <c r="K24" s="101" t="s">
        <v>242</v>
      </c>
      <c r="L24" s="102"/>
      <c r="M24" s="102"/>
      <c r="N24" s="103"/>
      <c r="O24" s="570" t="s">
        <v>243</v>
      </c>
      <c r="P24" s="571"/>
      <c r="Q24" s="570">
        <v>20</v>
      </c>
      <c r="R24" s="571"/>
      <c r="S24" s="570"/>
      <c r="T24" s="571"/>
      <c r="U24" s="570"/>
      <c r="V24" s="571"/>
      <c r="W24" s="572" t="s">
        <v>244</v>
      </c>
      <c r="X24" s="573"/>
      <c r="Y24" s="573"/>
      <c r="Z24" s="573"/>
      <c r="AA24" s="573"/>
      <c r="AB24" s="573"/>
      <c r="AC24" s="574"/>
    </row>
    <row r="25" spans="2:29" ht="15" customHeight="1">
      <c r="B25" s="49">
        <v>2</v>
      </c>
      <c r="C25" s="50"/>
      <c r="D25" s="51" t="s">
        <v>245</v>
      </c>
      <c r="E25" s="51"/>
      <c r="F25" s="51"/>
      <c r="G25" s="51"/>
      <c r="H25" s="51"/>
      <c r="I25" s="51"/>
      <c r="J25" s="52"/>
      <c r="K25" s="483" t="s">
        <v>246</v>
      </c>
      <c r="L25" s="484" t="s">
        <v>114</v>
      </c>
      <c r="M25" s="484" t="s">
        <v>114</v>
      </c>
      <c r="N25" s="485" t="s">
        <v>114</v>
      </c>
      <c r="O25" s="502" t="s">
        <v>209</v>
      </c>
      <c r="P25" s="502"/>
      <c r="Q25" s="527" t="s">
        <v>247</v>
      </c>
      <c r="R25" s="527"/>
      <c r="S25" s="527"/>
      <c r="T25" s="527"/>
      <c r="U25" s="527"/>
      <c r="V25" s="527"/>
      <c r="W25" s="530"/>
      <c r="X25" s="530"/>
      <c r="Y25" s="530"/>
      <c r="Z25" s="530"/>
      <c r="AA25" s="530"/>
      <c r="AB25" s="530"/>
      <c r="AC25" s="530"/>
    </row>
    <row r="26" spans="2:29" ht="15" customHeight="1">
      <c r="B26" s="49">
        <v>2</v>
      </c>
      <c r="C26" s="50"/>
      <c r="D26" s="51" t="s">
        <v>115</v>
      </c>
      <c r="E26" s="51"/>
      <c r="F26" s="51"/>
      <c r="G26" s="51"/>
      <c r="H26" s="51"/>
      <c r="I26" s="51"/>
      <c r="J26" s="52"/>
      <c r="K26" s="483" t="s">
        <v>248</v>
      </c>
      <c r="L26" s="484" t="s">
        <v>116</v>
      </c>
      <c r="M26" s="484" t="s">
        <v>116</v>
      </c>
      <c r="N26" s="485" t="s">
        <v>116</v>
      </c>
      <c r="O26" s="502" t="s">
        <v>209</v>
      </c>
      <c r="P26" s="502"/>
      <c r="Q26" s="576">
        <v>20</v>
      </c>
      <c r="R26" s="577"/>
      <c r="S26" s="502"/>
      <c r="T26" s="502"/>
      <c r="U26" s="502"/>
      <c r="V26" s="502"/>
      <c r="W26" s="578"/>
      <c r="X26" s="578"/>
      <c r="Y26" s="578"/>
      <c r="Z26" s="578"/>
      <c r="AA26" s="578"/>
      <c r="AB26" s="578"/>
      <c r="AC26" s="578"/>
    </row>
    <row r="27" spans="2:29">
      <c r="B27" s="49">
        <v>2</v>
      </c>
      <c r="C27" s="50"/>
      <c r="D27" s="51" t="s">
        <v>117</v>
      </c>
      <c r="E27" s="51"/>
      <c r="F27" s="51"/>
      <c r="G27" s="51"/>
      <c r="H27" s="51"/>
      <c r="I27" s="51"/>
      <c r="J27" s="52"/>
      <c r="K27" s="483" t="s">
        <v>249</v>
      </c>
      <c r="L27" s="484" t="s">
        <v>118</v>
      </c>
      <c r="M27" s="484" t="s">
        <v>118</v>
      </c>
      <c r="N27" s="485" t="s">
        <v>118</v>
      </c>
      <c r="O27" s="502" t="s">
        <v>228</v>
      </c>
      <c r="P27" s="502"/>
      <c r="Q27" s="576">
        <v>20</v>
      </c>
      <c r="R27" s="577"/>
      <c r="S27" s="502"/>
      <c r="T27" s="502"/>
      <c r="U27" s="502"/>
      <c r="V27" s="502"/>
      <c r="W27" s="503"/>
      <c r="X27" s="501"/>
      <c r="Y27" s="501"/>
      <c r="Z27" s="501"/>
      <c r="AA27" s="501"/>
      <c r="AB27" s="501"/>
      <c r="AC27" s="501"/>
    </row>
    <row r="28" spans="2:29" ht="15" customHeight="1">
      <c r="B28" s="49">
        <v>2</v>
      </c>
      <c r="C28" s="50"/>
      <c r="D28" s="51" t="s">
        <v>250</v>
      </c>
      <c r="E28" s="51"/>
      <c r="F28" s="51"/>
      <c r="G28" s="51"/>
      <c r="H28" s="51"/>
      <c r="I28" s="51"/>
      <c r="J28" s="52"/>
      <c r="K28" s="483" t="s">
        <v>251</v>
      </c>
      <c r="L28" s="484" t="s">
        <v>119</v>
      </c>
      <c r="M28" s="484" t="s">
        <v>119</v>
      </c>
      <c r="N28" s="485" t="s">
        <v>119</v>
      </c>
      <c r="O28" s="502" t="s">
        <v>62</v>
      </c>
      <c r="P28" s="502"/>
      <c r="Q28" s="575">
        <v>10</v>
      </c>
      <c r="R28" s="575"/>
      <c r="S28" s="502"/>
      <c r="T28" s="502"/>
      <c r="U28" s="502"/>
      <c r="V28" s="502"/>
      <c r="W28" s="578"/>
      <c r="X28" s="578"/>
      <c r="Y28" s="578"/>
      <c r="Z28" s="578"/>
      <c r="AA28" s="578"/>
      <c r="AB28" s="578"/>
      <c r="AC28" s="578"/>
    </row>
    <row r="29" spans="2:29">
      <c r="B29" s="49">
        <v>2</v>
      </c>
      <c r="C29" s="50"/>
      <c r="D29" s="51" t="s">
        <v>120</v>
      </c>
      <c r="E29" s="51"/>
      <c r="F29" s="51"/>
      <c r="G29" s="51"/>
      <c r="H29" s="51"/>
      <c r="I29" s="51"/>
      <c r="J29" s="52"/>
      <c r="K29" s="483" t="s">
        <v>252</v>
      </c>
      <c r="L29" s="484" t="s">
        <v>121</v>
      </c>
      <c r="M29" s="484" t="s">
        <v>121</v>
      </c>
      <c r="N29" s="485" t="s">
        <v>121</v>
      </c>
      <c r="O29" s="502" t="s">
        <v>209</v>
      </c>
      <c r="P29" s="502"/>
      <c r="Q29" s="575">
        <v>200</v>
      </c>
      <c r="R29" s="575"/>
      <c r="S29" s="502"/>
      <c r="T29" s="502"/>
      <c r="U29" s="502"/>
      <c r="V29" s="502"/>
      <c r="W29" s="501"/>
      <c r="X29" s="501"/>
      <c r="Y29" s="501"/>
      <c r="Z29" s="501"/>
      <c r="AA29" s="501"/>
      <c r="AB29" s="501"/>
      <c r="AC29" s="501"/>
    </row>
    <row r="30" spans="2:29" ht="30.75" customHeight="1">
      <c r="B30" s="49">
        <v>2</v>
      </c>
      <c r="C30" s="50"/>
      <c r="D30" s="51" t="s">
        <v>253</v>
      </c>
      <c r="E30" s="51"/>
      <c r="F30" s="51"/>
      <c r="G30" s="51"/>
      <c r="H30" s="51"/>
      <c r="I30" s="51"/>
      <c r="J30" s="52"/>
      <c r="K30" s="483" t="s">
        <v>254</v>
      </c>
      <c r="L30" s="484" t="s">
        <v>121</v>
      </c>
      <c r="M30" s="484" t="s">
        <v>121</v>
      </c>
      <c r="N30" s="485" t="s">
        <v>121</v>
      </c>
      <c r="O30" s="502" t="s">
        <v>62</v>
      </c>
      <c r="P30" s="502"/>
      <c r="Q30" s="575">
        <v>200</v>
      </c>
      <c r="R30" s="575"/>
      <c r="S30" s="502"/>
      <c r="T30" s="502"/>
      <c r="U30" s="502"/>
      <c r="V30" s="502"/>
      <c r="W30" s="501"/>
      <c r="X30" s="501"/>
      <c r="Y30" s="501"/>
      <c r="Z30" s="501"/>
      <c r="AA30" s="501"/>
      <c r="AB30" s="501"/>
      <c r="AC30" s="501"/>
    </row>
    <row r="31" spans="2:29" ht="15" customHeight="1">
      <c r="B31" s="49">
        <v>2</v>
      </c>
      <c r="C31" s="50"/>
      <c r="D31" s="51" t="s">
        <v>255</v>
      </c>
      <c r="E31" s="51"/>
      <c r="F31" s="51"/>
      <c r="G31" s="51"/>
      <c r="H31" s="51"/>
      <c r="I31" s="51"/>
      <c r="J31" s="52"/>
      <c r="K31" s="483" t="s">
        <v>256</v>
      </c>
      <c r="L31" s="484" t="s">
        <v>122</v>
      </c>
      <c r="M31" s="484" t="s">
        <v>122</v>
      </c>
      <c r="N31" s="485" t="s">
        <v>122</v>
      </c>
      <c r="O31" s="502" t="s">
        <v>62</v>
      </c>
      <c r="P31" s="502"/>
      <c r="Q31" s="575">
        <v>1000</v>
      </c>
      <c r="R31" s="575"/>
      <c r="S31" s="502"/>
      <c r="T31" s="502"/>
      <c r="U31" s="502"/>
      <c r="V31" s="502"/>
      <c r="W31" s="501"/>
      <c r="X31" s="501"/>
      <c r="Y31" s="501"/>
      <c r="Z31" s="501"/>
      <c r="AA31" s="501"/>
      <c r="AB31" s="501"/>
      <c r="AC31" s="501"/>
    </row>
    <row r="32" spans="2:29" ht="15" customHeight="1">
      <c r="B32" s="49">
        <v>2</v>
      </c>
      <c r="C32" s="50"/>
      <c r="D32" s="56" t="s">
        <v>192</v>
      </c>
      <c r="E32" s="56"/>
      <c r="F32" s="56"/>
      <c r="G32" s="56"/>
      <c r="H32" s="56"/>
      <c r="I32" s="56"/>
      <c r="J32" s="57"/>
      <c r="K32" s="526" t="s">
        <v>257</v>
      </c>
      <c r="L32" s="526"/>
      <c r="M32" s="526"/>
      <c r="N32" s="526"/>
      <c r="O32" s="527" t="s">
        <v>195</v>
      </c>
      <c r="P32" s="527"/>
      <c r="Q32" s="527">
        <v>1</v>
      </c>
      <c r="R32" s="527"/>
      <c r="S32" s="527"/>
      <c r="T32" s="527"/>
      <c r="U32" s="527" t="s">
        <v>210</v>
      </c>
      <c r="V32" s="527"/>
      <c r="W32" s="530" t="s">
        <v>258</v>
      </c>
      <c r="X32" s="530"/>
      <c r="Y32" s="530"/>
      <c r="Z32" s="530"/>
      <c r="AA32" s="530"/>
      <c r="AB32" s="530"/>
      <c r="AC32" s="530"/>
    </row>
    <row r="33" spans="2:29" ht="30" customHeight="1">
      <c r="B33" s="504"/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5"/>
      <c r="X33" s="505"/>
      <c r="Y33" s="505"/>
      <c r="Z33" s="505"/>
      <c r="AA33" s="505"/>
      <c r="AB33" s="505"/>
    </row>
    <row r="34" spans="2:29" ht="15" customHeight="1">
      <c r="B34" s="506" t="s">
        <v>259</v>
      </c>
      <c r="C34" s="506"/>
      <c r="D34" s="506"/>
      <c r="E34" s="506"/>
      <c r="F34" s="528"/>
      <c r="G34" s="529"/>
      <c r="H34" s="529"/>
      <c r="I34" s="529"/>
      <c r="J34" s="529"/>
      <c r="K34" s="529"/>
      <c r="L34" s="529"/>
      <c r="M34" s="529"/>
      <c r="N34" s="529"/>
      <c r="O34" s="529"/>
      <c r="P34" s="529"/>
      <c r="Q34" s="529"/>
      <c r="R34" s="529"/>
      <c r="S34" s="529"/>
      <c r="T34" s="529"/>
      <c r="U34" s="529"/>
      <c r="V34" s="529"/>
      <c r="W34" s="529"/>
      <c r="X34" s="529"/>
      <c r="Y34" s="529"/>
      <c r="Z34" s="529"/>
      <c r="AA34" s="529"/>
      <c r="AB34" s="529"/>
      <c r="AC34" s="529"/>
    </row>
    <row r="35" spans="2:29" ht="15.6" customHeight="1">
      <c r="B35" s="4" t="s">
        <v>46</v>
      </c>
      <c r="C35" s="500" t="s">
        <v>260</v>
      </c>
      <c r="D35" s="500"/>
      <c r="E35" s="500"/>
      <c r="F35" s="500"/>
      <c r="G35" s="500"/>
      <c r="H35" s="500"/>
      <c r="I35" s="500"/>
      <c r="J35" s="500"/>
      <c r="K35" s="500" t="s">
        <v>48</v>
      </c>
      <c r="L35" s="500"/>
      <c r="M35" s="500"/>
      <c r="N35" s="500"/>
      <c r="O35" s="500" t="s">
        <v>261</v>
      </c>
      <c r="P35" s="500"/>
      <c r="Q35" s="500" t="s">
        <v>262</v>
      </c>
      <c r="R35" s="500"/>
      <c r="S35" s="500" t="s">
        <v>263</v>
      </c>
      <c r="T35" s="500"/>
      <c r="U35" s="500" t="s">
        <v>52</v>
      </c>
      <c r="V35" s="500"/>
      <c r="W35" s="500" t="s">
        <v>205</v>
      </c>
      <c r="X35" s="500"/>
      <c r="Y35" s="500"/>
      <c r="Z35" s="500"/>
      <c r="AA35" s="500"/>
      <c r="AB35" s="500"/>
      <c r="AC35" s="500"/>
    </row>
    <row r="36" spans="2:29" ht="15" customHeight="1">
      <c r="B36" s="49">
        <v>1</v>
      </c>
      <c r="C36" s="50" t="s">
        <v>86</v>
      </c>
      <c r="D36" s="51"/>
      <c r="E36" s="51"/>
      <c r="F36" s="51"/>
      <c r="G36" s="51"/>
      <c r="H36" s="51"/>
      <c r="I36" s="51"/>
      <c r="J36" s="52"/>
      <c r="K36" s="490" t="s">
        <v>87</v>
      </c>
      <c r="L36" s="491"/>
      <c r="M36" s="491"/>
      <c r="N36" s="492"/>
      <c r="O36" s="467" t="s">
        <v>209</v>
      </c>
      <c r="P36" s="468"/>
      <c r="Q36" s="467">
        <v>20</v>
      </c>
      <c r="R36" s="468"/>
      <c r="S36" s="467"/>
      <c r="T36" s="468"/>
      <c r="U36" s="467" t="s">
        <v>210</v>
      </c>
      <c r="V36" s="468"/>
      <c r="W36" s="493" t="s">
        <v>352</v>
      </c>
      <c r="X36" s="484"/>
      <c r="Y36" s="484"/>
      <c r="Z36" s="484"/>
      <c r="AA36" s="484"/>
      <c r="AB36" s="484"/>
      <c r="AC36" s="485"/>
    </row>
    <row r="37" spans="2:29" ht="15" customHeight="1">
      <c r="B37" s="49">
        <v>1</v>
      </c>
      <c r="C37" s="50" t="s">
        <v>89</v>
      </c>
      <c r="D37" s="51"/>
      <c r="E37" s="51"/>
      <c r="F37" s="51"/>
      <c r="G37" s="51"/>
      <c r="H37" s="51"/>
      <c r="I37" s="51"/>
      <c r="J37" s="52"/>
      <c r="K37" s="494" t="s">
        <v>264</v>
      </c>
      <c r="L37" s="495"/>
      <c r="M37" s="495"/>
      <c r="N37" s="496"/>
      <c r="O37" s="467" t="s">
        <v>62</v>
      </c>
      <c r="P37" s="468"/>
      <c r="Q37" s="467">
        <v>4000</v>
      </c>
      <c r="R37" s="468"/>
      <c r="S37" s="467"/>
      <c r="T37" s="468"/>
      <c r="U37" s="467" t="s">
        <v>210</v>
      </c>
      <c r="V37" s="468"/>
      <c r="W37" s="483" t="s">
        <v>265</v>
      </c>
      <c r="X37" s="484"/>
      <c r="Y37" s="484"/>
      <c r="Z37" s="484"/>
      <c r="AA37" s="484"/>
      <c r="AB37" s="484"/>
      <c r="AC37" s="485"/>
    </row>
    <row r="38" spans="2:29" ht="15" customHeight="1">
      <c r="B38" s="58">
        <v>1</v>
      </c>
      <c r="C38" s="59" t="s">
        <v>90</v>
      </c>
      <c r="D38" s="59"/>
      <c r="E38" s="59"/>
      <c r="F38" s="59"/>
      <c r="G38" s="59"/>
      <c r="H38" s="59"/>
      <c r="I38" s="59"/>
      <c r="J38" s="60"/>
      <c r="K38" s="497" t="s">
        <v>266</v>
      </c>
      <c r="L38" s="498"/>
      <c r="M38" s="498"/>
      <c r="N38" s="499"/>
      <c r="O38" s="472"/>
      <c r="P38" s="473"/>
      <c r="Q38" s="472"/>
      <c r="R38" s="473"/>
      <c r="S38" s="472"/>
      <c r="T38" s="473"/>
      <c r="U38" s="472"/>
      <c r="V38" s="473"/>
      <c r="W38" s="487"/>
      <c r="X38" s="488"/>
      <c r="Y38" s="488"/>
      <c r="Z38" s="488"/>
      <c r="AA38" s="488"/>
      <c r="AB38" s="488"/>
      <c r="AC38" s="489"/>
    </row>
    <row r="39" spans="2:29" ht="34.5" customHeight="1">
      <c r="B39" s="49">
        <v>2</v>
      </c>
      <c r="C39" s="50"/>
      <c r="D39" s="51" t="s">
        <v>267</v>
      </c>
      <c r="E39" s="51"/>
      <c r="F39" s="51"/>
      <c r="G39" s="51"/>
      <c r="H39" s="51"/>
      <c r="I39" s="51"/>
      <c r="J39" s="52"/>
      <c r="K39" s="569" t="s">
        <v>268</v>
      </c>
      <c r="L39" s="569"/>
      <c r="M39" s="569"/>
      <c r="N39" s="569"/>
      <c r="O39" s="467" t="s">
        <v>269</v>
      </c>
      <c r="P39" s="468"/>
      <c r="Q39" s="467">
        <v>50</v>
      </c>
      <c r="R39" s="468"/>
      <c r="S39" s="467" t="s">
        <v>214</v>
      </c>
      <c r="T39" s="468"/>
      <c r="U39" s="467" t="s">
        <v>57</v>
      </c>
      <c r="V39" s="468"/>
      <c r="W39" s="464" t="s">
        <v>270</v>
      </c>
      <c r="X39" s="465"/>
      <c r="Y39" s="465"/>
      <c r="Z39" s="465"/>
      <c r="AA39" s="465"/>
      <c r="AB39" s="465"/>
      <c r="AC39" s="466"/>
    </row>
    <row r="40" spans="2:29" ht="15" customHeight="1">
      <c r="B40" s="49">
        <v>2</v>
      </c>
      <c r="C40" s="61"/>
      <c r="D40" s="62" t="s">
        <v>271</v>
      </c>
      <c r="E40" s="62"/>
      <c r="F40" s="51"/>
      <c r="G40" s="62"/>
      <c r="H40" s="62"/>
      <c r="I40" s="62"/>
      <c r="J40" s="63"/>
      <c r="K40" s="469" t="s">
        <v>272</v>
      </c>
      <c r="L40" s="470"/>
      <c r="M40" s="470"/>
      <c r="N40" s="471"/>
      <c r="O40" s="467" t="s">
        <v>243</v>
      </c>
      <c r="P40" s="468"/>
      <c r="Q40" s="467">
        <v>1</v>
      </c>
      <c r="R40" s="468"/>
      <c r="S40" s="467"/>
      <c r="T40" s="468"/>
      <c r="U40" s="467" t="s">
        <v>273</v>
      </c>
      <c r="V40" s="468"/>
      <c r="W40" s="493" t="s">
        <v>352</v>
      </c>
      <c r="X40" s="484"/>
      <c r="Y40" s="484"/>
      <c r="Z40" s="484"/>
      <c r="AA40" s="484"/>
      <c r="AB40" s="484"/>
      <c r="AC40" s="485"/>
    </row>
    <row r="41" spans="2:29">
      <c r="B41" s="49">
        <v>2</v>
      </c>
      <c r="C41" s="61"/>
      <c r="D41" s="62" t="s">
        <v>79</v>
      </c>
      <c r="E41" s="62"/>
      <c r="F41" s="51"/>
      <c r="G41" s="62"/>
      <c r="H41" s="62"/>
      <c r="I41" s="62"/>
      <c r="J41" s="63"/>
      <c r="K41" s="469" t="s">
        <v>140</v>
      </c>
      <c r="L41" s="470"/>
      <c r="M41" s="470"/>
      <c r="N41" s="471"/>
      <c r="O41" s="467" t="s">
        <v>209</v>
      </c>
      <c r="P41" s="468"/>
      <c r="Q41" s="467">
        <v>100</v>
      </c>
      <c r="R41" s="468"/>
      <c r="S41" s="467"/>
      <c r="T41" s="468"/>
      <c r="U41" s="467"/>
      <c r="V41" s="468"/>
      <c r="W41" s="464" t="s">
        <v>274</v>
      </c>
      <c r="X41" s="465"/>
      <c r="Y41" s="465"/>
      <c r="Z41" s="465"/>
      <c r="AA41" s="465"/>
      <c r="AB41" s="465"/>
      <c r="AC41" s="466"/>
    </row>
    <row r="42" spans="2:29">
      <c r="B42" s="486"/>
      <c r="C42" s="486"/>
      <c r="D42" s="486"/>
      <c r="E42" s="486"/>
      <c r="F42" s="486"/>
      <c r="G42" s="486"/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</row>
    <row r="43" spans="2:29">
      <c r="B43" s="474" t="s">
        <v>128</v>
      </c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6"/>
    </row>
    <row r="44" spans="2:29">
      <c r="B44" s="56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478"/>
      <c r="AB44" s="478"/>
      <c r="AC44" s="479"/>
    </row>
    <row r="45" spans="2:29">
      <c r="B45" s="480"/>
      <c r="C45" s="481"/>
      <c r="D45" s="481"/>
      <c r="E45" s="481"/>
      <c r="F45" s="481"/>
      <c r="G45" s="481"/>
      <c r="H45" s="481"/>
      <c r="I45" s="481"/>
      <c r="J45" s="481"/>
      <c r="K45" s="481"/>
      <c r="L45" s="481"/>
      <c r="M45" s="481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2"/>
    </row>
  </sheetData>
  <mergeCells count="212">
    <mergeCell ref="O23:P23"/>
    <mergeCell ref="Q23:R23"/>
    <mergeCell ref="S23:T23"/>
    <mergeCell ref="U23:V23"/>
    <mergeCell ref="W23:AC23"/>
    <mergeCell ref="C8:J8"/>
    <mergeCell ref="K8:N8"/>
    <mergeCell ref="O8:P8"/>
    <mergeCell ref="Q8:R8"/>
    <mergeCell ref="S8:T8"/>
    <mergeCell ref="U8:V8"/>
    <mergeCell ref="K10:N10"/>
    <mergeCell ref="O10:P10"/>
    <mergeCell ref="W8:AC8"/>
    <mergeCell ref="K9:N9"/>
    <mergeCell ref="O9:P9"/>
    <mergeCell ref="Q9:R9"/>
    <mergeCell ref="S9:T9"/>
    <mergeCell ref="U9:V9"/>
    <mergeCell ref="W9:AC9"/>
    <mergeCell ref="K15:N15"/>
    <mergeCell ref="O15:P15"/>
    <mergeCell ref="Q15:R15"/>
    <mergeCell ref="S15:T15"/>
    <mergeCell ref="B2:D2"/>
    <mergeCell ref="E2:N2"/>
    <mergeCell ref="O2:Q2"/>
    <mergeCell ref="R2:AC2"/>
    <mergeCell ref="B3:D3"/>
    <mergeCell ref="E3:AC3"/>
    <mergeCell ref="B4:D4"/>
    <mergeCell ref="E4:N4"/>
    <mergeCell ref="O4:Q4"/>
    <mergeCell ref="R4:AC4"/>
    <mergeCell ref="B6:AB6"/>
    <mergeCell ref="K11:N11"/>
    <mergeCell ref="O11:P11"/>
    <mergeCell ref="Q11:R11"/>
    <mergeCell ref="S11:T11"/>
    <mergeCell ref="U11:V11"/>
    <mergeCell ref="W11:AC11"/>
    <mergeCell ref="Q10:R10"/>
    <mergeCell ref="S10:T10"/>
    <mergeCell ref="U10:V10"/>
    <mergeCell ref="W10:AC10"/>
    <mergeCell ref="U15:V15"/>
    <mergeCell ref="W15:AC15"/>
    <mergeCell ref="K12:N12"/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K14:N14"/>
    <mergeCell ref="O14:P14"/>
    <mergeCell ref="Q14:R14"/>
    <mergeCell ref="S14:T14"/>
    <mergeCell ref="U14:V14"/>
    <mergeCell ref="W14:AC14"/>
    <mergeCell ref="K16:N16"/>
    <mergeCell ref="O16:P16"/>
    <mergeCell ref="Q16:R16"/>
    <mergeCell ref="S16:T16"/>
    <mergeCell ref="U16:V16"/>
    <mergeCell ref="W16:AC16"/>
    <mergeCell ref="K18:N18"/>
    <mergeCell ref="O18:P18"/>
    <mergeCell ref="Q18:R18"/>
    <mergeCell ref="S18:T18"/>
    <mergeCell ref="U18:V18"/>
    <mergeCell ref="W18:AC18"/>
    <mergeCell ref="W21:AC21"/>
    <mergeCell ref="O22:P22"/>
    <mergeCell ref="Q22:R22"/>
    <mergeCell ref="S22:T22"/>
    <mergeCell ref="U22:V22"/>
    <mergeCell ref="W22:AC22"/>
    <mergeCell ref="O21:P21"/>
    <mergeCell ref="Q21:R21"/>
    <mergeCell ref="S21:T21"/>
    <mergeCell ref="U21:V21"/>
    <mergeCell ref="O20:P20"/>
    <mergeCell ref="Q20:R20"/>
    <mergeCell ref="S20:T20"/>
    <mergeCell ref="U20:V20"/>
    <mergeCell ref="W20:AC20"/>
    <mergeCell ref="K17:N17"/>
    <mergeCell ref="O17:P17"/>
    <mergeCell ref="Q17:R17"/>
    <mergeCell ref="S17:T17"/>
    <mergeCell ref="U17:V17"/>
    <mergeCell ref="W17:AC17"/>
    <mergeCell ref="K19:N19"/>
    <mergeCell ref="O19:P19"/>
    <mergeCell ref="Q19:R19"/>
    <mergeCell ref="S19:T19"/>
    <mergeCell ref="U19:V19"/>
    <mergeCell ref="W19:AC19"/>
    <mergeCell ref="S26:T26"/>
    <mergeCell ref="U26:V26"/>
    <mergeCell ref="W26:AC26"/>
    <mergeCell ref="K25:N25"/>
    <mergeCell ref="O25:P25"/>
    <mergeCell ref="Q25:R25"/>
    <mergeCell ref="S25:T25"/>
    <mergeCell ref="U25:V25"/>
    <mergeCell ref="W25:AC25"/>
    <mergeCell ref="K35:N35"/>
    <mergeCell ref="O35:P35"/>
    <mergeCell ref="Q35:R35"/>
    <mergeCell ref="S35:T35"/>
    <mergeCell ref="U35:V35"/>
    <mergeCell ref="W35:AC35"/>
    <mergeCell ref="K32:N32"/>
    <mergeCell ref="O32:P32"/>
    <mergeCell ref="Q32:R32"/>
    <mergeCell ref="S32:T32"/>
    <mergeCell ref="F34:AC34"/>
    <mergeCell ref="C35:J35"/>
    <mergeCell ref="W27:AC27"/>
    <mergeCell ref="K28:N28"/>
    <mergeCell ref="O28:P28"/>
    <mergeCell ref="Q28:R28"/>
    <mergeCell ref="S28:T28"/>
    <mergeCell ref="U28:V28"/>
    <mergeCell ref="B7:E7"/>
    <mergeCell ref="F7:AC7"/>
    <mergeCell ref="W30:AC30"/>
    <mergeCell ref="K29:N29"/>
    <mergeCell ref="O29:P29"/>
    <mergeCell ref="Q29:R29"/>
    <mergeCell ref="S29:T29"/>
    <mergeCell ref="U29:V29"/>
    <mergeCell ref="W29:AC29"/>
    <mergeCell ref="K27:N27"/>
    <mergeCell ref="O27:P27"/>
    <mergeCell ref="Q27:R27"/>
    <mergeCell ref="S27:T27"/>
    <mergeCell ref="U27:V27"/>
    <mergeCell ref="W28:AC28"/>
    <mergeCell ref="K26:N26"/>
    <mergeCell ref="O26:P26"/>
    <mergeCell ref="Q26:R26"/>
    <mergeCell ref="K36:N36"/>
    <mergeCell ref="O36:P36"/>
    <mergeCell ref="Q36:R36"/>
    <mergeCell ref="S36:T36"/>
    <mergeCell ref="U36:V36"/>
    <mergeCell ref="W36:AC36"/>
    <mergeCell ref="O24:P24"/>
    <mergeCell ref="Q24:R24"/>
    <mergeCell ref="S24:T24"/>
    <mergeCell ref="U24:V24"/>
    <mergeCell ref="W24:AC24"/>
    <mergeCell ref="U32:V32"/>
    <mergeCell ref="W32:AC32"/>
    <mergeCell ref="K31:N31"/>
    <mergeCell ref="O31:P31"/>
    <mergeCell ref="Q31:R31"/>
    <mergeCell ref="S31:T31"/>
    <mergeCell ref="U31:V31"/>
    <mergeCell ref="W31:AC31"/>
    <mergeCell ref="K30:N30"/>
    <mergeCell ref="O30:P30"/>
    <mergeCell ref="Q30:R30"/>
    <mergeCell ref="S30:T30"/>
    <mergeCell ref="U30:V30"/>
    <mergeCell ref="B42:AC42"/>
    <mergeCell ref="B43:AC43"/>
    <mergeCell ref="B44:AC45"/>
    <mergeCell ref="K39:N39"/>
    <mergeCell ref="O39:P39"/>
    <mergeCell ref="Q39:R39"/>
    <mergeCell ref="S39:T39"/>
    <mergeCell ref="U39:V39"/>
    <mergeCell ref="W39:AC39"/>
    <mergeCell ref="K40:N40"/>
    <mergeCell ref="O40:P40"/>
    <mergeCell ref="Q40:R40"/>
    <mergeCell ref="S40:T40"/>
    <mergeCell ref="U40:V40"/>
    <mergeCell ref="W40:AC40"/>
    <mergeCell ref="B5:D5"/>
    <mergeCell ref="E5:N5"/>
    <mergeCell ref="O5:Q5"/>
    <mergeCell ref="R5:AC5"/>
    <mergeCell ref="K41:N41"/>
    <mergeCell ref="O41:P41"/>
    <mergeCell ref="Q41:R41"/>
    <mergeCell ref="S41:T41"/>
    <mergeCell ref="U41:V41"/>
    <mergeCell ref="W41:AC41"/>
    <mergeCell ref="K37:N37"/>
    <mergeCell ref="O37:P37"/>
    <mergeCell ref="Q37:R37"/>
    <mergeCell ref="S37:T37"/>
    <mergeCell ref="U37:V37"/>
    <mergeCell ref="W37:AC37"/>
    <mergeCell ref="K38:N38"/>
    <mergeCell ref="O38:P38"/>
    <mergeCell ref="Q38:R38"/>
    <mergeCell ref="S38:T38"/>
    <mergeCell ref="U38:V38"/>
    <mergeCell ref="W38:AC38"/>
    <mergeCell ref="B33:AB33"/>
    <mergeCell ref="B34:E34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DDEBF7"/>
  </sheetPr>
  <dimension ref="A1:Q60"/>
  <sheetViews>
    <sheetView topLeftCell="A25" zoomScaleNormal="100" workbookViewId="0">
      <selection activeCell="G39" sqref="G39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1507</v>
      </c>
      <c r="B2" s="546" t="s">
        <v>1508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248" t="s">
        <v>1509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>
      <c r="A4" s="248" t="s">
        <v>1510</v>
      </c>
      <c r="B4" s="550" t="s">
        <v>1511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1512</v>
      </c>
      <c r="B5" s="554" t="s">
        <v>1513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248" t="s">
        <v>1514</v>
      </c>
      <c r="B9" s="559"/>
      <c r="C9" s="559"/>
      <c r="D9" s="559"/>
      <c r="E9" s="559"/>
      <c r="F9" s="559"/>
      <c r="G9" s="559"/>
      <c r="H9" s="559"/>
      <c r="I9" s="250" t="s">
        <v>1515</v>
      </c>
      <c r="J9" s="559" t="s">
        <v>1516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248" t="s">
        <v>1517</v>
      </c>
      <c r="B10" s="559"/>
      <c r="C10" s="559"/>
      <c r="D10" s="559"/>
      <c r="E10" s="559"/>
      <c r="F10" s="559"/>
      <c r="G10" s="559"/>
      <c r="H10" s="559"/>
      <c r="I10" s="250" t="s">
        <v>1518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1519</v>
      </c>
      <c r="B11" s="563"/>
      <c r="C11" s="563"/>
      <c r="D11" s="563"/>
      <c r="E11" s="563"/>
      <c r="F11" s="563"/>
      <c r="G11" s="563"/>
      <c r="H11" s="563"/>
      <c r="I11" s="564" t="s">
        <v>1520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248" t="s">
        <v>1403</v>
      </c>
      <c r="B12" s="566" t="s">
        <v>1521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1522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1523</v>
      </c>
      <c r="B13" s="563"/>
      <c r="C13" s="563"/>
      <c r="D13" s="563"/>
      <c r="E13" s="563"/>
      <c r="F13" s="563"/>
      <c r="G13" s="563"/>
      <c r="H13" s="563"/>
      <c r="I13" s="564" t="s">
        <v>1524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1525</v>
      </c>
      <c r="B14" s="252" t="s">
        <v>1526</v>
      </c>
      <c r="C14" s="252" t="s">
        <v>43</v>
      </c>
      <c r="D14" s="253" t="s">
        <v>1527</v>
      </c>
      <c r="E14" s="252" t="s">
        <v>1528</v>
      </c>
      <c r="F14" s="252" t="s">
        <v>1529</v>
      </c>
      <c r="G14" s="252" t="s">
        <v>1414</v>
      </c>
      <c r="H14" s="252" t="s">
        <v>1530</v>
      </c>
      <c r="I14" s="252" t="s">
        <v>1531</v>
      </c>
      <c r="J14" s="252" t="s">
        <v>1532</v>
      </c>
      <c r="K14" s="252" t="s">
        <v>1533</v>
      </c>
      <c r="L14" s="253" t="s">
        <v>1527</v>
      </c>
      <c r="M14" s="253" t="s">
        <v>1528</v>
      </c>
      <c r="N14" s="252" t="s">
        <v>1529</v>
      </c>
      <c r="O14" s="252" t="s">
        <v>1512</v>
      </c>
      <c r="P14" s="254" t="s">
        <v>1534</v>
      </c>
    </row>
    <row r="15" spans="1:17" s="262" customFormat="1" ht="16.5" customHeight="1">
      <c r="A15" s="255" t="s">
        <v>1591</v>
      </c>
      <c r="B15" s="256" t="s">
        <v>3299</v>
      </c>
      <c r="C15" s="256" t="s">
        <v>1727</v>
      </c>
      <c r="D15" s="257" t="s">
        <v>1412</v>
      </c>
      <c r="E15" s="257" t="s">
        <v>1728</v>
      </c>
      <c r="F15" s="257"/>
      <c r="G15" s="256" t="s">
        <v>1422</v>
      </c>
      <c r="H15" s="256" t="s">
        <v>1729</v>
      </c>
      <c r="I15" s="256"/>
      <c r="J15" s="256"/>
      <c r="K15" s="257"/>
      <c r="L15" s="257"/>
      <c r="M15" s="256"/>
      <c r="N15" s="256"/>
      <c r="O15" s="259"/>
      <c r="P15" s="260"/>
      <c r="Q15" s="261"/>
    </row>
    <row r="16" spans="1:17" s="262" customFormat="1" ht="16.5" customHeight="1">
      <c r="A16" s="255" t="s">
        <v>1536</v>
      </c>
      <c r="B16" s="256" t="s">
        <v>3300</v>
      </c>
      <c r="C16" s="256" t="s">
        <v>1724</v>
      </c>
      <c r="D16" s="257"/>
      <c r="E16" s="257" t="s">
        <v>515</v>
      </c>
      <c r="F16" s="257"/>
      <c r="G16" s="256" t="s">
        <v>1730</v>
      </c>
      <c r="H16" s="256"/>
      <c r="I16" s="256"/>
      <c r="J16" s="256"/>
      <c r="K16" s="257"/>
      <c r="L16" s="257"/>
      <c r="M16" s="256"/>
      <c r="N16" s="256"/>
      <c r="O16" s="259"/>
      <c r="P16" s="260"/>
      <c r="Q16" s="261"/>
    </row>
    <row r="17" spans="1:17" s="262" customFormat="1" ht="16.5" customHeight="1">
      <c r="A17" s="255" t="s">
        <v>1591</v>
      </c>
      <c r="B17" s="256" t="s">
        <v>3301</v>
      </c>
      <c r="C17" s="256" t="s">
        <v>1440</v>
      </c>
      <c r="D17" s="257"/>
      <c r="E17" s="257" t="s">
        <v>515</v>
      </c>
      <c r="F17" s="257"/>
      <c r="G17" s="256" t="s">
        <v>1425</v>
      </c>
      <c r="H17" s="256"/>
      <c r="I17" s="256"/>
      <c r="J17" s="256"/>
      <c r="K17" s="257"/>
      <c r="L17" s="257"/>
      <c r="M17" s="256"/>
      <c r="N17" s="256"/>
      <c r="O17" s="259"/>
      <c r="P17" s="260"/>
      <c r="Q17" s="261"/>
    </row>
    <row r="18" spans="1:17" s="265" customFormat="1" ht="36">
      <c r="A18" s="255" t="s">
        <v>1536</v>
      </c>
      <c r="B18" s="256" t="s">
        <v>3302</v>
      </c>
      <c r="C18" s="256" t="s">
        <v>1731</v>
      </c>
      <c r="D18" s="257"/>
      <c r="E18" s="257"/>
      <c r="F18" s="257" t="s">
        <v>1732</v>
      </c>
      <c r="G18" s="256" t="s">
        <v>1427</v>
      </c>
      <c r="H18" s="263" t="s">
        <v>1431</v>
      </c>
      <c r="I18" s="256"/>
      <c r="J18" s="256"/>
      <c r="K18" s="258"/>
      <c r="L18" s="257"/>
      <c r="M18" s="256"/>
      <c r="N18" s="256"/>
      <c r="O18" s="259"/>
      <c r="P18" s="260"/>
      <c r="Q18" s="264"/>
    </row>
    <row r="19" spans="1:17" s="265" customFormat="1" ht="16.5" customHeight="1">
      <c r="A19" s="255" t="s">
        <v>1536</v>
      </c>
      <c r="B19" s="256" t="s">
        <v>3303</v>
      </c>
      <c r="C19" s="256" t="s">
        <v>1733</v>
      </c>
      <c r="D19" s="257"/>
      <c r="E19" s="257"/>
      <c r="F19" s="257"/>
      <c r="G19" s="256" t="s">
        <v>1429</v>
      </c>
      <c r="H19" s="266" t="s">
        <v>1430</v>
      </c>
      <c r="I19" s="256"/>
      <c r="J19" s="256"/>
      <c r="K19" s="258"/>
      <c r="L19" s="257"/>
      <c r="M19" s="256"/>
      <c r="N19" s="256"/>
      <c r="O19" s="259"/>
      <c r="P19" s="260"/>
      <c r="Q19" s="264"/>
    </row>
    <row r="20" spans="1:17" s="265" customFormat="1" ht="36">
      <c r="A20" s="255" t="s">
        <v>1591</v>
      </c>
      <c r="B20" s="256" t="s">
        <v>3304</v>
      </c>
      <c r="C20" s="256" t="s">
        <v>1645</v>
      </c>
      <c r="D20" s="257"/>
      <c r="E20" s="257"/>
      <c r="F20" s="257" t="s">
        <v>1426</v>
      </c>
      <c r="G20" s="256" t="s">
        <v>1734</v>
      </c>
      <c r="H20" s="263" t="s">
        <v>1735</v>
      </c>
      <c r="I20" s="256"/>
      <c r="J20" s="256"/>
      <c r="K20" s="258"/>
      <c r="L20" s="257"/>
      <c r="M20" s="256"/>
      <c r="N20" s="256"/>
      <c r="O20" s="259"/>
      <c r="P20" s="260"/>
      <c r="Q20" s="264"/>
    </row>
    <row r="21" spans="1:17" s="265" customFormat="1" ht="16.5" customHeight="1">
      <c r="A21" s="255" t="s">
        <v>1736</v>
      </c>
      <c r="B21" s="256" t="s">
        <v>3305</v>
      </c>
      <c r="C21" s="256" t="s">
        <v>1440</v>
      </c>
      <c r="D21" s="257"/>
      <c r="E21" s="257"/>
      <c r="F21" s="257"/>
      <c r="G21" s="256" t="s">
        <v>1737</v>
      </c>
      <c r="H21" s="266" t="s">
        <v>1432</v>
      </c>
      <c r="I21" s="256"/>
      <c r="J21" s="256"/>
      <c r="K21" s="258"/>
      <c r="L21" s="257"/>
      <c r="M21" s="256"/>
      <c r="N21" s="256"/>
      <c r="O21" s="259"/>
      <c r="P21" s="260"/>
      <c r="Q21" s="264"/>
    </row>
    <row r="22" spans="1:17" s="265" customFormat="1" ht="16.5" customHeight="1">
      <c r="A22" s="259" t="s">
        <v>1536</v>
      </c>
      <c r="B22" s="256" t="s">
        <v>3306</v>
      </c>
      <c r="C22" s="256" t="s">
        <v>1738</v>
      </c>
      <c r="D22" s="257"/>
      <c r="E22" s="257" t="s">
        <v>515</v>
      </c>
      <c r="F22" s="257">
        <v>1</v>
      </c>
      <c r="G22" s="256" t="s">
        <v>1537</v>
      </c>
      <c r="H22" s="256" t="s">
        <v>1739</v>
      </c>
      <c r="I22" s="256" t="s">
        <v>1600</v>
      </c>
      <c r="J22" s="256" t="s">
        <v>1433</v>
      </c>
      <c r="K22" s="258" t="s">
        <v>1434</v>
      </c>
      <c r="L22" s="257"/>
      <c r="M22" s="256"/>
      <c r="N22" s="256"/>
      <c r="O22" s="259"/>
      <c r="P22" s="260"/>
      <c r="Q22" s="264"/>
    </row>
    <row r="23" spans="1:17" s="265" customFormat="1" ht="16.5" customHeight="1">
      <c r="A23" s="255" t="s">
        <v>1536</v>
      </c>
      <c r="B23" s="256" t="s">
        <v>1538</v>
      </c>
      <c r="C23" s="256" t="s">
        <v>1435</v>
      </c>
      <c r="D23" s="257"/>
      <c r="E23" s="257"/>
      <c r="F23" s="257"/>
      <c r="G23" s="256" t="s">
        <v>76</v>
      </c>
      <c r="H23" s="256"/>
      <c r="I23" s="256"/>
      <c r="J23" s="256"/>
      <c r="K23" s="258"/>
      <c r="L23" s="257"/>
      <c r="M23" s="256"/>
      <c r="N23" s="256"/>
      <c r="O23" s="259"/>
      <c r="P23" s="260"/>
      <c r="Q23" s="264"/>
    </row>
    <row r="24" spans="1:17" s="265" customFormat="1" ht="16.5" customHeight="1">
      <c r="A24" s="255" t="s">
        <v>1536</v>
      </c>
      <c r="B24" s="256" t="s">
        <v>1539</v>
      </c>
      <c r="C24" s="256" t="s">
        <v>1740</v>
      </c>
      <c r="D24" s="257"/>
      <c r="E24" s="257" t="s">
        <v>515</v>
      </c>
      <c r="F24" s="257"/>
      <c r="G24" s="256" t="s">
        <v>1741</v>
      </c>
      <c r="H24" s="256" t="s">
        <v>1742</v>
      </c>
      <c r="I24" s="256" t="s">
        <v>1540</v>
      </c>
      <c r="J24" s="256" t="s">
        <v>1439</v>
      </c>
      <c r="K24" s="258" t="s">
        <v>1436</v>
      </c>
      <c r="L24" s="257"/>
      <c r="M24" s="256"/>
      <c r="N24" s="256"/>
      <c r="O24" s="259"/>
      <c r="P24" s="260"/>
      <c r="Q24" s="264"/>
    </row>
    <row r="25" spans="1:17" s="265" customFormat="1" ht="16.5" customHeight="1">
      <c r="A25" s="255" t="s">
        <v>1536</v>
      </c>
      <c r="B25" s="256" t="s">
        <v>1541</v>
      </c>
      <c r="C25" s="256" t="s">
        <v>1743</v>
      </c>
      <c r="D25" s="257"/>
      <c r="E25" s="257" t="s">
        <v>57</v>
      </c>
      <c r="F25" s="257"/>
      <c r="G25" s="256" t="s">
        <v>1441</v>
      </c>
      <c r="H25" s="256" t="s">
        <v>1744</v>
      </c>
      <c r="I25" s="256" t="s">
        <v>1543</v>
      </c>
      <c r="J25" s="256" t="s">
        <v>1442</v>
      </c>
      <c r="K25" s="258" t="s">
        <v>1443</v>
      </c>
      <c r="L25" s="257"/>
      <c r="M25" s="256"/>
      <c r="N25" s="256"/>
      <c r="O25" s="259"/>
      <c r="P25" s="260"/>
      <c r="Q25" s="264"/>
    </row>
    <row r="26" spans="1:17" s="265" customFormat="1" ht="16.5" customHeight="1">
      <c r="A26" s="255" t="s">
        <v>1536</v>
      </c>
      <c r="B26" s="256" t="s">
        <v>1544</v>
      </c>
      <c r="C26" s="256" t="s">
        <v>1745</v>
      </c>
      <c r="D26" s="257"/>
      <c r="E26" s="257"/>
      <c r="F26" s="257"/>
      <c r="G26" s="256" t="s">
        <v>1746</v>
      </c>
      <c r="H26" s="256" t="s">
        <v>1747</v>
      </c>
      <c r="I26" s="256" t="s">
        <v>1543</v>
      </c>
      <c r="J26" s="256" t="s">
        <v>1444</v>
      </c>
      <c r="K26" s="258" t="s">
        <v>1436</v>
      </c>
      <c r="L26" s="257"/>
      <c r="M26" s="256"/>
      <c r="N26" s="256"/>
      <c r="O26" s="259"/>
      <c r="P26" s="260"/>
      <c r="Q26" s="264"/>
    </row>
    <row r="27" spans="1:17" s="265" customFormat="1" ht="16.5" customHeight="1">
      <c r="A27" s="255" t="s">
        <v>1536</v>
      </c>
      <c r="B27" s="256" t="s">
        <v>1546</v>
      </c>
      <c r="C27" s="256" t="s">
        <v>1440</v>
      </c>
      <c r="D27" s="257"/>
      <c r="E27" s="257"/>
      <c r="F27" s="257"/>
      <c r="G27" s="256" t="s">
        <v>1748</v>
      </c>
      <c r="H27" s="256" t="s">
        <v>1749</v>
      </c>
      <c r="I27" s="256" t="s">
        <v>1543</v>
      </c>
      <c r="J27" s="256" t="s">
        <v>1750</v>
      </c>
      <c r="K27" s="258" t="s">
        <v>1443</v>
      </c>
      <c r="L27" s="257"/>
      <c r="M27" s="256"/>
      <c r="N27" s="256"/>
      <c r="O27" s="259"/>
      <c r="P27" s="260"/>
      <c r="Q27" s="264"/>
    </row>
    <row r="28" spans="1:17">
      <c r="A28" s="267" t="s">
        <v>1536</v>
      </c>
      <c r="B28" s="268" t="s">
        <v>1548</v>
      </c>
      <c r="C28" s="268" t="s">
        <v>1447</v>
      </c>
      <c r="D28" s="269" t="s">
        <v>1412</v>
      </c>
      <c r="E28" s="269" t="s">
        <v>515</v>
      </c>
      <c r="F28" s="269"/>
      <c r="G28" s="268" t="s">
        <v>1549</v>
      </c>
      <c r="H28" s="270"/>
      <c r="I28" s="270"/>
      <c r="J28" s="270" t="s">
        <v>1714</v>
      </c>
      <c r="K28" s="270"/>
      <c r="L28" s="269"/>
      <c r="M28" s="269"/>
      <c r="N28" s="269"/>
      <c r="O28" s="270"/>
      <c r="P28" s="271" t="s">
        <v>1450</v>
      </c>
    </row>
    <row r="29" spans="1:17">
      <c r="A29" s="274"/>
      <c r="B29" s="305"/>
      <c r="C29" s="275"/>
      <c r="D29" s="276"/>
      <c r="E29" s="276"/>
      <c r="F29" s="276"/>
      <c r="G29" s="275"/>
      <c r="H29" s="275"/>
      <c r="I29" s="275" t="s">
        <v>1751</v>
      </c>
      <c r="J29" s="275" t="s">
        <v>1550</v>
      </c>
      <c r="K29" s="275" t="s">
        <v>1551</v>
      </c>
      <c r="L29" s="276" t="s">
        <v>1752</v>
      </c>
      <c r="M29" s="276" t="s">
        <v>515</v>
      </c>
      <c r="N29" s="276"/>
      <c r="O29" s="275" t="s">
        <v>1552</v>
      </c>
      <c r="P29" s="277" t="s">
        <v>1753</v>
      </c>
    </row>
    <row r="30" spans="1:17">
      <c r="A30" s="274" t="s">
        <v>1536</v>
      </c>
      <c r="B30" s="283" t="s">
        <v>1754</v>
      </c>
      <c r="C30" s="283" t="s">
        <v>1464</v>
      </c>
      <c r="D30" s="276" t="s">
        <v>1752</v>
      </c>
      <c r="E30" s="276" t="s">
        <v>515</v>
      </c>
      <c r="F30" s="276"/>
      <c r="G30" s="283" t="s">
        <v>1554</v>
      </c>
      <c r="H30" s="275"/>
      <c r="I30" s="275" t="s">
        <v>1755</v>
      </c>
      <c r="J30" s="275" t="s">
        <v>1756</v>
      </c>
      <c r="K30" s="275" t="s">
        <v>1555</v>
      </c>
      <c r="L30" s="276"/>
      <c r="M30" s="276" t="s">
        <v>515</v>
      </c>
      <c r="N30" s="276"/>
      <c r="O30" s="275" t="s">
        <v>104</v>
      </c>
      <c r="P30" s="277"/>
    </row>
    <row r="31" spans="1:17">
      <c r="A31" s="274" t="s">
        <v>1536</v>
      </c>
      <c r="B31" s="283" t="s">
        <v>1757</v>
      </c>
      <c r="C31" s="283" t="s">
        <v>1453</v>
      </c>
      <c r="D31" s="279" t="s">
        <v>1412</v>
      </c>
      <c r="E31" s="279" t="s">
        <v>515</v>
      </c>
      <c r="F31" s="279"/>
      <c r="G31" s="278" t="s">
        <v>1556</v>
      </c>
      <c r="H31" s="275"/>
      <c r="I31" s="275" t="s">
        <v>1540</v>
      </c>
      <c r="J31" s="275" t="s">
        <v>1075</v>
      </c>
      <c r="K31" s="275" t="s">
        <v>1557</v>
      </c>
      <c r="L31" s="276"/>
      <c r="M31" s="276" t="s">
        <v>515</v>
      </c>
      <c r="N31" s="276"/>
      <c r="O31" s="275" t="s">
        <v>105</v>
      </c>
      <c r="P31" s="277"/>
    </row>
    <row r="32" spans="1:17">
      <c r="A32" s="274" t="s">
        <v>1536</v>
      </c>
      <c r="B32" s="283" t="s">
        <v>1758</v>
      </c>
      <c r="C32" s="283" t="s">
        <v>1453</v>
      </c>
      <c r="D32" s="279"/>
      <c r="E32" s="279"/>
      <c r="F32" s="279"/>
      <c r="G32" s="278" t="s">
        <v>1759</v>
      </c>
      <c r="H32" s="275"/>
      <c r="I32" s="275" t="s">
        <v>1540</v>
      </c>
      <c r="J32" s="275" t="s">
        <v>1760</v>
      </c>
      <c r="K32" s="275" t="s">
        <v>1557</v>
      </c>
      <c r="L32" s="276"/>
      <c r="M32" s="276" t="s">
        <v>515</v>
      </c>
      <c r="N32" s="276"/>
      <c r="O32" s="275" t="s">
        <v>1761</v>
      </c>
      <c r="P32" s="277"/>
    </row>
    <row r="33" spans="1:16" ht="24">
      <c r="A33" s="267" t="s">
        <v>1536</v>
      </c>
      <c r="B33" s="268" t="s">
        <v>1762</v>
      </c>
      <c r="C33" s="268" t="s">
        <v>1459</v>
      </c>
      <c r="D33" s="269"/>
      <c r="E33" s="269"/>
      <c r="F33" s="269"/>
      <c r="G33" s="268" t="s">
        <v>1558</v>
      </c>
      <c r="H33" s="281" t="s">
        <v>1763</v>
      </c>
      <c r="I33" s="270"/>
      <c r="J33" s="273" t="s">
        <v>1449</v>
      </c>
      <c r="K33" s="270"/>
      <c r="L33" s="269"/>
      <c r="M33" s="269"/>
      <c r="N33" s="269"/>
      <c r="O33" s="270"/>
      <c r="P33" s="271" t="s">
        <v>1666</v>
      </c>
    </row>
    <row r="34" spans="1:16" ht="108">
      <c r="A34" s="267" t="s">
        <v>1536</v>
      </c>
      <c r="B34" s="297" t="s">
        <v>3382</v>
      </c>
      <c r="C34" s="270" t="s">
        <v>1459</v>
      </c>
      <c r="D34" s="269"/>
      <c r="E34" s="269"/>
      <c r="F34" s="269"/>
      <c r="G34" s="270" t="s">
        <v>1559</v>
      </c>
      <c r="H34" s="281" t="s">
        <v>3381</v>
      </c>
      <c r="I34" s="270"/>
      <c r="J34" s="270" t="s">
        <v>3384</v>
      </c>
      <c r="K34" s="270"/>
      <c r="L34" s="269"/>
      <c r="M34" s="269"/>
      <c r="N34" s="269"/>
      <c r="O34" s="270"/>
      <c r="P34" s="271" t="s">
        <v>2758</v>
      </c>
    </row>
    <row r="35" spans="1:16">
      <c r="A35" s="274" t="s">
        <v>1536</v>
      </c>
      <c r="B35" s="283" t="s">
        <v>1560</v>
      </c>
      <c r="C35" s="283" t="s">
        <v>1561</v>
      </c>
      <c r="D35" s="276"/>
      <c r="E35" s="276"/>
      <c r="F35" s="276"/>
      <c r="G35" s="283" t="s">
        <v>1562</v>
      </c>
      <c r="H35" s="275"/>
      <c r="I35" s="275" t="s">
        <v>1755</v>
      </c>
      <c r="J35" s="275" t="s">
        <v>1765</v>
      </c>
      <c r="K35" s="275" t="s">
        <v>1766</v>
      </c>
      <c r="L35" s="276"/>
      <c r="M35" s="276"/>
      <c r="N35" s="276"/>
      <c r="O35" s="275" t="s">
        <v>106</v>
      </c>
      <c r="P35" s="277"/>
    </row>
    <row r="36" spans="1:16">
      <c r="A36" s="274" t="s">
        <v>1536</v>
      </c>
      <c r="B36" s="283" t="s">
        <v>1563</v>
      </c>
      <c r="C36" s="283" t="s">
        <v>1464</v>
      </c>
      <c r="D36" s="276"/>
      <c r="E36" s="276"/>
      <c r="F36" s="276"/>
      <c r="G36" s="283" t="s">
        <v>1564</v>
      </c>
      <c r="H36" s="284"/>
      <c r="I36" s="275" t="s">
        <v>1540</v>
      </c>
      <c r="J36" s="275" t="s">
        <v>1767</v>
      </c>
      <c r="K36" s="275" t="s">
        <v>1745</v>
      </c>
      <c r="L36" s="276"/>
      <c r="M36" s="276"/>
      <c r="N36" s="276"/>
      <c r="O36" s="275" t="s">
        <v>108</v>
      </c>
      <c r="P36" s="277"/>
    </row>
    <row r="37" spans="1:16">
      <c r="A37" s="274" t="s">
        <v>1536</v>
      </c>
      <c r="B37" s="283" t="s">
        <v>1565</v>
      </c>
      <c r="C37" s="283" t="s">
        <v>1453</v>
      </c>
      <c r="D37" s="276"/>
      <c r="E37" s="276"/>
      <c r="F37" s="276"/>
      <c r="G37" s="283" t="s">
        <v>110</v>
      </c>
      <c r="H37" s="275" t="s">
        <v>1768</v>
      </c>
      <c r="I37" s="275" t="s">
        <v>1540</v>
      </c>
      <c r="J37" s="275" t="s">
        <v>1566</v>
      </c>
      <c r="K37" s="275" t="s">
        <v>1769</v>
      </c>
      <c r="L37" s="276"/>
      <c r="M37" s="276"/>
      <c r="N37" s="276"/>
      <c r="O37" s="275" t="s">
        <v>110</v>
      </c>
      <c r="P37" s="277"/>
    </row>
    <row r="38" spans="1:16">
      <c r="A38" s="274" t="s">
        <v>1536</v>
      </c>
      <c r="B38" s="283" t="s">
        <v>1567</v>
      </c>
      <c r="C38" s="283" t="s">
        <v>1453</v>
      </c>
      <c r="D38" s="276"/>
      <c r="E38" s="276"/>
      <c r="F38" s="276"/>
      <c r="G38" s="283" t="s">
        <v>1568</v>
      </c>
      <c r="H38" s="275" t="s">
        <v>1768</v>
      </c>
      <c r="I38" s="275" t="s">
        <v>1751</v>
      </c>
      <c r="J38" s="275" t="s">
        <v>1770</v>
      </c>
      <c r="K38" s="275" t="s">
        <v>1771</v>
      </c>
      <c r="L38" s="276"/>
      <c r="M38" s="276"/>
      <c r="N38" s="276"/>
      <c r="O38" s="275" t="s">
        <v>113</v>
      </c>
      <c r="P38" s="277"/>
    </row>
    <row r="39" spans="1:16" ht="108">
      <c r="A39" s="291" t="s">
        <v>1536</v>
      </c>
      <c r="B39" s="296" t="s">
        <v>3383</v>
      </c>
      <c r="C39" s="296" t="s">
        <v>1459</v>
      </c>
      <c r="D39" s="293"/>
      <c r="E39" s="293"/>
      <c r="F39" s="293"/>
      <c r="G39" s="296" t="s">
        <v>1569</v>
      </c>
      <c r="H39" s="294" t="s">
        <v>3343</v>
      </c>
      <c r="I39" s="292" t="s">
        <v>1540</v>
      </c>
      <c r="J39" s="292" t="s">
        <v>3386</v>
      </c>
      <c r="K39" s="292" t="s">
        <v>1468</v>
      </c>
      <c r="L39" s="293"/>
      <c r="M39" s="293" t="s">
        <v>515</v>
      </c>
      <c r="N39" s="293"/>
      <c r="O39" s="292" t="s">
        <v>3385</v>
      </c>
      <c r="P39" s="295"/>
    </row>
    <row r="40" spans="1:16">
      <c r="A40" s="274" t="s">
        <v>1536</v>
      </c>
      <c r="B40" s="283" t="s">
        <v>1570</v>
      </c>
      <c r="C40" s="283" t="s">
        <v>1464</v>
      </c>
      <c r="D40" s="276"/>
      <c r="E40" s="276"/>
      <c r="F40" s="276"/>
      <c r="G40" s="283" t="s">
        <v>1571</v>
      </c>
      <c r="H40" s="275"/>
      <c r="I40" s="275" t="s">
        <v>1540</v>
      </c>
      <c r="J40" s="275" t="s">
        <v>1772</v>
      </c>
      <c r="K40" s="275" t="s">
        <v>1769</v>
      </c>
      <c r="L40" s="276"/>
      <c r="M40" s="276"/>
      <c r="N40" s="276"/>
      <c r="O40" s="275" t="s">
        <v>1773</v>
      </c>
      <c r="P40" s="277"/>
    </row>
    <row r="41" spans="1:16">
      <c r="A41" s="274" t="s">
        <v>1536</v>
      </c>
      <c r="B41" s="283" t="s">
        <v>1572</v>
      </c>
      <c r="C41" s="283" t="s">
        <v>1573</v>
      </c>
      <c r="D41" s="276"/>
      <c r="E41" s="276"/>
      <c r="F41" s="276"/>
      <c r="G41" s="283" t="s">
        <v>1574</v>
      </c>
      <c r="H41" s="275"/>
      <c r="I41" s="275" t="s">
        <v>1764</v>
      </c>
      <c r="J41" s="275" t="s">
        <v>1774</v>
      </c>
      <c r="K41" s="275" t="s">
        <v>1557</v>
      </c>
      <c r="L41" s="276"/>
      <c r="M41" s="276"/>
      <c r="N41" s="276"/>
      <c r="O41" s="275" t="s">
        <v>114</v>
      </c>
      <c r="P41" s="277"/>
    </row>
    <row r="42" spans="1:16">
      <c r="A42" s="267" t="s">
        <v>1536</v>
      </c>
      <c r="B42" s="268" t="s">
        <v>1575</v>
      </c>
      <c r="C42" s="268" t="s">
        <v>1464</v>
      </c>
      <c r="D42" s="269"/>
      <c r="E42" s="269"/>
      <c r="F42" s="269"/>
      <c r="G42" s="268" t="s">
        <v>1576</v>
      </c>
      <c r="H42" s="270"/>
      <c r="I42" s="270"/>
      <c r="J42" s="273" t="s">
        <v>1449</v>
      </c>
      <c r="K42" s="270"/>
      <c r="L42" s="269"/>
      <c r="M42" s="269"/>
      <c r="N42" s="269"/>
      <c r="O42" s="270"/>
      <c r="P42" s="271" t="s">
        <v>1686</v>
      </c>
    </row>
    <row r="43" spans="1:16">
      <c r="A43" s="267" t="s">
        <v>1536</v>
      </c>
      <c r="B43" s="268" t="s">
        <v>1577</v>
      </c>
      <c r="C43" s="268" t="s">
        <v>1464</v>
      </c>
      <c r="D43" s="269"/>
      <c r="E43" s="269"/>
      <c r="F43" s="269"/>
      <c r="G43" s="268" t="s">
        <v>1578</v>
      </c>
      <c r="H43" s="270"/>
      <c r="I43" s="270"/>
      <c r="J43" s="273" t="s">
        <v>1714</v>
      </c>
      <c r="K43" s="270"/>
      <c r="L43" s="269"/>
      <c r="M43" s="269"/>
      <c r="N43" s="269"/>
      <c r="O43" s="270"/>
      <c r="P43" s="271" t="s">
        <v>1775</v>
      </c>
    </row>
    <row r="44" spans="1:16">
      <c r="A44" s="274" t="s">
        <v>1536</v>
      </c>
      <c r="B44" s="283" t="s">
        <v>1579</v>
      </c>
      <c r="C44" s="283" t="s">
        <v>1580</v>
      </c>
      <c r="D44" s="276"/>
      <c r="E44" s="276"/>
      <c r="F44" s="276"/>
      <c r="G44" s="283" t="s">
        <v>1581</v>
      </c>
      <c r="H44" s="275"/>
      <c r="I44" s="275" t="s">
        <v>1776</v>
      </c>
      <c r="J44" s="275" t="s">
        <v>1777</v>
      </c>
      <c r="K44" s="275" t="s">
        <v>1582</v>
      </c>
      <c r="L44" s="276"/>
      <c r="M44" s="276"/>
      <c r="N44" s="276"/>
      <c r="O44" s="275" t="s">
        <v>119</v>
      </c>
      <c r="P44" s="277"/>
    </row>
    <row r="45" spans="1:16">
      <c r="A45" s="274" t="s">
        <v>1536</v>
      </c>
      <c r="B45" s="283" t="s">
        <v>1583</v>
      </c>
      <c r="C45" s="283" t="s">
        <v>1584</v>
      </c>
      <c r="D45" s="276"/>
      <c r="E45" s="276"/>
      <c r="F45" s="276"/>
      <c r="G45" s="283" t="s">
        <v>1585</v>
      </c>
      <c r="H45" s="275"/>
      <c r="I45" s="275" t="s">
        <v>1540</v>
      </c>
      <c r="J45" s="275" t="s">
        <v>1778</v>
      </c>
      <c r="K45" s="275" t="s">
        <v>1456</v>
      </c>
      <c r="L45" s="276"/>
      <c r="M45" s="276"/>
      <c r="N45" s="276"/>
      <c r="O45" s="275" t="s">
        <v>121</v>
      </c>
      <c r="P45" s="277"/>
    </row>
    <row r="46" spans="1:16">
      <c r="A46" s="274" t="s">
        <v>1536</v>
      </c>
      <c r="B46" s="283" t="s">
        <v>1586</v>
      </c>
      <c r="C46" s="283" t="s">
        <v>1584</v>
      </c>
      <c r="D46" s="276"/>
      <c r="E46" s="276"/>
      <c r="F46" s="276"/>
      <c r="G46" s="283" t="s">
        <v>1587</v>
      </c>
      <c r="H46" s="275"/>
      <c r="I46" s="275" t="s">
        <v>1540</v>
      </c>
      <c r="J46" s="275" t="s">
        <v>1779</v>
      </c>
      <c r="K46" s="275" t="s">
        <v>1456</v>
      </c>
      <c r="L46" s="276"/>
      <c r="M46" s="276"/>
      <c r="N46" s="276"/>
      <c r="O46" s="275" t="s">
        <v>1588</v>
      </c>
      <c r="P46" s="277"/>
    </row>
    <row r="47" spans="1:16">
      <c r="A47" s="267" t="s">
        <v>1536</v>
      </c>
      <c r="B47" s="268" t="s">
        <v>1589</v>
      </c>
      <c r="C47" s="268" t="s">
        <v>1464</v>
      </c>
      <c r="D47" s="269"/>
      <c r="E47" s="269"/>
      <c r="F47" s="269"/>
      <c r="G47" s="268" t="s">
        <v>1590</v>
      </c>
      <c r="H47" s="270"/>
      <c r="I47" s="270" t="s">
        <v>1540</v>
      </c>
      <c r="J47" s="270" t="s">
        <v>115</v>
      </c>
      <c r="K47" s="270" t="s">
        <v>1780</v>
      </c>
      <c r="L47" s="269"/>
      <c r="M47" s="269"/>
      <c r="N47" s="269"/>
      <c r="O47" s="270" t="s">
        <v>116</v>
      </c>
      <c r="P47" s="271"/>
    </row>
    <row r="48" spans="1:16">
      <c r="A48" s="267" t="s">
        <v>1781</v>
      </c>
      <c r="B48" s="268" t="s">
        <v>1592</v>
      </c>
      <c r="C48" s="268" t="s">
        <v>1464</v>
      </c>
      <c r="D48" s="269"/>
      <c r="E48" s="269"/>
      <c r="F48" s="269"/>
      <c r="G48" s="268" t="s">
        <v>1593</v>
      </c>
      <c r="H48" s="270"/>
      <c r="I48" s="270" t="s">
        <v>1764</v>
      </c>
      <c r="J48" s="270" t="s">
        <v>1782</v>
      </c>
      <c r="K48" s="270" t="s">
        <v>1783</v>
      </c>
      <c r="L48" s="269"/>
      <c r="M48" s="269"/>
      <c r="N48" s="269"/>
      <c r="O48" s="270" t="s">
        <v>118</v>
      </c>
      <c r="P48" s="271"/>
    </row>
    <row r="49" spans="1:16">
      <c r="A49" s="274" t="s">
        <v>1536</v>
      </c>
      <c r="B49" s="305" t="s">
        <v>1784</v>
      </c>
      <c r="C49" s="275" t="s">
        <v>1594</v>
      </c>
      <c r="D49" s="276"/>
      <c r="E49" s="276"/>
      <c r="F49" s="276"/>
      <c r="G49" s="275" t="s">
        <v>1785</v>
      </c>
      <c r="H49" s="284" t="s">
        <v>1786</v>
      </c>
      <c r="I49" s="280" t="s">
        <v>1764</v>
      </c>
      <c r="J49" s="280" t="s">
        <v>1595</v>
      </c>
      <c r="K49" s="280" t="s">
        <v>1787</v>
      </c>
      <c r="L49" s="285"/>
      <c r="M49" s="285"/>
      <c r="N49" s="285"/>
      <c r="O49" s="280" t="s">
        <v>1788</v>
      </c>
      <c r="P49" s="287" t="s">
        <v>1789</v>
      </c>
    </row>
    <row r="50" spans="1:16">
      <c r="A50" s="274" t="s">
        <v>1536</v>
      </c>
      <c r="B50" s="305" t="s">
        <v>1790</v>
      </c>
      <c r="C50" s="275" t="s">
        <v>1791</v>
      </c>
      <c r="D50" s="276"/>
      <c r="E50" s="276"/>
      <c r="F50" s="276"/>
      <c r="G50" s="275" t="s">
        <v>1792</v>
      </c>
      <c r="H50" s="284"/>
      <c r="I50" s="280" t="s">
        <v>1755</v>
      </c>
      <c r="J50" s="280" t="s">
        <v>1793</v>
      </c>
      <c r="K50" s="280" t="s">
        <v>1794</v>
      </c>
      <c r="L50" s="285"/>
      <c r="M50" s="285"/>
      <c r="N50" s="285"/>
      <c r="O50" s="280" t="s">
        <v>1596</v>
      </c>
      <c r="P50" s="287" t="s">
        <v>1795</v>
      </c>
    </row>
    <row r="51" spans="1:16">
      <c r="A51" s="274" t="s">
        <v>1536</v>
      </c>
      <c r="B51" s="305" t="s">
        <v>1796</v>
      </c>
      <c r="C51" s="275" t="s">
        <v>1797</v>
      </c>
      <c r="D51" s="276"/>
      <c r="E51" s="276"/>
      <c r="F51" s="276"/>
      <c r="G51" s="275" t="s">
        <v>122</v>
      </c>
      <c r="H51" s="284"/>
      <c r="I51" s="275" t="s">
        <v>1764</v>
      </c>
      <c r="J51" s="275" t="s">
        <v>255</v>
      </c>
      <c r="K51" s="275" t="s">
        <v>1798</v>
      </c>
      <c r="L51" s="276"/>
      <c r="M51" s="276"/>
      <c r="N51" s="276"/>
      <c r="O51" s="275" t="s">
        <v>122</v>
      </c>
      <c r="P51" s="277"/>
    </row>
    <row r="52" spans="1:16">
      <c r="A52" s="267" t="s">
        <v>1536</v>
      </c>
      <c r="B52" s="297" t="s">
        <v>1799</v>
      </c>
      <c r="C52" s="270" t="s">
        <v>1800</v>
      </c>
      <c r="D52" s="269"/>
      <c r="E52" s="269"/>
      <c r="F52" s="269"/>
      <c r="G52" s="270" t="s">
        <v>1598</v>
      </c>
      <c r="H52" s="281" t="s">
        <v>1711</v>
      </c>
      <c r="I52" s="270"/>
      <c r="J52" s="270"/>
      <c r="K52" s="270"/>
      <c r="L52" s="269"/>
      <c r="M52" s="269"/>
      <c r="N52" s="269"/>
      <c r="O52" s="270"/>
      <c r="P52" s="271" t="s">
        <v>1450</v>
      </c>
    </row>
    <row r="53" spans="1:16" s="298" customFormat="1">
      <c r="A53" s="274" t="s">
        <v>1536</v>
      </c>
      <c r="B53" s="56" t="s">
        <v>1801</v>
      </c>
      <c r="C53" s="275" t="s">
        <v>1802</v>
      </c>
      <c r="D53" s="276"/>
      <c r="E53" s="276"/>
      <c r="F53" s="276"/>
      <c r="G53" s="275" t="s">
        <v>1599</v>
      </c>
      <c r="H53" s="275"/>
      <c r="I53" s="275" t="s">
        <v>1803</v>
      </c>
      <c r="J53" s="275" t="s">
        <v>1804</v>
      </c>
      <c r="K53" s="275" t="s">
        <v>1805</v>
      </c>
      <c r="L53" s="276"/>
      <c r="M53" s="276" t="s">
        <v>515</v>
      </c>
      <c r="N53" s="276" t="s">
        <v>1806</v>
      </c>
      <c r="O53" s="275" t="s">
        <v>1599</v>
      </c>
      <c r="P53" s="277"/>
    </row>
    <row r="54" spans="1:16" ht="16.5" customHeight="1">
      <c r="A54" s="288"/>
      <c r="B54" s="56"/>
      <c r="C54" s="275"/>
      <c r="D54" s="276"/>
      <c r="E54" s="276"/>
      <c r="F54" s="276"/>
      <c r="G54" s="275"/>
      <c r="H54" s="275"/>
      <c r="I54" s="275"/>
      <c r="J54" s="275"/>
      <c r="K54" s="275"/>
      <c r="L54" s="276"/>
      <c r="M54" s="276"/>
      <c r="N54" s="276"/>
      <c r="O54" s="275"/>
      <c r="P54" s="277"/>
    </row>
    <row r="55" spans="1:16">
      <c r="A55" s="288"/>
      <c r="B55" s="56"/>
      <c r="C55" s="275"/>
      <c r="D55" s="276"/>
      <c r="E55" s="276"/>
      <c r="F55" s="276"/>
      <c r="G55" s="275"/>
      <c r="H55" s="275"/>
      <c r="I55" s="275"/>
      <c r="J55" s="275"/>
      <c r="K55" s="275"/>
      <c r="L55" s="276"/>
      <c r="M55" s="276"/>
      <c r="N55" s="276"/>
      <c r="O55" s="275"/>
      <c r="P55" s="277"/>
    </row>
    <row r="56" spans="1:16">
      <c r="A56" s="288"/>
      <c r="B56" s="56"/>
      <c r="C56" s="275"/>
      <c r="D56" s="276"/>
      <c r="E56" s="276"/>
      <c r="F56" s="276"/>
      <c r="G56" s="275"/>
      <c r="H56" s="275"/>
      <c r="I56" s="275"/>
      <c r="J56" s="275"/>
      <c r="K56" s="275"/>
      <c r="L56" s="276"/>
      <c r="M56" s="276"/>
      <c r="N56" s="276"/>
      <c r="O56" s="275"/>
      <c r="P56" s="277"/>
    </row>
    <row r="57" spans="1:16">
      <c r="A57" s="288"/>
      <c r="B57" s="56"/>
      <c r="C57" s="275"/>
      <c r="D57" s="276"/>
      <c r="E57" s="276"/>
      <c r="F57" s="276"/>
      <c r="G57" s="275"/>
      <c r="H57" s="275"/>
      <c r="I57" s="275"/>
      <c r="J57" s="275"/>
      <c r="K57" s="275"/>
      <c r="L57" s="276"/>
      <c r="M57" s="276"/>
      <c r="N57" s="276"/>
      <c r="O57" s="275"/>
      <c r="P57" s="277"/>
    </row>
    <row r="58" spans="1:16">
      <c r="A58" s="288"/>
      <c r="B58" s="56"/>
      <c r="C58" s="275"/>
      <c r="D58" s="276"/>
      <c r="E58" s="276"/>
      <c r="F58" s="276"/>
      <c r="G58" s="275"/>
      <c r="H58" s="275"/>
      <c r="I58" s="275"/>
      <c r="J58" s="275"/>
      <c r="K58" s="275"/>
      <c r="L58" s="276"/>
      <c r="M58" s="276"/>
      <c r="N58" s="276"/>
      <c r="O58" s="275"/>
      <c r="P58" s="277"/>
    </row>
    <row r="59" spans="1:16" ht="17.25" thickBot="1">
      <c r="A59" s="289" t="s">
        <v>1807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8"/>
    </row>
    <row r="60" spans="1:16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</row>
  </sheetData>
  <mergeCells count="17">
    <mergeCell ref="B9:C9"/>
    <mergeCell ref="D9:H9"/>
    <mergeCell ref="J9:P9"/>
    <mergeCell ref="A13:H13"/>
    <mergeCell ref="I13:P13"/>
    <mergeCell ref="B59:P59"/>
    <mergeCell ref="B10:H10"/>
    <mergeCell ref="J10:P10"/>
    <mergeCell ref="A11:H11"/>
    <mergeCell ref="I11:P11"/>
    <mergeCell ref="B12:H12"/>
    <mergeCell ref="J12:P12"/>
    <mergeCell ref="B2:P2"/>
    <mergeCell ref="B3:P3"/>
    <mergeCell ref="B4:P4"/>
    <mergeCell ref="A5:A8"/>
    <mergeCell ref="B5:P8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8657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58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59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60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61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8662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DDEBF7"/>
  </sheetPr>
  <dimension ref="A1:P29"/>
  <sheetViews>
    <sheetView zoomScaleNormal="100" workbookViewId="0"/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6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s="246" customFormat="1">
      <c r="A2" s="247" t="s">
        <v>1389</v>
      </c>
      <c r="B2" s="546" t="s">
        <v>1602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6" s="246" customFormat="1" ht="12">
      <c r="A3" s="248" t="s">
        <v>1603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6" s="246" customFormat="1" ht="12">
      <c r="A4" s="248" t="s">
        <v>1604</v>
      </c>
      <c r="B4" s="550" t="s">
        <v>1605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6" s="249" customFormat="1" ht="16.5" customHeight="1">
      <c r="A5" s="553" t="s">
        <v>1606</v>
      </c>
      <c r="B5" s="554" t="s">
        <v>1607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6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6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6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6" s="249" customFormat="1" ht="16.5" customHeight="1">
      <c r="A9" s="248" t="s">
        <v>1514</v>
      </c>
      <c r="B9" s="559"/>
      <c r="C9" s="559"/>
      <c r="D9" s="559"/>
      <c r="E9" s="559"/>
      <c r="F9" s="559"/>
      <c r="G9" s="559"/>
      <c r="H9" s="559"/>
      <c r="I9" s="250" t="s">
        <v>1608</v>
      </c>
      <c r="J9" s="559" t="s">
        <v>1516</v>
      </c>
      <c r="K9" s="559"/>
      <c r="L9" s="559"/>
      <c r="M9" s="559"/>
      <c r="N9" s="559"/>
      <c r="O9" s="559"/>
      <c r="P9" s="561"/>
    </row>
    <row r="10" spans="1:16" s="249" customFormat="1" ht="16.5" customHeight="1">
      <c r="A10" s="248" t="s">
        <v>1609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6" s="249" customFormat="1" ht="16.5" customHeight="1">
      <c r="A11" s="562" t="s">
        <v>1401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6" s="249" customFormat="1" ht="25.5" customHeight="1">
      <c r="A12" s="248" t="s">
        <v>1403</v>
      </c>
      <c r="B12" s="566" t="s">
        <v>7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1406</v>
      </c>
      <c r="K12" s="566"/>
      <c r="L12" s="566"/>
      <c r="M12" s="566"/>
      <c r="N12" s="566"/>
      <c r="O12" s="566"/>
      <c r="P12" s="567"/>
    </row>
    <row r="13" spans="1:16" s="246" customFormat="1" ht="12">
      <c r="A13" s="562" t="s">
        <v>1407</v>
      </c>
      <c r="B13" s="563"/>
      <c r="C13" s="563"/>
      <c r="D13" s="563"/>
      <c r="E13" s="563"/>
      <c r="F13" s="563"/>
      <c r="G13" s="563"/>
      <c r="H13" s="563"/>
      <c r="I13" s="564" t="s">
        <v>1407</v>
      </c>
      <c r="J13" s="564"/>
      <c r="K13" s="564"/>
      <c r="L13" s="564"/>
      <c r="M13" s="564"/>
      <c r="N13" s="564"/>
      <c r="O13" s="564"/>
      <c r="P13" s="565"/>
    </row>
    <row r="14" spans="1:16" s="246" customFormat="1" ht="24">
      <c r="A14" s="251" t="s">
        <v>1610</v>
      </c>
      <c r="B14" s="252" t="s">
        <v>1611</v>
      </c>
      <c r="C14" s="252" t="s">
        <v>1411</v>
      </c>
      <c r="D14" s="253" t="s">
        <v>1412</v>
      </c>
      <c r="E14" s="252" t="s">
        <v>1612</v>
      </c>
      <c r="F14" s="252" t="s">
        <v>1529</v>
      </c>
      <c r="G14" s="252" t="s">
        <v>1414</v>
      </c>
      <c r="H14" s="252" t="s">
        <v>1415</v>
      </c>
      <c r="I14" s="252" t="s">
        <v>1409</v>
      </c>
      <c r="J14" s="252" t="s">
        <v>1526</v>
      </c>
      <c r="K14" s="252" t="s">
        <v>1411</v>
      </c>
      <c r="L14" s="253" t="s">
        <v>1412</v>
      </c>
      <c r="M14" s="253" t="s">
        <v>52</v>
      </c>
      <c r="N14" s="252" t="s">
        <v>1413</v>
      </c>
      <c r="O14" s="252" t="s">
        <v>1613</v>
      </c>
      <c r="P14" s="254" t="s">
        <v>1415</v>
      </c>
    </row>
    <row r="15" spans="1:16">
      <c r="A15" s="274" t="s">
        <v>1614</v>
      </c>
      <c r="B15" s="275" t="s">
        <v>1548</v>
      </c>
      <c r="C15" s="275" t="s">
        <v>1808</v>
      </c>
      <c r="D15" s="299" t="s">
        <v>1615</v>
      </c>
      <c r="E15" s="299" t="s">
        <v>1615</v>
      </c>
      <c r="F15" s="276">
        <v>1000</v>
      </c>
      <c r="G15" s="275" t="s">
        <v>1549</v>
      </c>
      <c r="H15" s="275"/>
      <c r="I15" s="275"/>
      <c r="J15" s="275"/>
      <c r="K15" s="275"/>
      <c r="L15" s="276"/>
      <c r="M15" s="276"/>
      <c r="N15" s="276"/>
      <c r="O15" s="275"/>
      <c r="P15" s="277"/>
    </row>
    <row r="16" spans="1:16">
      <c r="A16" s="274" t="s">
        <v>1614</v>
      </c>
      <c r="B16" s="300" t="s">
        <v>1616</v>
      </c>
      <c r="C16" s="275" t="s">
        <v>1809</v>
      </c>
      <c r="D16" s="299" t="s">
        <v>1615</v>
      </c>
      <c r="E16" s="299" t="s">
        <v>1615</v>
      </c>
      <c r="F16" s="276">
        <v>1000</v>
      </c>
      <c r="G16" s="275" t="s">
        <v>1617</v>
      </c>
      <c r="H16" s="275"/>
      <c r="I16" s="275"/>
      <c r="J16" s="275"/>
      <c r="K16" s="275"/>
      <c r="L16" s="276"/>
      <c r="M16" s="276"/>
      <c r="N16" s="276"/>
      <c r="O16" s="275"/>
      <c r="P16" s="277"/>
    </row>
    <row r="17" spans="1:16">
      <c r="A17" s="274" t="s">
        <v>1614</v>
      </c>
      <c r="B17" s="300" t="s">
        <v>1618</v>
      </c>
      <c r="C17" s="275" t="s">
        <v>1619</v>
      </c>
      <c r="D17" s="299" t="s">
        <v>1615</v>
      </c>
      <c r="E17" s="299" t="s">
        <v>1615</v>
      </c>
      <c r="F17" s="276"/>
      <c r="G17" s="275" t="s">
        <v>1620</v>
      </c>
      <c r="H17" s="275"/>
      <c r="I17" s="275"/>
      <c r="J17" s="275"/>
      <c r="K17" s="275"/>
      <c r="L17" s="276"/>
      <c r="M17" s="276"/>
      <c r="N17" s="276"/>
      <c r="O17" s="275"/>
      <c r="P17" s="277"/>
    </row>
    <row r="18" spans="1:16">
      <c r="A18" s="274" t="s">
        <v>1614</v>
      </c>
      <c r="B18" s="300" t="s">
        <v>1621</v>
      </c>
      <c r="C18" s="275" t="s">
        <v>1810</v>
      </c>
      <c r="D18" s="299"/>
      <c r="E18" s="299"/>
      <c r="F18" s="276"/>
      <c r="G18" s="275" t="s">
        <v>1623</v>
      </c>
      <c r="H18" s="275"/>
      <c r="I18" s="275"/>
      <c r="J18" s="275"/>
      <c r="K18" s="275"/>
      <c r="L18" s="276"/>
      <c r="M18" s="276"/>
      <c r="N18" s="276"/>
      <c r="O18" s="275"/>
      <c r="P18" s="277"/>
    </row>
    <row r="19" spans="1:16">
      <c r="A19" s="274" t="s">
        <v>1614</v>
      </c>
      <c r="B19" s="300" t="s">
        <v>1624</v>
      </c>
      <c r="C19" s="275" t="s">
        <v>1811</v>
      </c>
      <c r="D19" s="299"/>
      <c r="E19" s="299" t="s">
        <v>1615</v>
      </c>
      <c r="F19" s="276"/>
      <c r="G19" s="275" t="s">
        <v>1625</v>
      </c>
      <c r="H19" s="275"/>
      <c r="I19" s="275"/>
      <c r="J19" s="275"/>
      <c r="K19" s="275"/>
      <c r="L19" s="276"/>
      <c r="M19" s="276"/>
      <c r="N19" s="276"/>
      <c r="O19" s="275"/>
      <c r="P19" s="277"/>
    </row>
    <row r="20" spans="1:16">
      <c r="A20" s="274" t="s">
        <v>1614</v>
      </c>
      <c r="B20" s="300" t="s">
        <v>1626</v>
      </c>
      <c r="C20" s="275" t="s">
        <v>1812</v>
      </c>
      <c r="D20" s="299"/>
      <c r="E20" s="299"/>
      <c r="F20" s="276"/>
      <c r="G20" s="275" t="s">
        <v>1627</v>
      </c>
      <c r="H20" s="275"/>
      <c r="I20" s="275"/>
      <c r="J20" s="275"/>
      <c r="K20" s="275"/>
      <c r="L20" s="276"/>
      <c r="M20" s="276"/>
      <c r="N20" s="276"/>
      <c r="O20" s="275"/>
      <c r="P20" s="277"/>
    </row>
    <row r="21" spans="1:16">
      <c r="A21" s="274" t="s">
        <v>1813</v>
      </c>
      <c r="B21" s="300" t="s">
        <v>1628</v>
      </c>
      <c r="C21" s="275" t="s">
        <v>1629</v>
      </c>
      <c r="D21" s="299"/>
      <c r="E21" s="299"/>
      <c r="F21" s="276"/>
      <c r="G21" s="275" t="s">
        <v>1630</v>
      </c>
      <c r="H21" s="275" t="s">
        <v>1631</v>
      </c>
      <c r="I21" s="275"/>
      <c r="J21" s="275"/>
      <c r="K21" s="275"/>
      <c r="L21" s="276"/>
      <c r="M21" s="276"/>
      <c r="N21" s="276"/>
      <c r="O21" s="275"/>
      <c r="P21" s="277"/>
    </row>
    <row r="22" spans="1:16">
      <c r="A22" s="274" t="s">
        <v>1813</v>
      </c>
      <c r="B22" s="300" t="s">
        <v>1632</v>
      </c>
      <c r="C22" s="275" t="s">
        <v>1814</v>
      </c>
      <c r="D22" s="301"/>
      <c r="E22" s="301"/>
      <c r="F22" s="276"/>
      <c r="G22" s="275" t="s">
        <v>1633</v>
      </c>
      <c r="H22" s="275"/>
      <c r="I22" s="275"/>
      <c r="J22" s="275" t="s">
        <v>1815</v>
      </c>
      <c r="K22" s="275"/>
      <c r="L22" s="276"/>
      <c r="M22" s="276"/>
      <c r="N22" s="276"/>
      <c r="O22" s="275"/>
      <c r="P22" s="277"/>
    </row>
    <row r="23" spans="1:16">
      <c r="A23" s="274" t="s">
        <v>1614</v>
      </c>
      <c r="B23" s="300" t="s">
        <v>1634</v>
      </c>
      <c r="C23" s="275" t="s">
        <v>1816</v>
      </c>
      <c r="D23" s="301"/>
      <c r="E23" s="301"/>
      <c r="F23" s="276"/>
      <c r="G23" s="275" t="s">
        <v>1635</v>
      </c>
      <c r="H23" s="275"/>
      <c r="I23" s="275"/>
      <c r="J23" s="275"/>
      <c r="K23" s="275"/>
      <c r="L23" s="276"/>
      <c r="M23" s="276"/>
      <c r="N23" s="276"/>
      <c r="O23" s="275"/>
      <c r="P23" s="277"/>
    </row>
    <row r="24" spans="1:16">
      <c r="A24" s="274" t="s">
        <v>1614</v>
      </c>
      <c r="B24" s="300" t="s">
        <v>1636</v>
      </c>
      <c r="C24" s="275" t="s">
        <v>1637</v>
      </c>
      <c r="D24" s="301"/>
      <c r="E24" s="301"/>
      <c r="F24" s="276"/>
      <c r="G24" s="275" t="s">
        <v>1638</v>
      </c>
      <c r="H24" s="275"/>
      <c r="I24" s="275"/>
      <c r="J24" s="275"/>
      <c r="K24" s="275"/>
      <c r="L24" s="276"/>
      <c r="M24" s="276"/>
      <c r="N24" s="276"/>
      <c r="O24" s="275"/>
      <c r="P24" s="277"/>
    </row>
    <row r="25" spans="1:16">
      <c r="A25" s="274" t="s">
        <v>1614</v>
      </c>
      <c r="B25" s="300" t="s">
        <v>1639</v>
      </c>
      <c r="C25" s="275" t="s">
        <v>1817</v>
      </c>
      <c r="D25" s="301"/>
      <c r="E25" s="301"/>
      <c r="F25" s="276"/>
      <c r="G25" s="275" t="s">
        <v>1640</v>
      </c>
      <c r="H25" s="275"/>
      <c r="I25" s="275"/>
      <c r="J25" s="275"/>
      <c r="K25" s="275"/>
      <c r="L25" s="276"/>
      <c r="M25" s="276"/>
      <c r="N25" s="276"/>
      <c r="O25" s="275"/>
      <c r="P25" s="277"/>
    </row>
    <row r="26" spans="1:16">
      <c r="A26" s="274"/>
      <c r="B26" s="300"/>
      <c r="C26" s="275"/>
      <c r="D26" s="276"/>
      <c r="E26" s="276"/>
      <c r="F26" s="276"/>
      <c r="G26" s="275"/>
      <c r="H26" s="275"/>
      <c r="I26" s="275"/>
      <c r="J26" s="275"/>
      <c r="K26" s="275"/>
      <c r="L26" s="276"/>
      <c r="M26" s="276"/>
      <c r="N26" s="276"/>
      <c r="O26" s="275"/>
      <c r="P26" s="277"/>
    </row>
    <row r="27" spans="1:16">
      <c r="A27" s="274"/>
      <c r="B27" s="300"/>
      <c r="C27" s="275"/>
      <c r="D27" s="276"/>
      <c r="E27" s="276"/>
      <c r="F27" s="276"/>
      <c r="G27" s="275"/>
      <c r="H27" s="275"/>
      <c r="I27" s="275"/>
      <c r="J27" s="275"/>
      <c r="K27" s="275"/>
      <c r="L27" s="276"/>
      <c r="M27" s="276"/>
      <c r="N27" s="276"/>
      <c r="O27" s="275"/>
      <c r="P27" s="277"/>
    </row>
    <row r="28" spans="1:16" ht="17.25" thickBot="1">
      <c r="A28" s="289" t="s">
        <v>1818</v>
      </c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8"/>
    </row>
    <row r="29" spans="1:16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</row>
  </sheetData>
  <mergeCells count="17">
    <mergeCell ref="B9:C9"/>
    <mergeCell ref="D9:H9"/>
    <mergeCell ref="J9:P9"/>
    <mergeCell ref="A13:H13"/>
    <mergeCell ref="I13:P13"/>
    <mergeCell ref="B28:P28"/>
    <mergeCell ref="B10:H10"/>
    <mergeCell ref="J10:P10"/>
    <mergeCell ref="A11:H11"/>
    <mergeCell ref="I11:P11"/>
    <mergeCell ref="B12:H12"/>
    <mergeCell ref="J12:P12"/>
    <mergeCell ref="B2:P2"/>
    <mergeCell ref="B3:P3"/>
    <mergeCell ref="B4:P4"/>
    <mergeCell ref="A5:A8"/>
    <mergeCell ref="B5:P8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9681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2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3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4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5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9686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DDEBF7"/>
    <pageSetUpPr fitToPage="1"/>
  </sheetPr>
  <dimension ref="A1:AC29"/>
  <sheetViews>
    <sheetView zoomScaleSheetLayoutView="100" zoomScalePageLayoutView="55" workbookViewId="0">
      <selection activeCell="BB11" sqref="BB11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275</v>
      </c>
    </row>
    <row r="2" spans="1:29" ht="20.25" customHeight="1">
      <c r="B2" s="514" t="s">
        <v>276</v>
      </c>
      <c r="C2" s="514"/>
      <c r="D2" s="514"/>
      <c r="E2" s="596" t="str">
        <f xml:space="preserve"> ERP_인터페이스목록!C6</f>
        <v>사번체크</v>
      </c>
      <c r="F2" s="597"/>
      <c r="G2" s="597"/>
      <c r="H2" s="597"/>
      <c r="I2" s="597"/>
      <c r="J2" s="597"/>
      <c r="K2" s="597"/>
      <c r="L2" s="597"/>
      <c r="M2" s="597"/>
      <c r="N2" s="598"/>
      <c r="O2" s="514" t="s">
        <v>40</v>
      </c>
      <c r="P2" s="514"/>
      <c r="Q2" s="514"/>
      <c r="R2" s="515" t="str">
        <f>ERP_인터페이스목록!G6</f>
        <v>W2E_EMP_CHK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277</v>
      </c>
      <c r="C3" s="514"/>
      <c r="D3" s="514"/>
      <c r="E3" s="515">
        <f>ERP_인터페이스목록!J6</f>
        <v>0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278</v>
      </c>
      <c r="C4" s="516"/>
      <c r="D4" s="516"/>
      <c r="E4" s="515" t="str">
        <f>ERP_인터페이스목록!L6</f>
        <v>DB to DB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279</v>
      </c>
      <c r="P4" s="516"/>
      <c r="Q4" s="516"/>
      <c r="R4" s="515" t="s">
        <v>280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ERP_인터페이스목록!D6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">
        <v>1344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281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282</v>
      </c>
      <c r="C8" s="500" t="s">
        <v>283</v>
      </c>
      <c r="D8" s="500"/>
      <c r="E8" s="500"/>
      <c r="F8" s="500"/>
      <c r="G8" s="500"/>
      <c r="H8" s="500"/>
      <c r="I8" s="500"/>
      <c r="J8" s="500"/>
      <c r="K8" s="500" t="s">
        <v>284</v>
      </c>
      <c r="L8" s="500"/>
      <c r="M8" s="500"/>
      <c r="N8" s="500"/>
      <c r="O8" s="500" t="s">
        <v>285</v>
      </c>
      <c r="P8" s="500"/>
      <c r="Q8" s="500" t="s">
        <v>286</v>
      </c>
      <c r="R8" s="500"/>
      <c r="S8" s="500" t="s">
        <v>287</v>
      </c>
      <c r="T8" s="500"/>
      <c r="U8" s="500" t="s">
        <v>288</v>
      </c>
      <c r="V8" s="500"/>
      <c r="W8" s="500" t="s">
        <v>289</v>
      </c>
      <c r="X8" s="500"/>
      <c r="Y8" s="500"/>
      <c r="Z8" s="500"/>
      <c r="AA8" s="500"/>
      <c r="AB8" s="500"/>
      <c r="AC8" s="500"/>
    </row>
    <row r="9" spans="1:29" ht="31.15" customHeight="1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55</v>
      </c>
      <c r="L9" s="510"/>
      <c r="M9" s="510"/>
      <c r="N9" s="511"/>
      <c r="O9" s="467" t="s">
        <v>56</v>
      </c>
      <c r="P9" s="468"/>
      <c r="Q9" s="467">
        <v>10</v>
      </c>
      <c r="R9" s="468"/>
      <c r="S9" s="467"/>
      <c r="T9" s="468"/>
      <c r="U9" s="467" t="s">
        <v>57</v>
      </c>
      <c r="V9" s="468"/>
      <c r="W9" s="493" t="s">
        <v>309</v>
      </c>
      <c r="X9" s="544"/>
      <c r="Y9" s="544"/>
      <c r="Z9" s="544"/>
      <c r="AA9" s="544"/>
      <c r="AB9" s="544"/>
      <c r="AC9" s="545"/>
    </row>
    <row r="10" spans="1:29" ht="13.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310</v>
      </c>
      <c r="L10" s="501"/>
      <c r="M10" s="501"/>
      <c r="N10" s="501"/>
      <c r="O10" s="502" t="s">
        <v>311</v>
      </c>
      <c r="P10" s="502"/>
      <c r="Q10" s="502">
        <v>20</v>
      </c>
      <c r="R10" s="502"/>
      <c r="S10" s="502"/>
      <c r="T10" s="502"/>
      <c r="U10" s="502" t="s">
        <v>312</v>
      </c>
      <c r="V10" s="502"/>
      <c r="W10" s="503" t="s">
        <v>313</v>
      </c>
      <c r="X10" s="501"/>
      <c r="Y10" s="501"/>
      <c r="Z10" s="501"/>
      <c r="AA10" s="501"/>
      <c r="AB10" s="501"/>
      <c r="AC10" s="501"/>
    </row>
    <row r="11" spans="1:29" ht="29.25" customHeight="1">
      <c r="B11" s="49">
        <v>1</v>
      </c>
      <c r="C11" s="50" t="s">
        <v>84</v>
      </c>
      <c r="D11" s="50"/>
      <c r="E11" s="51"/>
      <c r="F11" s="51"/>
      <c r="G11" s="51"/>
      <c r="H11" s="51"/>
      <c r="I11" s="51"/>
      <c r="J11" s="52"/>
      <c r="K11" s="501" t="s">
        <v>314</v>
      </c>
      <c r="L11" s="501"/>
      <c r="M11" s="501"/>
      <c r="N11" s="501"/>
      <c r="O11" s="502" t="s">
        <v>311</v>
      </c>
      <c r="P11" s="502"/>
      <c r="Q11" s="502">
        <v>100</v>
      </c>
      <c r="R11" s="502"/>
      <c r="S11" s="502"/>
      <c r="T11" s="502"/>
      <c r="U11" s="502" t="s">
        <v>57</v>
      </c>
      <c r="V11" s="502"/>
      <c r="W11" s="503" t="s">
        <v>315</v>
      </c>
      <c r="X11" s="501"/>
      <c r="Y11" s="501"/>
      <c r="Z11" s="501"/>
      <c r="AA11" s="501"/>
      <c r="AB11" s="501"/>
      <c r="AC11" s="501"/>
    </row>
    <row r="12" spans="1:29">
      <c r="B12" s="58">
        <v>1</v>
      </c>
      <c r="C12" s="59" t="s">
        <v>129</v>
      </c>
      <c r="D12" s="59"/>
      <c r="E12" s="59"/>
      <c r="F12" s="59"/>
      <c r="G12" s="59"/>
      <c r="H12" s="59"/>
      <c r="I12" s="59"/>
      <c r="J12" s="60"/>
      <c r="K12" s="593" t="s">
        <v>266</v>
      </c>
      <c r="L12" s="594"/>
      <c r="M12" s="594"/>
      <c r="N12" s="595"/>
      <c r="O12" s="472"/>
      <c r="P12" s="473"/>
      <c r="Q12" s="472"/>
      <c r="R12" s="473"/>
      <c r="S12" s="472"/>
      <c r="T12" s="473"/>
      <c r="U12" s="472"/>
      <c r="V12" s="473"/>
      <c r="W12" s="487"/>
      <c r="X12" s="488"/>
      <c r="Y12" s="488"/>
      <c r="Z12" s="488"/>
      <c r="AA12" s="488"/>
      <c r="AB12" s="488"/>
      <c r="AC12" s="489"/>
    </row>
    <row r="13" spans="1:29">
      <c r="B13" s="49">
        <v>2</v>
      </c>
      <c r="C13" s="50"/>
      <c r="D13" s="51" t="s">
        <v>316</v>
      </c>
      <c r="E13" s="51"/>
      <c r="F13" s="51"/>
      <c r="G13" s="51"/>
      <c r="H13" s="51"/>
      <c r="I13" s="51"/>
      <c r="J13" s="52"/>
      <c r="K13" s="483" t="s">
        <v>291</v>
      </c>
      <c r="L13" s="484"/>
      <c r="M13" s="484"/>
      <c r="N13" s="485"/>
      <c r="O13" s="467" t="s">
        <v>311</v>
      </c>
      <c r="P13" s="468"/>
      <c r="Q13" s="467">
        <v>20</v>
      </c>
      <c r="R13" s="468"/>
      <c r="S13" s="467" t="s">
        <v>63</v>
      </c>
      <c r="T13" s="468"/>
      <c r="U13" s="467" t="s">
        <v>57</v>
      </c>
      <c r="V13" s="468"/>
      <c r="W13" s="464"/>
      <c r="X13" s="465"/>
      <c r="Y13" s="465"/>
      <c r="Z13" s="465"/>
      <c r="AA13" s="465"/>
      <c r="AB13" s="465"/>
      <c r="AC13" s="466"/>
    </row>
    <row r="14" spans="1:29" ht="45.75" customHeight="1">
      <c r="B14" s="49">
        <v>2</v>
      </c>
      <c r="C14" s="50"/>
      <c r="D14" s="51" t="s">
        <v>651</v>
      </c>
      <c r="E14" s="51"/>
      <c r="F14" s="51"/>
      <c r="G14" s="51"/>
      <c r="H14" s="51"/>
      <c r="I14" s="51"/>
      <c r="J14" s="52"/>
      <c r="K14" s="483" t="s">
        <v>293</v>
      </c>
      <c r="L14" s="484"/>
      <c r="M14" s="484"/>
      <c r="N14" s="485"/>
      <c r="O14" s="467" t="s">
        <v>311</v>
      </c>
      <c r="P14" s="468"/>
      <c r="Q14" s="467">
        <v>20</v>
      </c>
      <c r="R14" s="468"/>
      <c r="S14" s="467" t="s">
        <v>317</v>
      </c>
      <c r="T14" s="468"/>
      <c r="U14" s="467" t="s">
        <v>57</v>
      </c>
      <c r="V14" s="468"/>
      <c r="W14" s="493"/>
      <c r="X14" s="544"/>
      <c r="Y14" s="544"/>
      <c r="Z14" s="544"/>
      <c r="AA14" s="544"/>
      <c r="AB14" s="544"/>
      <c r="AC14" s="545"/>
    </row>
    <row r="15" spans="1:29" ht="15.95" customHeight="1">
      <c r="B15" s="486"/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</row>
    <row r="16" spans="1:29" ht="16.5">
      <c r="B16" s="586" t="s">
        <v>294</v>
      </c>
      <c r="C16" s="587"/>
      <c r="D16" s="587"/>
      <c r="E16" s="588"/>
      <c r="F16" s="589"/>
      <c r="G16" s="590"/>
      <c r="H16" s="590"/>
      <c r="I16" s="590"/>
      <c r="J16" s="590"/>
      <c r="K16" s="590"/>
      <c r="L16" s="590"/>
      <c r="M16" s="590"/>
      <c r="N16" s="590"/>
      <c r="O16" s="590"/>
      <c r="P16" s="590"/>
      <c r="Q16" s="590"/>
      <c r="R16" s="590"/>
      <c r="S16" s="590"/>
      <c r="T16" s="590"/>
      <c r="U16" s="590"/>
      <c r="V16" s="590"/>
      <c r="W16" s="590"/>
      <c r="X16" s="590"/>
      <c r="Y16" s="590"/>
      <c r="Z16" s="590"/>
      <c r="AA16" s="590"/>
      <c r="AB16" s="590"/>
      <c r="AC16" s="591"/>
    </row>
    <row r="17" spans="2:29">
      <c r="B17" s="4" t="s">
        <v>295</v>
      </c>
      <c r="C17" s="512" t="s">
        <v>283</v>
      </c>
      <c r="D17" s="592"/>
      <c r="E17" s="592"/>
      <c r="F17" s="592"/>
      <c r="G17" s="592"/>
      <c r="H17" s="592"/>
      <c r="I17" s="592"/>
      <c r="J17" s="513"/>
      <c r="K17" s="512" t="s">
        <v>296</v>
      </c>
      <c r="L17" s="592"/>
      <c r="M17" s="592"/>
      <c r="N17" s="513"/>
      <c r="O17" s="512" t="s">
        <v>285</v>
      </c>
      <c r="P17" s="513"/>
      <c r="Q17" s="512" t="s">
        <v>286</v>
      </c>
      <c r="R17" s="513"/>
      <c r="S17" s="512" t="s">
        <v>263</v>
      </c>
      <c r="T17" s="513"/>
      <c r="U17" s="512" t="s">
        <v>288</v>
      </c>
      <c r="V17" s="513"/>
      <c r="W17" s="512" t="s">
        <v>297</v>
      </c>
      <c r="X17" s="592"/>
      <c r="Y17" s="592"/>
      <c r="Z17" s="592"/>
      <c r="AA17" s="592"/>
      <c r="AB17" s="592"/>
      <c r="AC17" s="513"/>
    </row>
    <row r="18" spans="2:29" ht="13.5" customHeight="1">
      <c r="B18" s="49">
        <v>1</v>
      </c>
      <c r="C18" s="50" t="s">
        <v>86</v>
      </c>
      <c r="D18" s="51"/>
      <c r="E18" s="51"/>
      <c r="F18" s="51"/>
      <c r="G18" s="51"/>
      <c r="H18" s="51"/>
      <c r="I18" s="51"/>
      <c r="J18" s="52"/>
      <c r="K18" s="490" t="s">
        <v>87</v>
      </c>
      <c r="L18" s="491"/>
      <c r="M18" s="491"/>
      <c r="N18" s="492"/>
      <c r="O18" s="467" t="s">
        <v>318</v>
      </c>
      <c r="P18" s="468"/>
      <c r="Q18" s="467">
        <v>20</v>
      </c>
      <c r="R18" s="468"/>
      <c r="S18" s="467"/>
      <c r="T18" s="468"/>
      <c r="U18" s="467" t="s">
        <v>57</v>
      </c>
      <c r="V18" s="468"/>
      <c r="W18" s="493" t="s">
        <v>352</v>
      </c>
      <c r="X18" s="484"/>
      <c r="Y18" s="484"/>
      <c r="Z18" s="484"/>
      <c r="AA18" s="484"/>
      <c r="AB18" s="484"/>
      <c r="AC18" s="485"/>
    </row>
    <row r="19" spans="2:29">
      <c r="B19" s="49">
        <v>1</v>
      </c>
      <c r="C19" s="50" t="s">
        <v>89</v>
      </c>
      <c r="D19" s="51"/>
      <c r="E19" s="51"/>
      <c r="F19" s="51"/>
      <c r="G19" s="51"/>
      <c r="H19" s="51"/>
      <c r="I19" s="51"/>
      <c r="J19" s="52"/>
      <c r="K19" s="494" t="s">
        <v>264</v>
      </c>
      <c r="L19" s="495"/>
      <c r="M19" s="495"/>
      <c r="N19" s="496"/>
      <c r="O19" s="467" t="s">
        <v>319</v>
      </c>
      <c r="P19" s="468"/>
      <c r="Q19" s="467">
        <v>4000</v>
      </c>
      <c r="R19" s="468"/>
      <c r="S19" s="467"/>
      <c r="T19" s="468"/>
      <c r="U19" s="467" t="s">
        <v>57</v>
      </c>
      <c r="V19" s="468"/>
      <c r="W19" s="483" t="s">
        <v>199</v>
      </c>
      <c r="X19" s="484"/>
      <c r="Y19" s="484"/>
      <c r="Z19" s="484"/>
      <c r="AA19" s="484"/>
      <c r="AB19" s="484"/>
      <c r="AC19" s="485"/>
    </row>
    <row r="20" spans="2:29">
      <c r="B20" s="58">
        <v>1</v>
      </c>
      <c r="C20" s="59" t="s">
        <v>90</v>
      </c>
      <c r="D20" s="59"/>
      <c r="E20" s="59"/>
      <c r="F20" s="59"/>
      <c r="G20" s="59"/>
      <c r="H20" s="59"/>
      <c r="I20" s="59"/>
      <c r="J20" s="60"/>
      <c r="K20" s="497" t="s">
        <v>266</v>
      </c>
      <c r="L20" s="498"/>
      <c r="M20" s="498"/>
      <c r="N20" s="499"/>
      <c r="O20" s="472"/>
      <c r="P20" s="473"/>
      <c r="Q20" s="472"/>
      <c r="R20" s="473"/>
      <c r="S20" s="472"/>
      <c r="T20" s="473"/>
      <c r="U20" s="472"/>
      <c r="V20" s="473"/>
      <c r="W20" s="487"/>
      <c r="X20" s="488"/>
      <c r="Y20" s="488"/>
      <c r="Z20" s="488"/>
      <c r="AA20" s="488"/>
      <c r="AB20" s="488"/>
      <c r="AC20" s="489"/>
    </row>
    <row r="21" spans="2:29">
      <c r="B21" s="49">
        <v>2</v>
      </c>
      <c r="C21" s="50"/>
      <c r="D21" s="51" t="s">
        <v>290</v>
      </c>
      <c r="E21" s="51"/>
      <c r="F21" s="51"/>
      <c r="G21" s="51"/>
      <c r="H21" s="51"/>
      <c r="I21" s="51"/>
      <c r="J21" s="52"/>
      <c r="K21" s="483" t="s">
        <v>291</v>
      </c>
      <c r="L21" s="484"/>
      <c r="M21" s="484"/>
      <c r="N21" s="485"/>
      <c r="O21" s="467" t="s">
        <v>62</v>
      </c>
      <c r="P21" s="468"/>
      <c r="Q21" s="467">
        <v>20</v>
      </c>
      <c r="R21" s="468"/>
      <c r="S21" s="467" t="s">
        <v>63</v>
      </c>
      <c r="T21" s="468"/>
      <c r="U21" s="467" t="s">
        <v>57</v>
      </c>
      <c r="V21" s="468"/>
      <c r="W21" s="464"/>
      <c r="X21" s="465"/>
      <c r="Y21" s="465"/>
      <c r="Z21" s="465"/>
      <c r="AA21" s="465"/>
      <c r="AB21" s="465"/>
      <c r="AC21" s="466"/>
    </row>
    <row r="22" spans="2:29">
      <c r="B22" s="49">
        <v>2</v>
      </c>
      <c r="C22" s="50"/>
      <c r="D22" s="51" t="s">
        <v>292</v>
      </c>
      <c r="E22" s="51"/>
      <c r="F22" s="51"/>
      <c r="G22" s="51"/>
      <c r="H22" s="51"/>
      <c r="I22" s="51"/>
      <c r="J22" s="52"/>
      <c r="K22" s="494" t="s">
        <v>293</v>
      </c>
      <c r="L22" s="495"/>
      <c r="M22" s="495"/>
      <c r="N22" s="496"/>
      <c r="O22" s="467" t="s">
        <v>62</v>
      </c>
      <c r="P22" s="468"/>
      <c r="Q22" s="467">
        <v>20</v>
      </c>
      <c r="R22" s="468"/>
      <c r="S22" s="467" t="s">
        <v>320</v>
      </c>
      <c r="T22" s="468"/>
      <c r="U22" s="467" t="s">
        <v>321</v>
      </c>
      <c r="V22" s="468"/>
      <c r="W22" s="464"/>
      <c r="X22" s="465"/>
      <c r="Y22" s="465"/>
      <c r="Z22" s="465"/>
      <c r="AA22" s="465"/>
      <c r="AB22" s="465"/>
      <c r="AC22" s="466"/>
    </row>
    <row r="23" spans="2:29" ht="13.5" customHeight="1">
      <c r="B23" s="49">
        <v>2</v>
      </c>
      <c r="C23" s="61"/>
      <c r="D23" s="62" t="s">
        <v>271</v>
      </c>
      <c r="E23" s="51"/>
      <c r="F23" s="51"/>
      <c r="G23" s="62"/>
      <c r="H23" s="62"/>
      <c r="I23" s="62"/>
      <c r="J23" s="63"/>
      <c r="K23" s="469" t="s">
        <v>272</v>
      </c>
      <c r="L23" s="470"/>
      <c r="M23" s="470"/>
      <c r="N23" s="471"/>
      <c r="O23" s="467" t="s">
        <v>319</v>
      </c>
      <c r="P23" s="468"/>
      <c r="Q23" s="467">
        <v>1</v>
      </c>
      <c r="R23" s="468"/>
      <c r="S23" s="467"/>
      <c r="T23" s="468"/>
      <c r="U23" s="467" t="s">
        <v>321</v>
      </c>
      <c r="V23" s="468"/>
      <c r="W23" s="493" t="s">
        <v>352</v>
      </c>
      <c r="X23" s="484"/>
      <c r="Y23" s="484"/>
      <c r="Z23" s="484"/>
      <c r="AA23" s="484"/>
      <c r="AB23" s="484"/>
      <c r="AC23" s="485"/>
    </row>
    <row r="24" spans="2:29" ht="13.5" customHeight="1">
      <c r="B24" s="49">
        <v>2</v>
      </c>
      <c r="C24" s="61"/>
      <c r="D24" s="62" t="s">
        <v>201</v>
      </c>
      <c r="F24" s="51"/>
      <c r="G24" s="62"/>
      <c r="H24" s="62"/>
      <c r="I24" s="62"/>
      <c r="J24" s="63"/>
      <c r="K24" s="469" t="s">
        <v>298</v>
      </c>
      <c r="L24" s="470"/>
      <c r="M24" s="470"/>
      <c r="N24" s="471"/>
      <c r="O24" s="467" t="s">
        <v>319</v>
      </c>
      <c r="P24" s="468"/>
      <c r="Q24" s="467">
        <v>100</v>
      </c>
      <c r="R24" s="468"/>
      <c r="S24" s="467"/>
      <c r="T24" s="468"/>
      <c r="U24" s="467"/>
      <c r="V24" s="468"/>
      <c r="W24" s="464" t="s">
        <v>274</v>
      </c>
      <c r="X24" s="465"/>
      <c r="Y24" s="465"/>
      <c r="Z24" s="465"/>
      <c r="AA24" s="465"/>
      <c r="AB24" s="465"/>
      <c r="AC24" s="466"/>
    </row>
    <row r="25" spans="2:29">
      <c r="B25" s="486"/>
      <c r="C25" s="486"/>
      <c r="D25" s="486"/>
      <c r="E25" s="486"/>
      <c r="F25" s="486"/>
      <c r="G25" s="486"/>
      <c r="H25" s="486"/>
      <c r="I25" s="486"/>
      <c r="J25" s="486"/>
      <c r="K25" s="486"/>
      <c r="L25" s="486"/>
      <c r="M25" s="486"/>
      <c r="N25" s="486"/>
      <c r="O25" s="486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</row>
    <row r="26" spans="2:29" ht="15" customHeight="1">
      <c r="B26" s="474" t="s">
        <v>299</v>
      </c>
      <c r="C26" s="475"/>
      <c r="D26" s="475"/>
      <c r="E26" s="475"/>
      <c r="F26" s="475"/>
      <c r="G26" s="475"/>
      <c r="H26" s="475"/>
      <c r="I26" s="475"/>
      <c r="J26" s="475"/>
      <c r="K26" s="475"/>
      <c r="L26" s="475"/>
      <c r="M26" s="475"/>
      <c r="N26" s="475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  <c r="AB26" s="475"/>
      <c r="AC26" s="476"/>
    </row>
    <row r="27" spans="2:29" ht="15" customHeight="1">
      <c r="B27" s="568" t="s">
        <v>648</v>
      </c>
      <c r="C27" s="478"/>
      <c r="D27" s="478"/>
      <c r="E27" s="478"/>
      <c r="F27" s="478"/>
      <c r="G27" s="478"/>
      <c r="H27" s="478"/>
      <c r="I27" s="478"/>
      <c r="J27" s="478"/>
      <c r="K27" s="478"/>
      <c r="L27" s="478"/>
      <c r="M27" s="478"/>
      <c r="N27" s="478"/>
      <c r="O27" s="478"/>
      <c r="P27" s="478"/>
      <c r="Q27" s="478"/>
      <c r="R27" s="478"/>
      <c r="S27" s="478"/>
      <c r="T27" s="478"/>
      <c r="U27" s="478"/>
      <c r="V27" s="478"/>
      <c r="W27" s="478"/>
      <c r="X27" s="478"/>
      <c r="Y27" s="478"/>
      <c r="Z27" s="478"/>
      <c r="AA27" s="478"/>
      <c r="AB27" s="478"/>
      <c r="AC27" s="479"/>
    </row>
    <row r="28" spans="2:29" ht="15" customHeight="1">
      <c r="B28" s="480"/>
      <c r="C28" s="481"/>
      <c r="D28" s="481"/>
      <c r="E28" s="481"/>
      <c r="F28" s="481"/>
      <c r="G28" s="481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1"/>
      <c r="AA28" s="481"/>
      <c r="AB28" s="481"/>
      <c r="AC28" s="482"/>
    </row>
    <row r="29" spans="2:29" ht="15" customHeight="1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</sheetData>
  <mergeCells count="115">
    <mergeCell ref="B2:D2"/>
    <mergeCell ref="E2:N2"/>
    <mergeCell ref="O2:Q2"/>
    <mergeCell ref="R2:AC2"/>
    <mergeCell ref="B3:D3"/>
    <mergeCell ref="E3:AC3"/>
    <mergeCell ref="C8:J8"/>
    <mergeCell ref="K8:N8"/>
    <mergeCell ref="O8:P8"/>
    <mergeCell ref="Q8:R8"/>
    <mergeCell ref="S8:T8"/>
    <mergeCell ref="U8:V8"/>
    <mergeCell ref="B4:D4"/>
    <mergeCell ref="E4:N4"/>
    <mergeCell ref="O4:Q4"/>
    <mergeCell ref="R4:AC4"/>
    <mergeCell ref="B6:AB6"/>
    <mergeCell ref="B7:E7"/>
    <mergeCell ref="F7:AC7"/>
    <mergeCell ref="B5:D5"/>
    <mergeCell ref="E5:N5"/>
    <mergeCell ref="O5:Q5"/>
    <mergeCell ref="R5:AC5"/>
    <mergeCell ref="K10:N10"/>
    <mergeCell ref="O10:P10"/>
    <mergeCell ref="Q10:R10"/>
    <mergeCell ref="S10:T10"/>
    <mergeCell ref="U10:V10"/>
    <mergeCell ref="W10:AC10"/>
    <mergeCell ref="W8:AC8"/>
    <mergeCell ref="K9:N9"/>
    <mergeCell ref="O9:P9"/>
    <mergeCell ref="Q9:R9"/>
    <mergeCell ref="S9:T9"/>
    <mergeCell ref="U9:V9"/>
    <mergeCell ref="W9:AC9"/>
    <mergeCell ref="K12:N12"/>
    <mergeCell ref="O12:P12"/>
    <mergeCell ref="Q12:R12"/>
    <mergeCell ref="S12:T12"/>
    <mergeCell ref="U12:V12"/>
    <mergeCell ref="W12:AC12"/>
    <mergeCell ref="K11:N11"/>
    <mergeCell ref="O11:P11"/>
    <mergeCell ref="Q11:R11"/>
    <mergeCell ref="S11:T11"/>
    <mergeCell ref="U11:V11"/>
    <mergeCell ref="W11:AC11"/>
    <mergeCell ref="K14:N14"/>
    <mergeCell ref="O14:P14"/>
    <mergeCell ref="Q14:R14"/>
    <mergeCell ref="S14:T14"/>
    <mergeCell ref="U14:V14"/>
    <mergeCell ref="W14:AC14"/>
    <mergeCell ref="K13:N13"/>
    <mergeCell ref="O13:P13"/>
    <mergeCell ref="Q13:R13"/>
    <mergeCell ref="S13:T13"/>
    <mergeCell ref="U13:V13"/>
    <mergeCell ref="W13:AC13"/>
    <mergeCell ref="B15:AB15"/>
    <mergeCell ref="B16:E16"/>
    <mergeCell ref="F16:AC16"/>
    <mergeCell ref="C17:J17"/>
    <mergeCell ref="K17:N17"/>
    <mergeCell ref="O17:P17"/>
    <mergeCell ref="Q17:R17"/>
    <mergeCell ref="S17:T17"/>
    <mergeCell ref="U17:V17"/>
    <mergeCell ref="W17:AC17"/>
    <mergeCell ref="K19:N19"/>
    <mergeCell ref="O19:P19"/>
    <mergeCell ref="Q19:R19"/>
    <mergeCell ref="S19:T19"/>
    <mergeCell ref="U19:V19"/>
    <mergeCell ref="W19:AC19"/>
    <mergeCell ref="K18:N18"/>
    <mergeCell ref="O18:P18"/>
    <mergeCell ref="Q18:R18"/>
    <mergeCell ref="S18:T18"/>
    <mergeCell ref="U18:V18"/>
    <mergeCell ref="W18:AC18"/>
    <mergeCell ref="K21:N21"/>
    <mergeCell ref="O21:P21"/>
    <mergeCell ref="Q21:R21"/>
    <mergeCell ref="S21:T21"/>
    <mergeCell ref="U21:V21"/>
    <mergeCell ref="W21:AC21"/>
    <mergeCell ref="K20:N20"/>
    <mergeCell ref="O20:P20"/>
    <mergeCell ref="Q20:R20"/>
    <mergeCell ref="S20:T20"/>
    <mergeCell ref="U20:V20"/>
    <mergeCell ref="W20:AC20"/>
    <mergeCell ref="K23:N23"/>
    <mergeCell ref="O23:P23"/>
    <mergeCell ref="Q23:R23"/>
    <mergeCell ref="S23:T23"/>
    <mergeCell ref="U23:V23"/>
    <mergeCell ref="W23:AC23"/>
    <mergeCell ref="K22:N22"/>
    <mergeCell ref="O22:P22"/>
    <mergeCell ref="Q22:R22"/>
    <mergeCell ref="S22:T22"/>
    <mergeCell ref="U22:V22"/>
    <mergeCell ref="W22:AC22"/>
    <mergeCell ref="B25:AC25"/>
    <mergeCell ref="B26:AC26"/>
    <mergeCell ref="B27:AC28"/>
    <mergeCell ref="K24:N24"/>
    <mergeCell ref="O24:P24"/>
    <mergeCell ref="Q24:R24"/>
    <mergeCell ref="S24:T24"/>
    <mergeCell ref="U24:V24"/>
    <mergeCell ref="W24:AC24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60"/>
  <sheetViews>
    <sheetView zoomScaleNormal="100" workbookViewId="0">
      <selection activeCell="B5" sqref="B5:P8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1819</v>
      </c>
      <c r="B2" s="546" t="s">
        <v>1820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1821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>
      <c r="A4" s="309" t="s">
        <v>1392</v>
      </c>
      <c r="B4" s="550" t="s">
        <v>1822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1823</v>
      </c>
      <c r="B5" s="554" t="s">
        <v>1824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1825</v>
      </c>
      <c r="B9" s="559"/>
      <c r="C9" s="559"/>
      <c r="D9" s="559"/>
      <c r="E9" s="559"/>
      <c r="F9" s="559"/>
      <c r="G9" s="559"/>
      <c r="H9" s="559"/>
      <c r="I9" s="250" t="s">
        <v>1826</v>
      </c>
      <c r="J9" s="559" t="s">
        <v>1516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1517</v>
      </c>
      <c r="B10" s="559"/>
      <c r="C10" s="559"/>
      <c r="D10" s="559"/>
      <c r="E10" s="559"/>
      <c r="F10" s="559"/>
      <c r="G10" s="559"/>
      <c r="H10" s="559"/>
      <c r="I10" s="250" t="s">
        <v>1827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1828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1403</v>
      </c>
      <c r="B12" s="566" t="s">
        <v>1829</v>
      </c>
      <c r="C12" s="566"/>
      <c r="D12" s="566"/>
      <c r="E12" s="566"/>
      <c r="F12" s="566"/>
      <c r="G12" s="566"/>
      <c r="H12" s="566"/>
      <c r="I12" s="250" t="s">
        <v>1830</v>
      </c>
      <c r="J12" s="566" t="s">
        <v>149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1831</v>
      </c>
      <c r="B13" s="563"/>
      <c r="C13" s="563"/>
      <c r="D13" s="563"/>
      <c r="E13" s="563"/>
      <c r="F13" s="563"/>
      <c r="G13" s="563"/>
      <c r="H13" s="563"/>
      <c r="I13" s="564" t="s">
        <v>1831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1832</v>
      </c>
      <c r="B14" s="252" t="s">
        <v>1833</v>
      </c>
      <c r="C14" s="252" t="s">
        <v>1834</v>
      </c>
      <c r="D14" s="253" t="s">
        <v>1752</v>
      </c>
      <c r="E14" s="252" t="s">
        <v>1835</v>
      </c>
      <c r="F14" s="252" t="s">
        <v>1836</v>
      </c>
      <c r="G14" s="252" t="s">
        <v>1414</v>
      </c>
      <c r="H14" s="252" t="s">
        <v>1837</v>
      </c>
      <c r="I14" s="252" t="s">
        <v>1525</v>
      </c>
      <c r="J14" s="252" t="s">
        <v>1833</v>
      </c>
      <c r="K14" s="252" t="s">
        <v>1838</v>
      </c>
      <c r="L14" s="253" t="s">
        <v>1752</v>
      </c>
      <c r="M14" s="253" t="s">
        <v>1835</v>
      </c>
      <c r="N14" s="252" t="s">
        <v>1836</v>
      </c>
      <c r="O14" s="252" t="s">
        <v>1394</v>
      </c>
      <c r="P14" s="254" t="s">
        <v>1839</v>
      </c>
    </row>
    <row r="15" spans="1:17" s="262" customFormat="1" ht="16.5" customHeight="1">
      <c r="A15" s="255" t="s">
        <v>1840</v>
      </c>
      <c r="B15" s="256" t="s">
        <v>3299</v>
      </c>
      <c r="C15" s="256" t="s">
        <v>1727</v>
      </c>
      <c r="D15" s="257" t="s">
        <v>1752</v>
      </c>
      <c r="E15" s="257" t="s">
        <v>1841</v>
      </c>
      <c r="F15" s="256"/>
      <c r="G15" s="256" t="s">
        <v>1842</v>
      </c>
      <c r="H15" s="256" t="s">
        <v>1843</v>
      </c>
      <c r="I15" s="256"/>
      <c r="J15" s="256"/>
      <c r="K15" s="258"/>
      <c r="L15" s="257"/>
      <c r="M15" s="256"/>
      <c r="N15" s="256"/>
      <c r="O15" s="259"/>
      <c r="P15" s="260"/>
      <c r="Q15" s="261"/>
    </row>
    <row r="16" spans="1:17" s="262" customFormat="1" ht="36">
      <c r="A16" s="255" t="s">
        <v>1844</v>
      </c>
      <c r="B16" s="256" t="s">
        <v>3300</v>
      </c>
      <c r="C16" s="256" t="s">
        <v>1645</v>
      </c>
      <c r="D16" s="257"/>
      <c r="E16" s="257" t="s">
        <v>515</v>
      </c>
      <c r="F16" s="257"/>
      <c r="G16" s="256" t="s">
        <v>1730</v>
      </c>
      <c r="H16" s="313" t="s">
        <v>1845</v>
      </c>
      <c r="I16" s="256"/>
      <c r="J16" s="256"/>
      <c r="K16" s="258"/>
      <c r="L16" s="257"/>
      <c r="M16" s="256"/>
      <c r="N16" s="256"/>
      <c r="O16" s="259"/>
      <c r="P16" s="260"/>
      <c r="Q16" s="261"/>
    </row>
    <row r="17" spans="1:17" s="262" customFormat="1" ht="16.5" customHeight="1">
      <c r="A17" s="255" t="s">
        <v>1844</v>
      </c>
      <c r="B17" s="256" t="s">
        <v>3301</v>
      </c>
      <c r="C17" s="256" t="s">
        <v>1846</v>
      </c>
      <c r="D17" s="257"/>
      <c r="E17" s="257" t="s">
        <v>515</v>
      </c>
      <c r="F17" s="256"/>
      <c r="G17" s="256" t="s">
        <v>1425</v>
      </c>
      <c r="H17" s="256" t="s">
        <v>1847</v>
      </c>
      <c r="I17" s="256"/>
      <c r="J17" s="256"/>
      <c r="K17" s="258"/>
      <c r="L17" s="257"/>
      <c r="M17" s="256"/>
      <c r="N17" s="256"/>
      <c r="O17" s="259"/>
      <c r="P17" s="260"/>
      <c r="Q17" s="261"/>
    </row>
    <row r="18" spans="1:17" s="265" customFormat="1" ht="156">
      <c r="A18" s="255" t="s">
        <v>1844</v>
      </c>
      <c r="B18" s="256" t="s">
        <v>3302</v>
      </c>
      <c r="C18" s="256" t="s">
        <v>1645</v>
      </c>
      <c r="D18" s="257"/>
      <c r="E18" s="257"/>
      <c r="F18" s="256" t="s">
        <v>1848</v>
      </c>
      <c r="G18" s="256" t="s">
        <v>1849</v>
      </c>
      <c r="H18" s="263" t="s">
        <v>1850</v>
      </c>
      <c r="I18" s="256"/>
      <c r="J18" s="256"/>
      <c r="K18" s="258"/>
      <c r="L18" s="257"/>
      <c r="M18" s="256"/>
      <c r="N18" s="256"/>
      <c r="O18" s="259"/>
      <c r="P18" s="260"/>
      <c r="Q18" s="264"/>
    </row>
    <row r="19" spans="1:17" s="265" customFormat="1" ht="16.5" customHeight="1">
      <c r="A19" s="255" t="s">
        <v>1844</v>
      </c>
      <c r="B19" s="266" t="s">
        <v>3303</v>
      </c>
      <c r="C19" s="266" t="s">
        <v>1846</v>
      </c>
      <c r="D19" s="314"/>
      <c r="E19" s="314"/>
      <c r="F19" s="266"/>
      <c r="G19" s="266" t="s">
        <v>1851</v>
      </c>
      <c r="H19" s="266" t="s">
        <v>1852</v>
      </c>
      <c r="I19" s="256"/>
      <c r="J19" s="256"/>
      <c r="K19" s="258"/>
      <c r="L19" s="257"/>
      <c r="M19" s="256"/>
      <c r="N19" s="256"/>
      <c r="O19" s="259"/>
      <c r="P19" s="260"/>
      <c r="Q19" s="264"/>
    </row>
    <row r="20" spans="1:17" s="265" customFormat="1" ht="16.5" customHeight="1">
      <c r="A20" s="259" t="s">
        <v>1844</v>
      </c>
      <c r="B20" s="256" t="s">
        <v>3306</v>
      </c>
      <c r="C20" s="256" t="s">
        <v>1434</v>
      </c>
      <c r="D20" s="257"/>
      <c r="E20" s="257" t="s">
        <v>515</v>
      </c>
      <c r="F20" s="256">
        <v>1</v>
      </c>
      <c r="G20" s="256" t="s">
        <v>1853</v>
      </c>
      <c r="H20" s="256" t="s">
        <v>1854</v>
      </c>
      <c r="I20" s="256" t="s">
        <v>1855</v>
      </c>
      <c r="J20" s="256" t="s">
        <v>1856</v>
      </c>
      <c r="K20" s="258" t="s">
        <v>1857</v>
      </c>
      <c r="L20" s="257"/>
      <c r="M20" s="256"/>
      <c r="N20" s="256"/>
      <c r="O20" s="259"/>
      <c r="P20" s="260"/>
      <c r="Q20" s="264"/>
    </row>
    <row r="21" spans="1:17" s="265" customFormat="1" ht="16.5" customHeight="1">
      <c r="A21" s="255" t="s">
        <v>1844</v>
      </c>
      <c r="B21" s="256" t="s">
        <v>1538</v>
      </c>
      <c r="C21" s="256" t="s">
        <v>1717</v>
      </c>
      <c r="D21" s="257"/>
      <c r="E21" s="257"/>
      <c r="F21" s="256"/>
      <c r="G21" s="256" t="s">
        <v>1858</v>
      </c>
      <c r="H21" s="256"/>
      <c r="I21" s="256"/>
      <c r="J21" s="256"/>
      <c r="K21" s="258"/>
      <c r="L21" s="257"/>
      <c r="M21" s="256"/>
      <c r="N21" s="256"/>
      <c r="O21" s="259"/>
      <c r="P21" s="260"/>
      <c r="Q21" s="264"/>
    </row>
    <row r="22" spans="1:17" s="265" customFormat="1" ht="16.5" customHeight="1">
      <c r="A22" s="255" t="s">
        <v>1844</v>
      </c>
      <c r="B22" s="256" t="s">
        <v>1539</v>
      </c>
      <c r="C22" s="256" t="s">
        <v>1745</v>
      </c>
      <c r="D22" s="257"/>
      <c r="E22" s="257" t="s">
        <v>515</v>
      </c>
      <c r="F22" s="256"/>
      <c r="G22" s="256" t="s">
        <v>1859</v>
      </c>
      <c r="H22" s="256" t="s">
        <v>1860</v>
      </c>
      <c r="I22" s="256" t="s">
        <v>1861</v>
      </c>
      <c r="J22" s="256" t="s">
        <v>1657</v>
      </c>
      <c r="K22" s="258" t="s">
        <v>1780</v>
      </c>
      <c r="L22" s="257"/>
      <c r="M22" s="256"/>
      <c r="N22" s="256"/>
      <c r="O22" s="259"/>
      <c r="P22" s="260"/>
      <c r="Q22" s="264"/>
    </row>
    <row r="23" spans="1:17" s="265" customFormat="1" ht="16.5" customHeight="1">
      <c r="A23" s="255" t="s">
        <v>1844</v>
      </c>
      <c r="B23" s="256" t="s">
        <v>1541</v>
      </c>
      <c r="C23" s="256" t="s">
        <v>1440</v>
      </c>
      <c r="D23" s="257"/>
      <c r="E23" s="257" t="s">
        <v>515</v>
      </c>
      <c r="F23" s="256"/>
      <c r="G23" s="256" t="s">
        <v>1441</v>
      </c>
      <c r="H23" s="256" t="s">
        <v>1862</v>
      </c>
      <c r="I23" s="256" t="s">
        <v>1863</v>
      </c>
      <c r="J23" s="256" t="s">
        <v>1864</v>
      </c>
      <c r="K23" s="258" t="s">
        <v>1443</v>
      </c>
      <c r="L23" s="257"/>
      <c r="M23" s="256"/>
      <c r="N23" s="256"/>
      <c r="O23" s="259"/>
      <c r="P23" s="260"/>
      <c r="Q23" s="264"/>
    </row>
    <row r="24" spans="1:17" s="265" customFormat="1" ht="16.5" customHeight="1">
      <c r="A24" s="255" t="s">
        <v>1844</v>
      </c>
      <c r="B24" s="256" t="s">
        <v>1544</v>
      </c>
      <c r="C24" s="256" t="s">
        <v>1745</v>
      </c>
      <c r="D24" s="257"/>
      <c r="E24" s="257"/>
      <c r="F24" s="256"/>
      <c r="G24" s="256" t="s">
        <v>1865</v>
      </c>
      <c r="H24" s="256" t="s">
        <v>1866</v>
      </c>
      <c r="I24" s="256" t="s">
        <v>1867</v>
      </c>
      <c r="J24" s="256" t="s">
        <v>1868</v>
      </c>
      <c r="K24" s="258" t="s">
        <v>1745</v>
      </c>
      <c r="L24" s="257"/>
      <c r="M24" s="256"/>
      <c r="N24" s="256"/>
      <c r="O24" s="259"/>
      <c r="P24" s="260"/>
      <c r="Q24" s="264"/>
    </row>
    <row r="25" spans="1:17" s="265" customFormat="1" ht="16.5" customHeight="1">
      <c r="A25" s="255" t="s">
        <v>1844</v>
      </c>
      <c r="B25" s="256" t="s">
        <v>1546</v>
      </c>
      <c r="C25" s="256" t="s">
        <v>1846</v>
      </c>
      <c r="D25" s="257"/>
      <c r="E25" s="257"/>
      <c r="F25" s="256"/>
      <c r="G25" s="256" t="s">
        <v>1869</v>
      </c>
      <c r="H25" s="256" t="s">
        <v>1870</v>
      </c>
      <c r="I25" s="256" t="s">
        <v>1871</v>
      </c>
      <c r="J25" s="256" t="s">
        <v>1750</v>
      </c>
      <c r="K25" s="258" t="s">
        <v>1443</v>
      </c>
      <c r="L25" s="257"/>
      <c r="M25" s="256"/>
      <c r="N25" s="256"/>
      <c r="O25" s="259"/>
      <c r="P25" s="260"/>
      <c r="Q25" s="264"/>
    </row>
    <row r="26" spans="1:17">
      <c r="A26" s="274"/>
      <c r="B26" s="315"/>
      <c r="C26" s="316"/>
      <c r="D26" s="317"/>
      <c r="E26" s="317"/>
      <c r="F26" s="317"/>
      <c r="G26" s="316"/>
      <c r="H26" s="318"/>
      <c r="I26" s="270" t="s">
        <v>1855</v>
      </c>
      <c r="J26" s="297" t="s">
        <v>1872</v>
      </c>
      <c r="K26" s="270" t="s">
        <v>1873</v>
      </c>
      <c r="L26" s="269" t="s">
        <v>1874</v>
      </c>
      <c r="M26" s="269" t="s">
        <v>1676</v>
      </c>
      <c r="N26" s="269"/>
      <c r="O26" s="270" t="s">
        <v>1875</v>
      </c>
      <c r="P26" s="271" t="s">
        <v>1876</v>
      </c>
      <c r="Q26" s="319"/>
    </row>
    <row r="27" spans="1:17" ht="24">
      <c r="A27" s="274"/>
      <c r="B27" s="315"/>
      <c r="C27" s="316"/>
      <c r="D27" s="317"/>
      <c r="E27" s="317"/>
      <c r="F27" s="317"/>
      <c r="G27" s="316"/>
      <c r="H27" s="318"/>
      <c r="I27" s="270" t="s">
        <v>1877</v>
      </c>
      <c r="J27" s="270" t="s">
        <v>1878</v>
      </c>
      <c r="K27" s="270" t="s">
        <v>1745</v>
      </c>
      <c r="L27" s="269"/>
      <c r="M27" s="269"/>
      <c r="N27" s="269"/>
      <c r="O27" s="270" t="s">
        <v>1879</v>
      </c>
      <c r="P27" s="320" t="s">
        <v>1880</v>
      </c>
      <c r="Q27" s="319"/>
    </row>
    <row r="28" spans="1:17" ht="48">
      <c r="A28" s="274"/>
      <c r="B28" s="315"/>
      <c r="C28" s="316"/>
      <c r="D28" s="317"/>
      <c r="E28" s="317"/>
      <c r="F28" s="317"/>
      <c r="G28" s="316"/>
      <c r="H28" s="318"/>
      <c r="I28" s="275" t="s">
        <v>1855</v>
      </c>
      <c r="J28" s="305" t="s">
        <v>1881</v>
      </c>
      <c r="K28" s="275" t="s">
        <v>1691</v>
      </c>
      <c r="L28" s="276" t="s">
        <v>1752</v>
      </c>
      <c r="M28" s="276" t="s">
        <v>1676</v>
      </c>
      <c r="N28" s="276"/>
      <c r="O28" s="275" t="s">
        <v>692</v>
      </c>
      <c r="P28" s="321" t="s">
        <v>1882</v>
      </c>
      <c r="Q28" s="319"/>
    </row>
    <row r="29" spans="1:17">
      <c r="A29" s="267" t="s">
        <v>1844</v>
      </c>
      <c r="B29" s="268" t="s">
        <v>1662</v>
      </c>
      <c r="C29" s="268" t="s">
        <v>1883</v>
      </c>
      <c r="D29" s="269"/>
      <c r="E29" s="322" t="s">
        <v>421</v>
      </c>
      <c r="F29" s="269">
        <v>1000</v>
      </c>
      <c r="G29" s="268" t="s">
        <v>1884</v>
      </c>
      <c r="H29" s="270" t="s">
        <v>1885</v>
      </c>
      <c r="I29" s="280" t="s">
        <v>1886</v>
      </c>
      <c r="J29" s="323" t="s">
        <v>1887</v>
      </c>
      <c r="K29" s="280" t="s">
        <v>1888</v>
      </c>
      <c r="L29" s="285"/>
      <c r="M29" s="285" t="s">
        <v>1841</v>
      </c>
      <c r="N29" s="285"/>
      <c r="O29" s="280" t="s">
        <v>1889</v>
      </c>
      <c r="P29" s="324" t="s">
        <v>1890</v>
      </c>
      <c r="Q29" s="319"/>
    </row>
    <row r="30" spans="1:17">
      <c r="A30" s="267" t="s">
        <v>1844</v>
      </c>
      <c r="B30" s="268" t="s">
        <v>1451</v>
      </c>
      <c r="C30" s="268" t="s">
        <v>1883</v>
      </c>
      <c r="D30" s="269"/>
      <c r="E30" s="322" t="s">
        <v>1676</v>
      </c>
      <c r="F30" s="269">
        <v>1000</v>
      </c>
      <c r="G30" s="268" t="s">
        <v>1891</v>
      </c>
      <c r="H30" s="270" t="s">
        <v>1892</v>
      </c>
      <c r="I30" s="280" t="s">
        <v>1893</v>
      </c>
      <c r="J30" s="323" t="s">
        <v>1894</v>
      </c>
      <c r="K30" s="280" t="s">
        <v>1888</v>
      </c>
      <c r="L30" s="285"/>
      <c r="M30" s="285" t="s">
        <v>1676</v>
      </c>
      <c r="N30" s="285"/>
      <c r="O30" s="280" t="s">
        <v>1895</v>
      </c>
      <c r="P30" s="324" t="s">
        <v>1896</v>
      </c>
      <c r="Q30" s="319"/>
    </row>
    <row r="31" spans="1:17">
      <c r="A31" s="267" t="s">
        <v>1844</v>
      </c>
      <c r="B31" s="268" t="s">
        <v>1897</v>
      </c>
      <c r="C31" s="268" t="s">
        <v>1898</v>
      </c>
      <c r="D31" s="269"/>
      <c r="E31" s="322"/>
      <c r="F31" s="269"/>
      <c r="G31" s="268" t="s">
        <v>1899</v>
      </c>
      <c r="H31" s="270" t="s">
        <v>1885</v>
      </c>
      <c r="I31" s="270" t="s">
        <v>1893</v>
      </c>
      <c r="J31" s="270" t="s">
        <v>1900</v>
      </c>
      <c r="K31" s="270" t="s">
        <v>1901</v>
      </c>
      <c r="L31" s="269"/>
      <c r="M31" s="269"/>
      <c r="N31" s="269"/>
      <c r="O31" s="270" t="s">
        <v>1902</v>
      </c>
      <c r="P31" s="320"/>
      <c r="Q31" s="319"/>
    </row>
    <row r="32" spans="1:17">
      <c r="A32" s="267" t="s">
        <v>1844</v>
      </c>
      <c r="B32" s="268" t="s">
        <v>1903</v>
      </c>
      <c r="C32" s="268" t="s">
        <v>1904</v>
      </c>
      <c r="D32" s="269"/>
      <c r="E32" s="269"/>
      <c r="F32" s="269"/>
      <c r="G32" s="268" t="s">
        <v>1905</v>
      </c>
      <c r="H32" s="270" t="s">
        <v>1885</v>
      </c>
      <c r="I32" s="280" t="s">
        <v>1906</v>
      </c>
      <c r="J32" s="280" t="s">
        <v>1907</v>
      </c>
      <c r="K32" s="280" t="s">
        <v>1738</v>
      </c>
      <c r="L32" s="285"/>
      <c r="M32" s="285"/>
      <c r="N32" s="285"/>
      <c r="O32" s="280" t="s">
        <v>1908</v>
      </c>
      <c r="P32" s="324" t="s">
        <v>1909</v>
      </c>
      <c r="Q32" s="319"/>
    </row>
    <row r="33" spans="1:17">
      <c r="A33" s="267" t="s">
        <v>1844</v>
      </c>
      <c r="B33" s="268" t="s">
        <v>1910</v>
      </c>
      <c r="C33" s="268" t="s">
        <v>1911</v>
      </c>
      <c r="D33" s="269"/>
      <c r="E33" s="269"/>
      <c r="F33" s="269"/>
      <c r="G33" s="268" t="s">
        <v>1912</v>
      </c>
      <c r="H33" s="270" t="s">
        <v>1913</v>
      </c>
      <c r="I33" s="280" t="s">
        <v>1906</v>
      </c>
      <c r="J33" s="280" t="s">
        <v>1914</v>
      </c>
      <c r="K33" s="280" t="s">
        <v>1436</v>
      </c>
      <c r="L33" s="285"/>
      <c r="M33" s="285"/>
      <c r="N33" s="285"/>
      <c r="O33" s="280" t="s">
        <v>1915</v>
      </c>
      <c r="P33" s="324" t="s">
        <v>1916</v>
      </c>
      <c r="Q33" s="319"/>
    </row>
    <row r="34" spans="1:17">
      <c r="A34" s="267" t="s">
        <v>1844</v>
      </c>
      <c r="B34" s="268" t="s">
        <v>1917</v>
      </c>
      <c r="C34" s="268" t="s">
        <v>1918</v>
      </c>
      <c r="D34" s="269"/>
      <c r="E34" s="269"/>
      <c r="F34" s="269"/>
      <c r="G34" s="268" t="s">
        <v>1919</v>
      </c>
      <c r="H34" s="270" t="s">
        <v>1920</v>
      </c>
      <c r="I34" s="280" t="s">
        <v>1877</v>
      </c>
      <c r="J34" s="280" t="s">
        <v>1921</v>
      </c>
      <c r="K34" s="280" t="s">
        <v>1434</v>
      </c>
      <c r="L34" s="285"/>
      <c r="M34" s="285"/>
      <c r="N34" s="285"/>
      <c r="O34" s="280" t="s">
        <v>1922</v>
      </c>
      <c r="P34" s="324" t="s">
        <v>1923</v>
      </c>
      <c r="Q34" s="319"/>
    </row>
    <row r="35" spans="1:17" ht="24">
      <c r="A35" s="274"/>
      <c r="B35" s="325"/>
      <c r="C35" s="316"/>
      <c r="D35" s="317"/>
      <c r="E35" s="317"/>
      <c r="F35" s="317"/>
      <c r="G35" s="316"/>
      <c r="H35" s="316"/>
      <c r="I35" s="326" t="s">
        <v>1924</v>
      </c>
      <c r="J35" s="312" t="s">
        <v>1925</v>
      </c>
      <c r="K35" s="326" t="s">
        <v>1434</v>
      </c>
      <c r="L35" s="327"/>
      <c r="M35" s="327" t="s">
        <v>57</v>
      </c>
      <c r="N35" s="327"/>
      <c r="O35" s="326" t="s">
        <v>1926</v>
      </c>
      <c r="P35" s="328" t="s">
        <v>1927</v>
      </c>
      <c r="Q35" s="319"/>
    </row>
    <row r="36" spans="1:17">
      <c r="A36" s="267" t="s">
        <v>1844</v>
      </c>
      <c r="B36" s="268" t="s">
        <v>1928</v>
      </c>
      <c r="C36" s="268" t="s">
        <v>1929</v>
      </c>
      <c r="D36" s="269"/>
      <c r="E36" s="269" t="s">
        <v>1930</v>
      </c>
      <c r="F36" s="269"/>
      <c r="G36" s="270" t="s">
        <v>1931</v>
      </c>
      <c r="H36" s="270"/>
      <c r="I36" s="275" t="s">
        <v>1906</v>
      </c>
      <c r="J36" s="305" t="s">
        <v>1932</v>
      </c>
      <c r="K36" s="275" t="s">
        <v>1551</v>
      </c>
      <c r="L36" s="276"/>
      <c r="M36" s="276" t="s">
        <v>1676</v>
      </c>
      <c r="N36" s="276"/>
      <c r="O36" s="275" t="s">
        <v>1455</v>
      </c>
      <c r="P36" s="329" t="s">
        <v>1933</v>
      </c>
      <c r="Q36" s="319"/>
    </row>
    <row r="37" spans="1:17">
      <c r="A37" s="274" t="s">
        <v>1844</v>
      </c>
      <c r="B37" s="268" t="s">
        <v>1934</v>
      </c>
      <c r="C37" s="268" t="s">
        <v>1935</v>
      </c>
      <c r="D37" s="269"/>
      <c r="E37" s="269"/>
      <c r="F37" s="269"/>
      <c r="G37" s="268" t="s">
        <v>1936</v>
      </c>
      <c r="H37" s="281"/>
      <c r="I37" s="270"/>
      <c r="J37" s="297"/>
      <c r="K37" s="270"/>
      <c r="L37" s="269"/>
      <c r="M37" s="269"/>
      <c r="N37" s="269"/>
      <c r="O37" s="270"/>
      <c r="P37" s="320" t="s">
        <v>1937</v>
      </c>
      <c r="Q37" s="319"/>
    </row>
    <row r="38" spans="1:17">
      <c r="A38" s="274" t="s">
        <v>1844</v>
      </c>
      <c r="B38" s="268" t="s">
        <v>1938</v>
      </c>
      <c r="C38" s="268" t="s">
        <v>1939</v>
      </c>
      <c r="D38" s="269"/>
      <c r="E38" s="269" t="s">
        <v>1676</v>
      </c>
      <c r="F38" s="269"/>
      <c r="G38" s="268" t="s">
        <v>1940</v>
      </c>
      <c r="H38" s="281"/>
      <c r="I38" s="270" t="s">
        <v>1941</v>
      </c>
      <c r="J38" s="297" t="s">
        <v>1942</v>
      </c>
      <c r="K38" s="270" t="s">
        <v>1943</v>
      </c>
      <c r="L38" s="269"/>
      <c r="M38" s="269" t="s">
        <v>1676</v>
      </c>
      <c r="N38" s="269"/>
      <c r="O38" s="270" t="s">
        <v>1944</v>
      </c>
      <c r="P38" s="320"/>
      <c r="Q38" s="319"/>
    </row>
    <row r="39" spans="1:17">
      <c r="A39" s="274" t="s">
        <v>1844</v>
      </c>
      <c r="B39" s="283" t="s">
        <v>1945</v>
      </c>
      <c r="C39" s="283" t="s">
        <v>1946</v>
      </c>
      <c r="D39" s="276"/>
      <c r="E39" s="276" t="s">
        <v>1676</v>
      </c>
      <c r="F39" s="276"/>
      <c r="G39" s="275" t="s">
        <v>1947</v>
      </c>
      <c r="H39" s="330"/>
      <c r="I39" s="275" t="s">
        <v>1948</v>
      </c>
      <c r="J39" s="303" t="s">
        <v>1949</v>
      </c>
      <c r="K39" s="275" t="s">
        <v>1738</v>
      </c>
      <c r="L39" s="276"/>
      <c r="M39" s="276" t="s">
        <v>1676</v>
      </c>
      <c r="N39" s="276"/>
      <c r="O39" s="275" t="s">
        <v>133</v>
      </c>
      <c r="P39" s="277"/>
      <c r="Q39" s="319"/>
    </row>
    <row r="40" spans="1:17" ht="36">
      <c r="A40" s="274" t="s">
        <v>1844</v>
      </c>
      <c r="B40" s="304" t="s">
        <v>1950</v>
      </c>
      <c r="C40" s="283" t="s">
        <v>1951</v>
      </c>
      <c r="D40" s="276"/>
      <c r="E40" s="276" t="s">
        <v>57</v>
      </c>
      <c r="F40" s="276" t="s">
        <v>1426</v>
      </c>
      <c r="G40" s="283" t="s">
        <v>1952</v>
      </c>
      <c r="H40" s="330" t="s">
        <v>1953</v>
      </c>
      <c r="I40" s="280" t="s">
        <v>1877</v>
      </c>
      <c r="J40" s="331" t="s">
        <v>1954</v>
      </c>
      <c r="K40" s="280" t="s">
        <v>1955</v>
      </c>
      <c r="L40" s="285"/>
      <c r="M40" s="285"/>
      <c r="N40" s="285"/>
      <c r="O40" s="280" t="s">
        <v>1956</v>
      </c>
      <c r="P40" s="287" t="s">
        <v>1957</v>
      </c>
      <c r="Q40" s="319"/>
    </row>
    <row r="41" spans="1:17">
      <c r="A41" s="274" t="s">
        <v>1844</v>
      </c>
      <c r="B41" s="332" t="s">
        <v>1958</v>
      </c>
      <c r="C41" s="270" t="s">
        <v>1619</v>
      </c>
      <c r="D41" s="269"/>
      <c r="E41" s="269"/>
      <c r="F41" s="269"/>
      <c r="G41" s="270" t="s">
        <v>1959</v>
      </c>
      <c r="H41" s="270"/>
      <c r="I41" s="270"/>
      <c r="J41" s="333"/>
      <c r="K41" s="270"/>
      <c r="L41" s="269"/>
      <c r="M41" s="269"/>
      <c r="N41" s="269"/>
      <c r="O41" s="270"/>
      <c r="P41" s="271" t="s">
        <v>1683</v>
      </c>
      <c r="Q41" s="319"/>
    </row>
    <row r="42" spans="1:17">
      <c r="A42" s="274" t="s">
        <v>1844</v>
      </c>
      <c r="B42" s="332" t="s">
        <v>1960</v>
      </c>
      <c r="C42" s="270" t="s">
        <v>1622</v>
      </c>
      <c r="D42" s="269"/>
      <c r="E42" s="269"/>
      <c r="F42" s="269"/>
      <c r="G42" s="270" t="s">
        <v>1961</v>
      </c>
      <c r="H42" s="270"/>
      <c r="I42" s="270" t="s">
        <v>1886</v>
      </c>
      <c r="J42" s="333" t="s">
        <v>1962</v>
      </c>
      <c r="K42" s="275" t="s">
        <v>1766</v>
      </c>
      <c r="L42" s="269"/>
      <c r="M42" s="269"/>
      <c r="N42" s="269"/>
      <c r="O42" s="270" t="s">
        <v>1963</v>
      </c>
      <c r="P42" s="271"/>
      <c r="Q42" s="319"/>
    </row>
    <row r="43" spans="1:17">
      <c r="A43" s="267" t="s">
        <v>1844</v>
      </c>
      <c r="B43" s="268" t="s">
        <v>1964</v>
      </c>
      <c r="C43" s="268" t="s">
        <v>1965</v>
      </c>
      <c r="D43" s="269"/>
      <c r="E43" s="269" t="s">
        <v>1841</v>
      </c>
      <c r="F43" s="269"/>
      <c r="G43" s="268" t="s">
        <v>1966</v>
      </c>
      <c r="H43" s="270" t="s">
        <v>1892</v>
      </c>
      <c r="I43" s="280" t="s">
        <v>1886</v>
      </c>
      <c r="J43" s="331" t="s">
        <v>1967</v>
      </c>
      <c r="K43" s="280" t="s">
        <v>1968</v>
      </c>
      <c r="L43" s="285"/>
      <c r="M43" s="285" t="s">
        <v>57</v>
      </c>
      <c r="N43" s="285"/>
      <c r="O43" s="280" t="s">
        <v>1969</v>
      </c>
      <c r="P43" s="287" t="s">
        <v>1789</v>
      </c>
      <c r="Q43" s="319"/>
    </row>
    <row r="44" spans="1:17">
      <c r="A44" s="267" t="s">
        <v>1844</v>
      </c>
      <c r="B44" s="268" t="s">
        <v>1970</v>
      </c>
      <c r="C44" s="268" t="s">
        <v>1971</v>
      </c>
      <c r="D44" s="269"/>
      <c r="E44" s="269" t="s">
        <v>1676</v>
      </c>
      <c r="F44" s="269"/>
      <c r="G44" s="268" t="s">
        <v>1972</v>
      </c>
      <c r="H44" s="270" t="s">
        <v>1892</v>
      </c>
      <c r="I44" s="280" t="s">
        <v>1893</v>
      </c>
      <c r="J44" s="331" t="s">
        <v>1973</v>
      </c>
      <c r="K44" s="280" t="s">
        <v>1974</v>
      </c>
      <c r="L44" s="285"/>
      <c r="M44" s="285" t="s">
        <v>1676</v>
      </c>
      <c r="N44" s="285"/>
      <c r="O44" s="280" t="s">
        <v>1975</v>
      </c>
      <c r="P44" s="287" t="s">
        <v>1789</v>
      </c>
      <c r="Q44" s="319"/>
    </row>
    <row r="45" spans="1:17">
      <c r="A45" s="267" t="s">
        <v>1844</v>
      </c>
      <c r="B45" s="334" t="s">
        <v>1976</v>
      </c>
      <c r="C45" s="268" t="s">
        <v>1977</v>
      </c>
      <c r="D45" s="269"/>
      <c r="E45" s="322"/>
      <c r="F45" s="269"/>
      <c r="G45" s="268" t="s">
        <v>1978</v>
      </c>
      <c r="H45" s="281" t="s">
        <v>1979</v>
      </c>
      <c r="I45" s="280" t="s">
        <v>1886</v>
      </c>
      <c r="J45" s="331" t="s">
        <v>1980</v>
      </c>
      <c r="K45" s="280" t="s">
        <v>1787</v>
      </c>
      <c r="L45" s="285"/>
      <c r="M45" s="285"/>
      <c r="N45" s="285"/>
      <c r="O45" s="280" t="s">
        <v>1981</v>
      </c>
      <c r="P45" s="287" t="s">
        <v>1982</v>
      </c>
      <c r="Q45" s="319"/>
    </row>
    <row r="46" spans="1:17" ht="24">
      <c r="A46" s="267" t="s">
        <v>1844</v>
      </c>
      <c r="B46" s="335" t="s">
        <v>1983</v>
      </c>
      <c r="C46" s="268" t="s">
        <v>1965</v>
      </c>
      <c r="D46" s="269"/>
      <c r="E46" s="269" t="s">
        <v>1676</v>
      </c>
      <c r="F46" s="269"/>
      <c r="G46" s="270" t="s">
        <v>1984</v>
      </c>
      <c r="H46" s="281" t="s">
        <v>1985</v>
      </c>
      <c r="I46" s="280" t="s">
        <v>1886</v>
      </c>
      <c r="J46" s="331" t="s">
        <v>1986</v>
      </c>
      <c r="K46" s="280" t="s">
        <v>1987</v>
      </c>
      <c r="L46" s="285"/>
      <c r="M46" s="285" t="s">
        <v>1930</v>
      </c>
      <c r="N46" s="285"/>
      <c r="O46" s="280" t="s">
        <v>1988</v>
      </c>
      <c r="P46" s="287" t="s">
        <v>1789</v>
      </c>
      <c r="Q46" s="319"/>
    </row>
    <row r="47" spans="1:17">
      <c r="A47" s="274" t="s">
        <v>1844</v>
      </c>
      <c r="B47" s="304" t="s">
        <v>1989</v>
      </c>
      <c r="C47" s="283" t="s">
        <v>1911</v>
      </c>
      <c r="D47" s="276"/>
      <c r="E47" s="276"/>
      <c r="F47" s="276"/>
      <c r="G47" s="275" t="s">
        <v>1990</v>
      </c>
      <c r="H47" s="275" t="s">
        <v>1991</v>
      </c>
      <c r="I47" s="275" t="s">
        <v>1992</v>
      </c>
      <c r="J47" s="303" t="s">
        <v>1993</v>
      </c>
      <c r="K47" s="275" t="s">
        <v>1691</v>
      </c>
      <c r="L47" s="276"/>
      <c r="M47" s="276"/>
      <c r="N47" s="276"/>
      <c r="O47" s="275" t="s">
        <v>1994</v>
      </c>
      <c r="P47" s="329" t="s">
        <v>1995</v>
      </c>
      <c r="Q47" s="319"/>
    </row>
    <row r="48" spans="1:17" ht="24">
      <c r="A48" s="274" t="s">
        <v>1844</v>
      </c>
      <c r="B48" s="268" t="s">
        <v>1996</v>
      </c>
      <c r="C48" s="268" t="s">
        <v>1997</v>
      </c>
      <c r="D48" s="269"/>
      <c r="E48" s="269"/>
      <c r="F48" s="269"/>
      <c r="G48" s="283" t="s">
        <v>1998</v>
      </c>
      <c r="H48" s="330" t="s">
        <v>1999</v>
      </c>
      <c r="I48" s="275" t="s">
        <v>1924</v>
      </c>
      <c r="J48" s="305" t="s">
        <v>71</v>
      </c>
      <c r="K48" s="275" t="s">
        <v>2000</v>
      </c>
      <c r="L48" s="276"/>
      <c r="M48" s="276"/>
      <c r="N48" s="276"/>
      <c r="O48" s="275" t="s">
        <v>122</v>
      </c>
      <c r="P48" s="277"/>
      <c r="Q48" s="319"/>
    </row>
    <row r="49" spans="1:17">
      <c r="A49" s="267" t="s">
        <v>1844</v>
      </c>
      <c r="B49" s="336" t="s">
        <v>2001</v>
      </c>
      <c r="C49" s="268" t="s">
        <v>2002</v>
      </c>
      <c r="D49" s="269"/>
      <c r="E49" s="269"/>
      <c r="F49" s="337" t="s">
        <v>2003</v>
      </c>
      <c r="G49" s="270" t="s">
        <v>2004</v>
      </c>
      <c r="H49" s="270" t="s">
        <v>2005</v>
      </c>
      <c r="I49" s="280" t="s">
        <v>2006</v>
      </c>
      <c r="J49" s="323" t="s">
        <v>2007</v>
      </c>
      <c r="K49" s="280" t="s">
        <v>2008</v>
      </c>
      <c r="L49" s="285"/>
      <c r="M49" s="285"/>
      <c r="N49" s="285"/>
      <c r="O49" s="280" t="s">
        <v>2009</v>
      </c>
      <c r="P49" s="287" t="s">
        <v>1795</v>
      </c>
      <c r="Q49" s="319"/>
    </row>
    <row r="50" spans="1:17">
      <c r="A50" s="267" t="s">
        <v>1844</v>
      </c>
      <c r="B50" s="336" t="s">
        <v>2010</v>
      </c>
      <c r="C50" s="268" t="s">
        <v>2011</v>
      </c>
      <c r="D50" s="269"/>
      <c r="E50" s="269"/>
      <c r="F50" s="337" t="s">
        <v>2012</v>
      </c>
      <c r="G50" s="270" t="s">
        <v>2013</v>
      </c>
      <c r="H50" s="270" t="s">
        <v>2014</v>
      </c>
      <c r="I50" s="280" t="s">
        <v>2006</v>
      </c>
      <c r="J50" s="323" t="s">
        <v>2015</v>
      </c>
      <c r="K50" s="280" t="s">
        <v>1434</v>
      </c>
      <c r="L50" s="285"/>
      <c r="M50" s="285"/>
      <c r="N50" s="285"/>
      <c r="O50" s="280" t="s">
        <v>2016</v>
      </c>
      <c r="P50" s="287" t="s">
        <v>1982</v>
      </c>
      <c r="Q50" s="319"/>
    </row>
    <row r="51" spans="1:17" ht="16.5" customHeight="1">
      <c r="A51" s="267" t="s">
        <v>1844</v>
      </c>
      <c r="B51" s="268" t="s">
        <v>2017</v>
      </c>
      <c r="C51" s="268" t="s">
        <v>2018</v>
      </c>
      <c r="D51" s="269"/>
      <c r="E51" s="269" t="s">
        <v>2019</v>
      </c>
      <c r="F51" s="269">
        <v>0</v>
      </c>
      <c r="G51" s="268" t="s">
        <v>2020</v>
      </c>
      <c r="H51" s="270" t="s">
        <v>2005</v>
      </c>
      <c r="I51" s="280" t="s">
        <v>1906</v>
      </c>
      <c r="J51" s="323" t="s">
        <v>2021</v>
      </c>
      <c r="K51" s="280" t="s">
        <v>2022</v>
      </c>
      <c r="L51" s="285"/>
      <c r="M51" s="285"/>
      <c r="N51" s="285"/>
      <c r="O51" s="280" t="s">
        <v>2023</v>
      </c>
      <c r="P51" s="287" t="s">
        <v>1982</v>
      </c>
    </row>
    <row r="52" spans="1:17" ht="24">
      <c r="A52" s="267" t="s">
        <v>1844</v>
      </c>
      <c r="B52" s="268" t="s">
        <v>2024</v>
      </c>
      <c r="C52" s="268" t="s">
        <v>2018</v>
      </c>
      <c r="D52" s="269"/>
      <c r="E52" s="269" t="s">
        <v>2019</v>
      </c>
      <c r="F52" s="269">
        <v>0</v>
      </c>
      <c r="G52" s="268" t="s">
        <v>2025</v>
      </c>
      <c r="H52" s="281" t="s">
        <v>2026</v>
      </c>
      <c r="I52" s="280" t="s">
        <v>2006</v>
      </c>
      <c r="J52" s="323" t="s">
        <v>2027</v>
      </c>
      <c r="K52" s="280" t="s">
        <v>2028</v>
      </c>
      <c r="L52" s="285"/>
      <c r="M52" s="285"/>
      <c r="N52" s="285"/>
      <c r="O52" s="280" t="s">
        <v>2029</v>
      </c>
      <c r="P52" s="287" t="s">
        <v>1789</v>
      </c>
    </row>
    <row r="53" spans="1:17">
      <c r="A53" s="267" t="s">
        <v>2030</v>
      </c>
      <c r="B53" s="336" t="s">
        <v>2031</v>
      </c>
      <c r="C53" s="268" t="s">
        <v>2032</v>
      </c>
      <c r="D53" s="269"/>
      <c r="E53" s="269"/>
      <c r="F53" s="269"/>
      <c r="G53" s="270" t="s">
        <v>2033</v>
      </c>
      <c r="H53" s="270" t="s">
        <v>2034</v>
      </c>
      <c r="I53" s="280" t="s">
        <v>1877</v>
      </c>
      <c r="J53" s="323" t="s">
        <v>2035</v>
      </c>
      <c r="K53" s="280" t="s">
        <v>1888</v>
      </c>
      <c r="L53" s="285"/>
      <c r="M53" s="285"/>
      <c r="N53" s="285"/>
      <c r="O53" s="280" t="s">
        <v>2036</v>
      </c>
      <c r="P53" s="287" t="s">
        <v>1789</v>
      </c>
      <c r="Q53" s="319"/>
    </row>
    <row r="54" spans="1:17">
      <c r="A54" s="267" t="s">
        <v>1840</v>
      </c>
      <c r="B54" s="336" t="s">
        <v>2037</v>
      </c>
      <c r="C54" s="268" t="s">
        <v>2038</v>
      </c>
      <c r="D54" s="269"/>
      <c r="E54" s="269"/>
      <c r="F54" s="269"/>
      <c r="G54" s="270" t="s">
        <v>2039</v>
      </c>
      <c r="H54" s="270" t="s">
        <v>2040</v>
      </c>
      <c r="I54" s="280" t="s">
        <v>2006</v>
      </c>
      <c r="J54" s="323" t="s">
        <v>2041</v>
      </c>
      <c r="K54" s="280" t="s">
        <v>2042</v>
      </c>
      <c r="L54" s="285"/>
      <c r="M54" s="285"/>
      <c r="N54" s="285"/>
      <c r="O54" s="280" t="s">
        <v>2043</v>
      </c>
      <c r="P54" s="287" t="s">
        <v>1789</v>
      </c>
      <c r="Q54" s="319"/>
    </row>
    <row r="55" spans="1:17">
      <c r="A55" s="267"/>
      <c r="B55" s="268"/>
      <c r="C55" s="268"/>
      <c r="D55" s="269"/>
      <c r="E55" s="269"/>
      <c r="F55" s="269"/>
      <c r="G55" s="268"/>
      <c r="H55" s="270"/>
      <c r="I55" s="270"/>
      <c r="J55" s="270"/>
      <c r="K55" s="270"/>
      <c r="L55" s="269"/>
      <c r="M55" s="269"/>
      <c r="N55" s="269"/>
      <c r="O55" s="270"/>
      <c r="P55" s="270"/>
    </row>
    <row r="56" spans="1:17">
      <c r="A56" s="267"/>
      <c r="B56" s="268"/>
      <c r="C56" s="268"/>
      <c r="D56" s="269"/>
      <c r="E56" s="269"/>
      <c r="F56" s="269"/>
      <c r="G56" s="268"/>
      <c r="H56" s="270"/>
      <c r="I56" s="270"/>
      <c r="J56" s="270"/>
      <c r="K56" s="270"/>
      <c r="L56" s="269"/>
      <c r="M56" s="269"/>
      <c r="N56" s="269"/>
      <c r="O56" s="270"/>
      <c r="P56" s="270"/>
    </row>
    <row r="57" spans="1:17">
      <c r="A57" s="274"/>
      <c r="B57" s="304"/>
      <c r="C57" s="283"/>
      <c r="D57" s="276"/>
      <c r="E57" s="276"/>
      <c r="F57" s="276"/>
      <c r="G57" s="283"/>
      <c r="H57" s="330"/>
      <c r="I57" s="270"/>
      <c r="J57" s="333"/>
      <c r="K57" s="270"/>
      <c r="L57" s="269"/>
      <c r="M57" s="269"/>
      <c r="N57" s="269"/>
      <c r="O57" s="270"/>
      <c r="P57" s="271"/>
      <c r="Q57" s="319"/>
    </row>
    <row r="58" spans="1:17">
      <c r="A58" s="274"/>
      <c r="B58" s="56"/>
      <c r="C58" s="275"/>
      <c r="D58" s="276"/>
      <c r="E58" s="276"/>
      <c r="F58" s="276"/>
      <c r="G58" s="275"/>
      <c r="H58" s="275"/>
      <c r="I58" s="275"/>
      <c r="J58" s="275"/>
      <c r="K58" s="275"/>
      <c r="L58" s="276"/>
      <c r="M58" s="276"/>
      <c r="N58" s="276"/>
      <c r="O58" s="275"/>
      <c r="P58" s="277"/>
    </row>
    <row r="59" spans="1:17" ht="17.25" thickBot="1">
      <c r="A59" s="289" t="s">
        <v>1726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8"/>
    </row>
    <row r="60" spans="1:17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</row>
  </sheetData>
  <mergeCells count="17">
    <mergeCell ref="B2:P2"/>
    <mergeCell ref="B3:P3"/>
    <mergeCell ref="B4:P4"/>
    <mergeCell ref="A5:A8"/>
    <mergeCell ref="B5:P8"/>
    <mergeCell ref="B59:P59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5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6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7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8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69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1670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62"/>
  <sheetViews>
    <sheetView zoomScaleNormal="100" workbookViewId="0">
      <selection activeCell="B1" sqref="B1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2044</v>
      </c>
      <c r="B2" s="546" t="s">
        <v>2045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1391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>
      <c r="A4" s="309" t="s">
        <v>1392</v>
      </c>
      <c r="B4" s="550" t="s">
        <v>2046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2047</v>
      </c>
      <c r="B5" s="554" t="s">
        <v>2048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2049</v>
      </c>
      <c r="B9" s="559"/>
      <c r="C9" s="559"/>
      <c r="D9" s="559"/>
      <c r="E9" s="559"/>
      <c r="F9" s="559"/>
      <c r="G9" s="559"/>
      <c r="H9" s="559"/>
      <c r="I9" s="250" t="s">
        <v>1397</v>
      </c>
      <c r="J9" s="559" t="s">
        <v>2050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2051</v>
      </c>
      <c r="B10" s="559"/>
      <c r="C10" s="559"/>
      <c r="D10" s="559"/>
      <c r="E10" s="559"/>
      <c r="F10" s="559"/>
      <c r="G10" s="559"/>
      <c r="H10" s="559"/>
      <c r="I10" s="250" t="s">
        <v>2052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2053</v>
      </c>
      <c r="B11" s="563"/>
      <c r="C11" s="563"/>
      <c r="D11" s="563"/>
      <c r="E11" s="563"/>
      <c r="F11" s="563"/>
      <c r="G11" s="563"/>
      <c r="H11" s="563"/>
      <c r="I11" s="564" t="s">
        <v>2054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2055</v>
      </c>
      <c r="B12" s="566" t="s">
        <v>2056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2057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2058</v>
      </c>
      <c r="B13" s="563"/>
      <c r="C13" s="563"/>
      <c r="D13" s="563"/>
      <c r="E13" s="563"/>
      <c r="F13" s="563"/>
      <c r="G13" s="563"/>
      <c r="H13" s="563"/>
      <c r="I13" s="564" t="s">
        <v>2058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1525</v>
      </c>
      <c r="B14" s="252" t="s">
        <v>2059</v>
      </c>
      <c r="C14" s="252" t="s">
        <v>2060</v>
      </c>
      <c r="D14" s="253" t="s">
        <v>2061</v>
      </c>
      <c r="E14" s="252" t="s">
        <v>2062</v>
      </c>
      <c r="F14" s="252" t="s">
        <v>2063</v>
      </c>
      <c r="G14" s="252" t="s">
        <v>1414</v>
      </c>
      <c r="H14" s="252" t="s">
        <v>2064</v>
      </c>
      <c r="I14" s="252" t="s">
        <v>1525</v>
      </c>
      <c r="J14" s="252" t="s">
        <v>1006</v>
      </c>
      <c r="K14" s="252" t="s">
        <v>2060</v>
      </c>
      <c r="L14" s="253" t="s">
        <v>2061</v>
      </c>
      <c r="M14" s="253" t="s">
        <v>2065</v>
      </c>
      <c r="N14" s="252" t="s">
        <v>2066</v>
      </c>
      <c r="O14" s="252" t="s">
        <v>1394</v>
      </c>
      <c r="P14" s="254" t="s">
        <v>2064</v>
      </c>
    </row>
    <row r="15" spans="1:17" s="262" customFormat="1" ht="16.5" customHeight="1">
      <c r="A15" s="255" t="s">
        <v>2067</v>
      </c>
      <c r="B15" s="256" t="s">
        <v>3299</v>
      </c>
      <c r="C15" s="256" t="s">
        <v>2068</v>
      </c>
      <c r="D15" s="257" t="s">
        <v>1412</v>
      </c>
      <c r="E15" s="257" t="s">
        <v>2069</v>
      </c>
      <c r="F15" s="256"/>
      <c r="G15" s="256" t="s">
        <v>2070</v>
      </c>
      <c r="H15" s="256" t="s">
        <v>2071</v>
      </c>
      <c r="I15" s="256"/>
      <c r="J15" s="256"/>
      <c r="K15" s="258"/>
      <c r="L15" s="257"/>
      <c r="M15" s="256"/>
      <c r="N15" s="256"/>
      <c r="O15" s="259"/>
      <c r="P15" s="260"/>
      <c r="Q15" s="261"/>
    </row>
    <row r="16" spans="1:17" s="262" customFormat="1" ht="36">
      <c r="A16" s="255" t="s">
        <v>2072</v>
      </c>
      <c r="B16" s="256" t="s">
        <v>3300</v>
      </c>
      <c r="C16" s="256" t="s">
        <v>2073</v>
      </c>
      <c r="D16" s="257"/>
      <c r="E16" s="257" t="s">
        <v>515</v>
      </c>
      <c r="F16" s="257"/>
      <c r="G16" s="256" t="s">
        <v>1424</v>
      </c>
      <c r="H16" s="313" t="s">
        <v>2074</v>
      </c>
      <c r="I16" s="256"/>
      <c r="J16" s="256"/>
      <c r="K16" s="258"/>
      <c r="L16" s="257"/>
      <c r="M16" s="256"/>
      <c r="N16" s="256"/>
      <c r="O16" s="259"/>
      <c r="P16" s="260"/>
      <c r="Q16" s="261"/>
    </row>
    <row r="17" spans="1:17" s="262" customFormat="1" ht="16.5" customHeight="1">
      <c r="A17" s="255" t="s">
        <v>2072</v>
      </c>
      <c r="B17" s="256" t="s">
        <v>3301</v>
      </c>
      <c r="C17" s="256" t="s">
        <v>1440</v>
      </c>
      <c r="D17" s="257"/>
      <c r="E17" s="257" t="s">
        <v>515</v>
      </c>
      <c r="F17" s="256"/>
      <c r="G17" s="256" t="s">
        <v>1425</v>
      </c>
      <c r="H17" s="256" t="s">
        <v>2075</v>
      </c>
      <c r="I17" s="256"/>
      <c r="J17" s="256"/>
      <c r="K17" s="258"/>
      <c r="L17" s="257"/>
      <c r="M17" s="256"/>
      <c r="N17" s="256"/>
      <c r="O17" s="259"/>
      <c r="P17" s="260"/>
      <c r="Q17" s="261"/>
    </row>
    <row r="18" spans="1:17" s="265" customFormat="1" ht="156">
      <c r="A18" s="255" t="s">
        <v>2072</v>
      </c>
      <c r="B18" s="256" t="s">
        <v>3302</v>
      </c>
      <c r="C18" s="256" t="s">
        <v>1645</v>
      </c>
      <c r="D18" s="257"/>
      <c r="E18" s="257"/>
      <c r="F18" s="256" t="s">
        <v>2076</v>
      </c>
      <c r="G18" s="256" t="s">
        <v>1849</v>
      </c>
      <c r="H18" s="263" t="s">
        <v>2077</v>
      </c>
      <c r="I18" s="256"/>
      <c r="J18" s="256"/>
      <c r="K18" s="258"/>
      <c r="L18" s="257"/>
      <c r="M18" s="256"/>
      <c r="N18" s="256"/>
      <c r="O18" s="259"/>
      <c r="P18" s="260"/>
      <c r="Q18" s="264"/>
    </row>
    <row r="19" spans="1:17" s="265" customFormat="1" ht="16.5" customHeight="1">
      <c r="A19" s="255" t="s">
        <v>2078</v>
      </c>
      <c r="B19" s="266" t="s">
        <v>3303</v>
      </c>
      <c r="C19" s="266" t="s">
        <v>2079</v>
      </c>
      <c r="D19" s="314"/>
      <c r="E19" s="314"/>
      <c r="F19" s="266"/>
      <c r="G19" s="266" t="s">
        <v>1851</v>
      </c>
      <c r="H19" s="266" t="s">
        <v>2080</v>
      </c>
      <c r="I19" s="256"/>
      <c r="J19" s="256"/>
      <c r="K19" s="258"/>
      <c r="L19" s="257"/>
      <c r="M19" s="256"/>
      <c r="N19" s="256"/>
      <c r="O19" s="259"/>
      <c r="P19" s="260"/>
      <c r="Q19" s="264"/>
    </row>
    <row r="20" spans="1:17" s="265" customFormat="1" ht="16.5" customHeight="1">
      <c r="A20" s="255" t="s">
        <v>2072</v>
      </c>
      <c r="B20" s="256" t="s">
        <v>3306</v>
      </c>
      <c r="C20" s="256" t="s">
        <v>1434</v>
      </c>
      <c r="D20" s="257"/>
      <c r="E20" s="257" t="s">
        <v>515</v>
      </c>
      <c r="F20" s="256">
        <v>1</v>
      </c>
      <c r="G20" s="256" t="s">
        <v>2082</v>
      </c>
      <c r="H20" s="256" t="s">
        <v>410</v>
      </c>
      <c r="I20" s="256" t="s">
        <v>2083</v>
      </c>
      <c r="J20" s="256" t="s">
        <v>2081</v>
      </c>
      <c r="K20" s="258" t="s">
        <v>1434</v>
      </c>
      <c r="L20" s="257"/>
      <c r="M20" s="256"/>
      <c r="N20" s="256"/>
      <c r="O20" s="259"/>
      <c r="P20" s="260"/>
      <c r="Q20" s="264"/>
    </row>
    <row r="21" spans="1:17" s="265" customFormat="1" ht="16.5" customHeight="1">
      <c r="A21" s="255" t="s">
        <v>2072</v>
      </c>
      <c r="B21" s="256" t="s">
        <v>1538</v>
      </c>
      <c r="C21" s="256" t="s">
        <v>1435</v>
      </c>
      <c r="D21" s="257"/>
      <c r="E21" s="257"/>
      <c r="F21" s="256"/>
      <c r="G21" s="256" t="s">
        <v>76</v>
      </c>
      <c r="H21" s="256"/>
      <c r="I21" s="256"/>
      <c r="J21" s="256"/>
      <c r="K21" s="258"/>
      <c r="L21" s="257"/>
      <c r="M21" s="256"/>
      <c r="N21" s="256"/>
      <c r="O21" s="259"/>
      <c r="P21" s="260"/>
      <c r="Q21" s="264"/>
    </row>
    <row r="22" spans="1:17" s="265" customFormat="1" ht="16.5" customHeight="1">
      <c r="A22" s="255" t="s">
        <v>2067</v>
      </c>
      <c r="B22" s="256" t="s">
        <v>1539</v>
      </c>
      <c r="C22" s="256" t="s">
        <v>1436</v>
      </c>
      <c r="D22" s="257"/>
      <c r="E22" s="257" t="s">
        <v>515</v>
      </c>
      <c r="F22" s="256"/>
      <c r="G22" s="256" t="s">
        <v>2084</v>
      </c>
      <c r="H22" s="256" t="s">
        <v>2085</v>
      </c>
      <c r="I22" s="256" t="s">
        <v>1861</v>
      </c>
      <c r="J22" s="256" t="s">
        <v>1439</v>
      </c>
      <c r="K22" s="258" t="s">
        <v>1436</v>
      </c>
      <c r="L22" s="257"/>
      <c r="M22" s="256"/>
      <c r="N22" s="256"/>
      <c r="O22" s="259"/>
      <c r="P22" s="260"/>
      <c r="Q22" s="264"/>
    </row>
    <row r="23" spans="1:17" s="265" customFormat="1" ht="16.5" customHeight="1">
      <c r="A23" s="255" t="s">
        <v>2072</v>
      </c>
      <c r="B23" s="256" t="s">
        <v>1541</v>
      </c>
      <c r="C23" s="256" t="s">
        <v>2079</v>
      </c>
      <c r="D23" s="257"/>
      <c r="E23" s="257" t="s">
        <v>515</v>
      </c>
      <c r="F23" s="256"/>
      <c r="G23" s="256" t="s">
        <v>1441</v>
      </c>
      <c r="H23" s="256" t="s">
        <v>2086</v>
      </c>
      <c r="I23" s="256" t="s">
        <v>2087</v>
      </c>
      <c r="J23" s="256" t="s">
        <v>1442</v>
      </c>
      <c r="K23" s="258" t="s">
        <v>1443</v>
      </c>
      <c r="L23" s="257"/>
      <c r="M23" s="256"/>
      <c r="N23" s="256"/>
      <c r="O23" s="259"/>
      <c r="P23" s="260"/>
      <c r="Q23" s="264"/>
    </row>
    <row r="24" spans="1:17" s="265" customFormat="1" ht="16.5" customHeight="1">
      <c r="A24" s="255" t="s">
        <v>2072</v>
      </c>
      <c r="B24" s="256" t="s">
        <v>1544</v>
      </c>
      <c r="C24" s="256" t="s">
        <v>2088</v>
      </c>
      <c r="D24" s="257"/>
      <c r="E24" s="257"/>
      <c r="F24" s="256"/>
      <c r="G24" s="256" t="s">
        <v>2089</v>
      </c>
      <c r="H24" s="256" t="s">
        <v>1445</v>
      </c>
      <c r="I24" s="256" t="s">
        <v>1871</v>
      </c>
      <c r="J24" s="256" t="s">
        <v>2090</v>
      </c>
      <c r="K24" s="258" t="s">
        <v>2091</v>
      </c>
      <c r="L24" s="257"/>
      <c r="M24" s="256"/>
      <c r="N24" s="256"/>
      <c r="O24" s="259"/>
      <c r="P24" s="260"/>
      <c r="Q24" s="264"/>
    </row>
    <row r="25" spans="1:17" s="265" customFormat="1" ht="16.5" customHeight="1">
      <c r="A25" s="255" t="s">
        <v>2072</v>
      </c>
      <c r="B25" s="256" t="s">
        <v>1546</v>
      </c>
      <c r="C25" s="256" t="s">
        <v>2079</v>
      </c>
      <c r="D25" s="257"/>
      <c r="E25" s="257"/>
      <c r="F25" s="256"/>
      <c r="G25" s="256" t="s">
        <v>2092</v>
      </c>
      <c r="H25" s="256" t="s">
        <v>2093</v>
      </c>
      <c r="I25" s="256" t="s">
        <v>1861</v>
      </c>
      <c r="J25" s="256" t="s">
        <v>2094</v>
      </c>
      <c r="K25" s="258" t="s">
        <v>1443</v>
      </c>
      <c r="L25" s="257"/>
      <c r="M25" s="256"/>
      <c r="N25" s="256"/>
      <c r="O25" s="259"/>
      <c r="P25" s="260"/>
      <c r="Q25" s="264"/>
    </row>
    <row r="26" spans="1:17">
      <c r="A26" s="274"/>
      <c r="B26" s="304"/>
      <c r="C26" s="275"/>
      <c r="D26" s="276"/>
      <c r="E26" s="276"/>
      <c r="F26" s="276"/>
      <c r="G26" s="275"/>
      <c r="H26" s="275"/>
      <c r="I26" s="270" t="s">
        <v>2095</v>
      </c>
      <c r="J26" s="297" t="s">
        <v>2096</v>
      </c>
      <c r="K26" s="270" t="s">
        <v>2097</v>
      </c>
      <c r="L26" s="269" t="s">
        <v>2098</v>
      </c>
      <c r="M26" s="269" t="s">
        <v>2069</v>
      </c>
      <c r="N26" s="269"/>
      <c r="O26" s="270" t="s">
        <v>2099</v>
      </c>
      <c r="P26" s="271" t="s">
        <v>2100</v>
      </c>
      <c r="Q26" s="319"/>
    </row>
    <row r="27" spans="1:17" ht="24">
      <c r="A27" s="274"/>
      <c r="B27" s="304"/>
      <c r="C27" s="275"/>
      <c r="D27" s="276"/>
      <c r="E27" s="276"/>
      <c r="F27" s="276"/>
      <c r="G27" s="275"/>
      <c r="H27" s="275"/>
      <c r="I27" s="270" t="s">
        <v>1877</v>
      </c>
      <c r="J27" s="270" t="s">
        <v>2101</v>
      </c>
      <c r="K27" s="270" t="s">
        <v>2091</v>
      </c>
      <c r="L27" s="269"/>
      <c r="M27" s="269"/>
      <c r="N27" s="269"/>
      <c r="O27" s="270" t="s">
        <v>2102</v>
      </c>
      <c r="P27" s="320" t="s">
        <v>2103</v>
      </c>
      <c r="Q27" s="319"/>
    </row>
    <row r="28" spans="1:17">
      <c r="A28" s="274"/>
      <c r="B28" s="304"/>
      <c r="C28" s="275"/>
      <c r="D28" s="276"/>
      <c r="E28" s="276"/>
      <c r="F28" s="276"/>
      <c r="G28" s="275"/>
      <c r="H28" s="275"/>
      <c r="I28" s="275" t="s">
        <v>2095</v>
      </c>
      <c r="J28" s="305" t="s">
        <v>2104</v>
      </c>
      <c r="K28" s="275" t="s">
        <v>2105</v>
      </c>
      <c r="L28" s="276" t="s">
        <v>2061</v>
      </c>
      <c r="M28" s="276" t="s">
        <v>57</v>
      </c>
      <c r="N28" s="276"/>
      <c r="O28" s="275" t="s">
        <v>692</v>
      </c>
      <c r="P28" s="321" t="s">
        <v>2106</v>
      </c>
      <c r="Q28" s="319"/>
    </row>
    <row r="29" spans="1:17">
      <c r="A29" s="274" t="s">
        <v>2067</v>
      </c>
      <c r="B29" s="268" t="s">
        <v>2107</v>
      </c>
      <c r="C29" s="268" t="s">
        <v>2108</v>
      </c>
      <c r="D29" s="269" t="s">
        <v>2061</v>
      </c>
      <c r="E29" s="322" t="s">
        <v>57</v>
      </c>
      <c r="F29" s="269">
        <v>1000</v>
      </c>
      <c r="G29" s="268" t="s">
        <v>2109</v>
      </c>
      <c r="H29" s="270" t="s">
        <v>2110</v>
      </c>
      <c r="I29" s="280" t="s">
        <v>2111</v>
      </c>
      <c r="J29" s="323" t="s">
        <v>2112</v>
      </c>
      <c r="K29" s="280" t="s">
        <v>2113</v>
      </c>
      <c r="L29" s="285"/>
      <c r="M29" s="285" t="s">
        <v>2114</v>
      </c>
      <c r="N29" s="285"/>
      <c r="O29" s="280" t="s">
        <v>2115</v>
      </c>
      <c r="P29" s="324" t="s">
        <v>2116</v>
      </c>
      <c r="Q29" s="319"/>
    </row>
    <row r="30" spans="1:17">
      <c r="A30" s="274" t="s">
        <v>2067</v>
      </c>
      <c r="B30" s="268" t="s">
        <v>2117</v>
      </c>
      <c r="C30" s="268" t="s">
        <v>2108</v>
      </c>
      <c r="D30" s="269" t="s">
        <v>1412</v>
      </c>
      <c r="E30" s="322" t="s">
        <v>2069</v>
      </c>
      <c r="F30" s="269">
        <v>1000</v>
      </c>
      <c r="G30" s="268" t="s">
        <v>1452</v>
      </c>
      <c r="H30" s="270" t="s">
        <v>1920</v>
      </c>
      <c r="I30" s="280" t="s">
        <v>1855</v>
      </c>
      <c r="J30" s="323" t="s">
        <v>1894</v>
      </c>
      <c r="K30" s="280" t="s">
        <v>2113</v>
      </c>
      <c r="L30" s="285"/>
      <c r="M30" s="285" t="s">
        <v>2069</v>
      </c>
      <c r="N30" s="285"/>
      <c r="O30" s="280" t="s">
        <v>2118</v>
      </c>
      <c r="P30" s="324" t="s">
        <v>1957</v>
      </c>
      <c r="Q30" s="319"/>
    </row>
    <row r="31" spans="1:17">
      <c r="A31" s="274" t="s">
        <v>2067</v>
      </c>
      <c r="B31" s="304" t="s">
        <v>2119</v>
      </c>
      <c r="C31" s="310" t="s">
        <v>2120</v>
      </c>
      <c r="D31" s="269" t="s">
        <v>2061</v>
      </c>
      <c r="E31" s="322" t="s">
        <v>57</v>
      </c>
      <c r="F31" s="276"/>
      <c r="G31" s="275" t="s">
        <v>2121</v>
      </c>
      <c r="H31" s="270" t="s">
        <v>2110</v>
      </c>
      <c r="I31" s="270" t="s">
        <v>2111</v>
      </c>
      <c r="J31" s="270" t="s">
        <v>2122</v>
      </c>
      <c r="K31" s="270" t="s">
        <v>2123</v>
      </c>
      <c r="L31" s="269"/>
      <c r="M31" s="269"/>
      <c r="N31" s="269"/>
      <c r="O31" s="270" t="s">
        <v>2124</v>
      </c>
      <c r="P31" s="320"/>
      <c r="Q31" s="319"/>
    </row>
    <row r="32" spans="1:17">
      <c r="A32" s="274" t="s">
        <v>2067</v>
      </c>
      <c r="B32" s="304" t="s">
        <v>2125</v>
      </c>
      <c r="C32" s="310" t="s">
        <v>2126</v>
      </c>
      <c r="D32" s="269" t="s">
        <v>2061</v>
      </c>
      <c r="E32" s="322" t="s">
        <v>2069</v>
      </c>
      <c r="F32" s="276"/>
      <c r="G32" s="275" t="s">
        <v>2127</v>
      </c>
      <c r="H32" s="270" t="s">
        <v>1979</v>
      </c>
      <c r="I32" s="280" t="s">
        <v>2128</v>
      </c>
      <c r="J32" s="280" t="s">
        <v>2129</v>
      </c>
      <c r="K32" s="280" t="s">
        <v>2130</v>
      </c>
      <c r="L32" s="285"/>
      <c r="M32" s="285"/>
      <c r="N32" s="285"/>
      <c r="O32" s="280" t="s">
        <v>2131</v>
      </c>
      <c r="P32" s="324" t="s">
        <v>2132</v>
      </c>
      <c r="Q32" s="319"/>
    </row>
    <row r="33" spans="1:17">
      <c r="A33" s="274" t="s">
        <v>2072</v>
      </c>
      <c r="B33" s="304" t="s">
        <v>2133</v>
      </c>
      <c r="C33" s="311" t="s">
        <v>1911</v>
      </c>
      <c r="D33" s="276"/>
      <c r="E33" s="276"/>
      <c r="F33" s="276" t="s">
        <v>2134</v>
      </c>
      <c r="G33" s="275" t="s">
        <v>2135</v>
      </c>
      <c r="H33" s="270" t="s">
        <v>1920</v>
      </c>
      <c r="I33" s="280" t="s">
        <v>1877</v>
      </c>
      <c r="J33" s="280" t="s">
        <v>2136</v>
      </c>
      <c r="K33" s="280" t="s">
        <v>2091</v>
      </c>
      <c r="L33" s="285"/>
      <c r="M33" s="285"/>
      <c r="N33" s="285"/>
      <c r="O33" s="280" t="s">
        <v>2137</v>
      </c>
      <c r="P33" s="324" t="s">
        <v>2138</v>
      </c>
      <c r="Q33" s="319"/>
    </row>
    <row r="34" spans="1:17">
      <c r="A34" s="274" t="s">
        <v>2067</v>
      </c>
      <c r="B34" s="304" t="s">
        <v>2139</v>
      </c>
      <c r="C34" s="311" t="s">
        <v>2140</v>
      </c>
      <c r="D34" s="276"/>
      <c r="E34" s="276"/>
      <c r="F34" s="276">
        <v>0</v>
      </c>
      <c r="G34" s="275" t="s">
        <v>2141</v>
      </c>
      <c r="H34" s="270" t="s">
        <v>2142</v>
      </c>
      <c r="I34" s="280" t="s">
        <v>2128</v>
      </c>
      <c r="J34" s="280" t="s">
        <v>1921</v>
      </c>
      <c r="K34" s="280" t="s">
        <v>2143</v>
      </c>
      <c r="L34" s="285"/>
      <c r="M34" s="285"/>
      <c r="N34" s="285"/>
      <c r="O34" s="280" t="s">
        <v>2144</v>
      </c>
      <c r="P34" s="324" t="s">
        <v>2145</v>
      </c>
      <c r="Q34" s="319"/>
    </row>
    <row r="35" spans="1:17" ht="24">
      <c r="A35" s="274"/>
      <c r="B35" s="325"/>
      <c r="C35" s="316"/>
      <c r="D35" s="317"/>
      <c r="E35" s="317"/>
      <c r="F35" s="317"/>
      <c r="G35" s="316"/>
      <c r="H35" s="316"/>
      <c r="I35" s="326" t="s">
        <v>2111</v>
      </c>
      <c r="J35" s="312" t="s">
        <v>1213</v>
      </c>
      <c r="K35" s="326" t="s">
        <v>2130</v>
      </c>
      <c r="L35" s="327"/>
      <c r="M35" s="327" t="s">
        <v>2114</v>
      </c>
      <c r="N35" s="327"/>
      <c r="O35" s="326" t="s">
        <v>1926</v>
      </c>
      <c r="P35" s="328" t="s">
        <v>2146</v>
      </c>
      <c r="Q35" s="319"/>
    </row>
    <row r="36" spans="1:17" ht="24">
      <c r="A36" s="274" t="s">
        <v>2072</v>
      </c>
      <c r="B36" s="304" t="s">
        <v>2147</v>
      </c>
      <c r="C36" s="275" t="s">
        <v>1447</v>
      </c>
      <c r="D36" s="276"/>
      <c r="E36" s="276"/>
      <c r="F36" s="276"/>
      <c r="G36" s="275" t="s">
        <v>2148</v>
      </c>
      <c r="H36" s="270" t="s">
        <v>1920</v>
      </c>
      <c r="I36" s="280" t="s">
        <v>2111</v>
      </c>
      <c r="J36" s="331" t="s">
        <v>2149</v>
      </c>
      <c r="K36" s="280" t="s">
        <v>2113</v>
      </c>
      <c r="L36" s="285"/>
      <c r="M36" s="285"/>
      <c r="N36" s="285"/>
      <c r="O36" s="286" t="s">
        <v>2150</v>
      </c>
      <c r="P36" s="287" t="s">
        <v>1982</v>
      </c>
      <c r="Q36" s="319"/>
    </row>
    <row r="37" spans="1:17" ht="24">
      <c r="A37" s="274" t="s">
        <v>2072</v>
      </c>
      <c r="B37" s="304" t="s">
        <v>2151</v>
      </c>
      <c r="C37" s="275" t="s">
        <v>1447</v>
      </c>
      <c r="D37" s="276"/>
      <c r="E37" s="276"/>
      <c r="F37" s="276"/>
      <c r="G37" s="275" t="s">
        <v>2152</v>
      </c>
      <c r="H37" s="281" t="s">
        <v>1985</v>
      </c>
      <c r="I37" s="280" t="s">
        <v>2111</v>
      </c>
      <c r="J37" s="331" t="s">
        <v>2153</v>
      </c>
      <c r="K37" s="280" t="s">
        <v>2113</v>
      </c>
      <c r="L37" s="285"/>
      <c r="M37" s="285" t="s">
        <v>2114</v>
      </c>
      <c r="N37" s="285"/>
      <c r="O37" s="286" t="s">
        <v>2154</v>
      </c>
      <c r="P37" s="287" t="s">
        <v>1494</v>
      </c>
      <c r="Q37" s="319"/>
    </row>
    <row r="38" spans="1:17">
      <c r="A38" s="274" t="s">
        <v>2072</v>
      </c>
      <c r="B38" s="304" t="s">
        <v>2155</v>
      </c>
      <c r="C38" s="275" t="s">
        <v>2156</v>
      </c>
      <c r="D38" s="276"/>
      <c r="E38" s="276"/>
      <c r="F38" s="276"/>
      <c r="G38" s="275" t="s">
        <v>2157</v>
      </c>
      <c r="H38" s="270" t="s">
        <v>1920</v>
      </c>
      <c r="I38" s="280" t="s">
        <v>1855</v>
      </c>
      <c r="J38" s="331" t="s">
        <v>2158</v>
      </c>
      <c r="K38" s="280" t="s">
        <v>2159</v>
      </c>
      <c r="L38" s="285"/>
      <c r="M38" s="285" t="s">
        <v>2069</v>
      </c>
      <c r="N38" s="285"/>
      <c r="O38" s="280" t="s">
        <v>2160</v>
      </c>
      <c r="P38" s="287" t="s">
        <v>2161</v>
      </c>
      <c r="Q38" s="319"/>
    </row>
    <row r="39" spans="1:17">
      <c r="A39" s="274" t="s">
        <v>2162</v>
      </c>
      <c r="B39" s="304" t="s">
        <v>2163</v>
      </c>
      <c r="C39" s="275" t="s">
        <v>2156</v>
      </c>
      <c r="D39" s="276"/>
      <c r="E39" s="276"/>
      <c r="F39" s="276"/>
      <c r="G39" s="275" t="s">
        <v>2164</v>
      </c>
      <c r="H39" s="270" t="s">
        <v>2142</v>
      </c>
      <c r="I39" s="280" t="s">
        <v>1855</v>
      </c>
      <c r="J39" s="331" t="s">
        <v>2165</v>
      </c>
      <c r="K39" s="280" t="s">
        <v>2159</v>
      </c>
      <c r="L39" s="285"/>
      <c r="M39" s="285"/>
      <c r="N39" s="285"/>
      <c r="O39" s="280" t="s">
        <v>2166</v>
      </c>
      <c r="P39" s="287" t="s">
        <v>2161</v>
      </c>
      <c r="Q39" s="319"/>
    </row>
    <row r="40" spans="1:17">
      <c r="A40" s="274" t="s">
        <v>2067</v>
      </c>
      <c r="B40" s="304" t="s">
        <v>2167</v>
      </c>
      <c r="C40" s="275" t="s">
        <v>2168</v>
      </c>
      <c r="D40" s="276"/>
      <c r="E40" s="276"/>
      <c r="F40" s="276"/>
      <c r="G40" s="275" t="s">
        <v>2169</v>
      </c>
      <c r="H40" s="275"/>
      <c r="I40" s="275"/>
      <c r="J40" s="305"/>
      <c r="K40" s="275"/>
      <c r="L40" s="276"/>
      <c r="M40" s="276"/>
      <c r="N40" s="276"/>
      <c r="O40" s="275"/>
      <c r="P40" s="320" t="s">
        <v>1450</v>
      </c>
      <c r="Q40" s="319"/>
    </row>
    <row r="41" spans="1:17">
      <c r="A41" s="274" t="s">
        <v>2072</v>
      </c>
      <c r="B41" s="304" t="s">
        <v>2170</v>
      </c>
      <c r="C41" s="275" t="s">
        <v>2168</v>
      </c>
      <c r="D41" s="276"/>
      <c r="E41" s="276"/>
      <c r="F41" s="276"/>
      <c r="G41" s="275" t="s">
        <v>2171</v>
      </c>
      <c r="H41" s="275"/>
      <c r="I41" s="270" t="s">
        <v>1855</v>
      </c>
      <c r="J41" s="297" t="s">
        <v>2172</v>
      </c>
      <c r="K41" s="270" t="s">
        <v>2173</v>
      </c>
      <c r="L41" s="269"/>
      <c r="M41" s="269" t="s">
        <v>2114</v>
      </c>
      <c r="N41" s="269"/>
      <c r="O41" s="270" t="s">
        <v>1944</v>
      </c>
      <c r="P41" s="277"/>
      <c r="Q41" s="319"/>
    </row>
    <row r="42" spans="1:17">
      <c r="A42" s="274" t="s">
        <v>2072</v>
      </c>
      <c r="B42" s="304" t="s">
        <v>1618</v>
      </c>
      <c r="C42" s="275" t="s">
        <v>2174</v>
      </c>
      <c r="D42" s="276"/>
      <c r="E42" s="276"/>
      <c r="F42" s="276"/>
      <c r="G42" s="275" t="s">
        <v>2175</v>
      </c>
      <c r="H42" s="275"/>
      <c r="I42" s="275"/>
      <c r="J42" s="305"/>
      <c r="K42" s="275"/>
      <c r="L42" s="276"/>
      <c r="M42" s="276"/>
      <c r="N42" s="276"/>
      <c r="O42" s="275"/>
      <c r="P42" s="271" t="s">
        <v>2176</v>
      </c>
      <c r="Q42" s="319"/>
    </row>
    <row r="43" spans="1:17">
      <c r="A43" s="274" t="s">
        <v>2177</v>
      </c>
      <c r="B43" s="304" t="s">
        <v>1621</v>
      </c>
      <c r="C43" s="275" t="s">
        <v>1561</v>
      </c>
      <c r="D43" s="276"/>
      <c r="E43" s="276"/>
      <c r="F43" s="276"/>
      <c r="G43" s="275" t="s">
        <v>2178</v>
      </c>
      <c r="H43" s="275"/>
      <c r="I43" s="270" t="s">
        <v>2083</v>
      </c>
      <c r="J43" s="333" t="s">
        <v>2179</v>
      </c>
      <c r="K43" s="275" t="s">
        <v>2180</v>
      </c>
      <c r="L43" s="269"/>
      <c r="M43" s="269"/>
      <c r="N43" s="269"/>
      <c r="O43" s="270" t="s">
        <v>1963</v>
      </c>
      <c r="P43" s="277"/>
      <c r="Q43" s="319"/>
    </row>
    <row r="44" spans="1:17">
      <c r="A44" s="274" t="s">
        <v>2072</v>
      </c>
      <c r="B44" s="304" t="s">
        <v>1624</v>
      </c>
      <c r="C44" s="275" t="s">
        <v>2174</v>
      </c>
      <c r="D44" s="276"/>
      <c r="E44" s="276"/>
      <c r="F44" s="276"/>
      <c r="G44" s="275" t="s">
        <v>2181</v>
      </c>
      <c r="H44" s="275"/>
      <c r="I44" s="275"/>
      <c r="J44" s="305"/>
      <c r="K44" s="275"/>
      <c r="L44" s="276"/>
      <c r="M44" s="276"/>
      <c r="N44" s="276"/>
      <c r="O44" s="275"/>
      <c r="P44" s="271" t="s">
        <v>2176</v>
      </c>
      <c r="Q44" s="319"/>
    </row>
    <row r="45" spans="1:17">
      <c r="A45" s="274" t="s">
        <v>2067</v>
      </c>
      <c r="B45" s="304" t="s">
        <v>1626</v>
      </c>
      <c r="C45" s="275" t="s">
        <v>1453</v>
      </c>
      <c r="D45" s="276"/>
      <c r="E45" s="276"/>
      <c r="F45" s="276"/>
      <c r="G45" s="275" t="s">
        <v>2182</v>
      </c>
      <c r="H45" s="275"/>
      <c r="I45" s="275"/>
      <c r="J45" s="305"/>
      <c r="K45" s="275"/>
      <c r="L45" s="276"/>
      <c r="M45" s="276"/>
      <c r="N45" s="276"/>
      <c r="O45" s="275"/>
      <c r="P45" s="271" t="s">
        <v>1450</v>
      </c>
      <c r="Q45" s="319"/>
    </row>
    <row r="46" spans="1:17">
      <c r="A46" s="274" t="s">
        <v>2072</v>
      </c>
      <c r="B46" s="304" t="s">
        <v>2183</v>
      </c>
      <c r="C46" s="275" t="s">
        <v>1464</v>
      </c>
      <c r="D46" s="276"/>
      <c r="E46" s="276"/>
      <c r="F46" s="276"/>
      <c r="G46" s="275" t="s">
        <v>2184</v>
      </c>
      <c r="H46" s="275"/>
      <c r="I46" s="275" t="s">
        <v>1877</v>
      </c>
      <c r="J46" s="305" t="s">
        <v>2185</v>
      </c>
      <c r="K46" s="275" t="s">
        <v>1551</v>
      </c>
      <c r="L46" s="276"/>
      <c r="M46" s="276" t="s">
        <v>2069</v>
      </c>
      <c r="N46" s="276"/>
      <c r="O46" s="275" t="s">
        <v>1455</v>
      </c>
      <c r="P46" s="329" t="s">
        <v>2186</v>
      </c>
      <c r="Q46" s="319"/>
    </row>
    <row r="47" spans="1:17">
      <c r="A47" s="274" t="s">
        <v>2072</v>
      </c>
      <c r="B47" s="304" t="s">
        <v>2187</v>
      </c>
      <c r="C47" s="275" t="s">
        <v>2188</v>
      </c>
      <c r="D47" s="276"/>
      <c r="E47" s="276"/>
      <c r="F47" s="276"/>
      <c r="G47" s="275" t="s">
        <v>133</v>
      </c>
      <c r="H47" s="275"/>
      <c r="I47" s="275" t="s">
        <v>2128</v>
      </c>
      <c r="J47" s="303" t="s">
        <v>844</v>
      </c>
      <c r="K47" s="275" t="s">
        <v>2130</v>
      </c>
      <c r="L47" s="276"/>
      <c r="M47" s="276" t="s">
        <v>1930</v>
      </c>
      <c r="N47" s="276"/>
      <c r="O47" s="275" t="s">
        <v>133</v>
      </c>
      <c r="P47" s="277"/>
      <c r="Q47" s="319"/>
    </row>
    <row r="48" spans="1:17" ht="24">
      <c r="A48" s="274" t="s">
        <v>2067</v>
      </c>
      <c r="B48" s="304" t="s">
        <v>2189</v>
      </c>
      <c r="C48" s="275" t="s">
        <v>1472</v>
      </c>
      <c r="D48" s="276"/>
      <c r="E48" s="276"/>
      <c r="F48" s="276" t="s">
        <v>2190</v>
      </c>
      <c r="G48" s="275" t="s">
        <v>122</v>
      </c>
      <c r="H48" s="330" t="s">
        <v>2191</v>
      </c>
      <c r="I48" s="275" t="s">
        <v>2111</v>
      </c>
      <c r="J48" s="305" t="s">
        <v>71</v>
      </c>
      <c r="K48" s="275" t="s">
        <v>1597</v>
      </c>
      <c r="L48" s="276"/>
      <c r="M48" s="276"/>
      <c r="N48" s="276"/>
      <c r="O48" s="275" t="s">
        <v>122</v>
      </c>
      <c r="P48" s="277"/>
      <c r="Q48" s="319"/>
    </row>
    <row r="49" spans="1:17" ht="36">
      <c r="A49" s="274" t="s">
        <v>2072</v>
      </c>
      <c r="B49" s="304" t="s">
        <v>2192</v>
      </c>
      <c r="C49" s="275" t="s">
        <v>2193</v>
      </c>
      <c r="D49" s="276"/>
      <c r="E49" s="276"/>
      <c r="F49" s="276" t="s">
        <v>2194</v>
      </c>
      <c r="G49" s="275" t="s">
        <v>1952</v>
      </c>
      <c r="H49" s="330" t="s">
        <v>2195</v>
      </c>
      <c r="I49" s="280" t="s">
        <v>2128</v>
      </c>
      <c r="J49" s="331" t="s">
        <v>2196</v>
      </c>
      <c r="K49" s="280" t="s">
        <v>1645</v>
      </c>
      <c r="L49" s="285"/>
      <c r="M49" s="285"/>
      <c r="N49" s="285"/>
      <c r="O49" s="280" t="s">
        <v>2197</v>
      </c>
      <c r="P49" s="287" t="s">
        <v>1957</v>
      </c>
      <c r="Q49" s="319"/>
    </row>
    <row r="50" spans="1:17">
      <c r="A50" s="274" t="s">
        <v>2067</v>
      </c>
      <c r="B50" s="304" t="s">
        <v>2198</v>
      </c>
      <c r="C50" s="275" t="s">
        <v>1447</v>
      </c>
      <c r="D50" s="276"/>
      <c r="E50" s="276"/>
      <c r="F50" s="276" t="s">
        <v>2190</v>
      </c>
      <c r="G50" s="275" t="s">
        <v>2199</v>
      </c>
      <c r="H50" s="270" t="s">
        <v>2142</v>
      </c>
      <c r="I50" s="280" t="s">
        <v>2111</v>
      </c>
      <c r="J50" s="331" t="s">
        <v>2200</v>
      </c>
      <c r="K50" s="280" t="s">
        <v>2201</v>
      </c>
      <c r="L50" s="285"/>
      <c r="M50" s="285" t="s">
        <v>2202</v>
      </c>
      <c r="N50" s="285"/>
      <c r="O50" s="280" t="s">
        <v>2203</v>
      </c>
      <c r="P50" s="287" t="s">
        <v>2161</v>
      </c>
      <c r="Q50" s="319"/>
    </row>
    <row r="51" spans="1:17">
      <c r="A51" s="274" t="s">
        <v>2162</v>
      </c>
      <c r="B51" s="304" t="s">
        <v>2204</v>
      </c>
      <c r="C51" s="275" t="s">
        <v>1464</v>
      </c>
      <c r="D51" s="276"/>
      <c r="E51" s="276"/>
      <c r="F51" s="276" t="s">
        <v>2190</v>
      </c>
      <c r="G51" s="275" t="s">
        <v>1554</v>
      </c>
      <c r="H51" s="270" t="s">
        <v>1920</v>
      </c>
      <c r="I51" s="275" t="s">
        <v>2111</v>
      </c>
      <c r="J51" s="303" t="s">
        <v>2205</v>
      </c>
      <c r="K51" s="275" t="s">
        <v>1468</v>
      </c>
      <c r="L51" s="276"/>
      <c r="M51" s="276"/>
      <c r="N51" s="276"/>
      <c r="O51" s="275" t="s">
        <v>103</v>
      </c>
      <c r="P51" s="329" t="s">
        <v>2206</v>
      </c>
      <c r="Q51" s="319"/>
    </row>
    <row r="52" spans="1:17">
      <c r="A52" s="274" t="s">
        <v>2072</v>
      </c>
      <c r="B52" s="304" t="s">
        <v>2207</v>
      </c>
      <c r="C52" s="275" t="s">
        <v>1459</v>
      </c>
      <c r="D52" s="276"/>
      <c r="E52" s="276"/>
      <c r="F52" s="276" t="s">
        <v>2208</v>
      </c>
      <c r="G52" s="275" t="s">
        <v>2209</v>
      </c>
      <c r="H52" s="270" t="s">
        <v>2210</v>
      </c>
      <c r="I52" s="280" t="s">
        <v>2006</v>
      </c>
      <c r="J52" s="323" t="s">
        <v>2211</v>
      </c>
      <c r="K52" s="280" t="s">
        <v>2159</v>
      </c>
      <c r="L52" s="285"/>
      <c r="M52" s="285"/>
      <c r="N52" s="285"/>
      <c r="O52" s="280" t="s">
        <v>2212</v>
      </c>
      <c r="P52" s="287" t="s">
        <v>1494</v>
      </c>
      <c r="Q52" s="319"/>
    </row>
    <row r="53" spans="1:17">
      <c r="A53" s="274" t="s">
        <v>2072</v>
      </c>
      <c r="B53" s="304" t="s">
        <v>2213</v>
      </c>
      <c r="C53" s="275" t="s">
        <v>2214</v>
      </c>
      <c r="D53" s="276"/>
      <c r="E53" s="276"/>
      <c r="F53" s="276" t="s">
        <v>2215</v>
      </c>
      <c r="G53" s="275" t="s">
        <v>2216</v>
      </c>
      <c r="H53" s="270" t="s">
        <v>2040</v>
      </c>
      <c r="I53" s="280" t="s">
        <v>2006</v>
      </c>
      <c r="J53" s="323" t="s">
        <v>2217</v>
      </c>
      <c r="K53" s="280" t="s">
        <v>2130</v>
      </c>
      <c r="L53" s="285"/>
      <c r="M53" s="285"/>
      <c r="N53" s="285"/>
      <c r="O53" s="280" t="s">
        <v>2218</v>
      </c>
      <c r="P53" s="287" t="s">
        <v>2161</v>
      </c>
      <c r="Q53" s="319"/>
    </row>
    <row r="54" spans="1:17">
      <c r="A54" s="274" t="s">
        <v>2067</v>
      </c>
      <c r="B54" s="304" t="s">
        <v>2017</v>
      </c>
      <c r="C54" s="275" t="s">
        <v>2018</v>
      </c>
      <c r="D54" s="276"/>
      <c r="E54" s="322" t="s">
        <v>57</v>
      </c>
      <c r="F54" s="276">
        <v>0</v>
      </c>
      <c r="G54" s="275" t="s">
        <v>2020</v>
      </c>
      <c r="H54" s="270" t="s">
        <v>2219</v>
      </c>
      <c r="I54" s="280" t="s">
        <v>2220</v>
      </c>
      <c r="J54" s="323" t="s">
        <v>2221</v>
      </c>
      <c r="K54" s="280" t="s">
        <v>2222</v>
      </c>
      <c r="L54" s="285"/>
      <c r="M54" s="285"/>
      <c r="N54" s="285"/>
      <c r="O54" s="280" t="s">
        <v>2223</v>
      </c>
      <c r="P54" s="287" t="s">
        <v>2224</v>
      </c>
      <c r="Q54" s="319"/>
    </row>
    <row r="55" spans="1:17" ht="24">
      <c r="A55" s="274" t="s">
        <v>2177</v>
      </c>
      <c r="B55" s="304" t="s">
        <v>2024</v>
      </c>
      <c r="C55" s="275" t="s">
        <v>2018</v>
      </c>
      <c r="D55" s="276"/>
      <c r="E55" s="322" t="s">
        <v>57</v>
      </c>
      <c r="F55" s="276">
        <v>0</v>
      </c>
      <c r="G55" s="275" t="s">
        <v>2025</v>
      </c>
      <c r="H55" s="281" t="s">
        <v>2225</v>
      </c>
      <c r="I55" s="280" t="s">
        <v>2006</v>
      </c>
      <c r="J55" s="323" t="s">
        <v>2226</v>
      </c>
      <c r="K55" s="280" t="s">
        <v>2222</v>
      </c>
      <c r="L55" s="285"/>
      <c r="M55" s="285"/>
      <c r="N55" s="285"/>
      <c r="O55" s="280" t="s">
        <v>2227</v>
      </c>
      <c r="P55" s="287" t="s">
        <v>1494</v>
      </c>
      <c r="Q55" s="319"/>
    </row>
    <row r="56" spans="1:17">
      <c r="A56" s="274" t="s">
        <v>2067</v>
      </c>
      <c r="B56" s="304" t="s">
        <v>2228</v>
      </c>
      <c r="C56" s="275" t="s">
        <v>1447</v>
      </c>
      <c r="D56" s="276"/>
      <c r="E56" s="276"/>
      <c r="F56" s="276" t="s">
        <v>2190</v>
      </c>
      <c r="G56" s="275" t="s">
        <v>2229</v>
      </c>
      <c r="H56" s="270" t="s">
        <v>2210</v>
      </c>
      <c r="I56" s="280" t="s">
        <v>1877</v>
      </c>
      <c r="J56" s="323" t="s">
        <v>2230</v>
      </c>
      <c r="K56" s="280" t="s">
        <v>2201</v>
      </c>
      <c r="L56" s="285"/>
      <c r="M56" s="285"/>
      <c r="N56" s="285"/>
      <c r="O56" s="280" t="s">
        <v>2231</v>
      </c>
      <c r="P56" s="287" t="s">
        <v>2161</v>
      </c>
      <c r="Q56" s="319"/>
    </row>
    <row r="57" spans="1:17">
      <c r="A57" s="274" t="s">
        <v>2072</v>
      </c>
      <c r="B57" s="304" t="s">
        <v>2232</v>
      </c>
      <c r="C57" s="275" t="s">
        <v>2233</v>
      </c>
      <c r="D57" s="276"/>
      <c r="E57" s="276"/>
      <c r="F57" s="276" t="s">
        <v>2190</v>
      </c>
      <c r="G57" s="275" t="s">
        <v>2234</v>
      </c>
      <c r="H57" s="270" t="s">
        <v>2235</v>
      </c>
      <c r="I57" s="280" t="s">
        <v>2006</v>
      </c>
      <c r="J57" s="323" t="s">
        <v>2236</v>
      </c>
      <c r="K57" s="280" t="s">
        <v>2237</v>
      </c>
      <c r="L57" s="285"/>
      <c r="M57" s="285"/>
      <c r="N57" s="285"/>
      <c r="O57" s="280" t="s">
        <v>2238</v>
      </c>
      <c r="P57" s="287" t="s">
        <v>2224</v>
      </c>
      <c r="Q57" s="319"/>
    </row>
    <row r="58" spans="1:17">
      <c r="A58" s="274"/>
      <c r="B58" s="304"/>
      <c r="C58" s="275"/>
      <c r="D58" s="276"/>
      <c r="E58" s="276"/>
      <c r="F58" s="276"/>
      <c r="G58" s="275"/>
      <c r="H58" s="275"/>
      <c r="I58" s="275"/>
      <c r="J58" s="305"/>
      <c r="K58" s="275"/>
      <c r="L58" s="276"/>
      <c r="M58" s="276"/>
      <c r="N58" s="276"/>
      <c r="O58" s="275"/>
      <c r="P58" s="277"/>
      <c r="Q58" s="319"/>
    </row>
    <row r="59" spans="1:17">
      <c r="A59" s="274"/>
      <c r="B59" s="304"/>
      <c r="C59" s="275"/>
      <c r="D59" s="276"/>
      <c r="E59" s="276"/>
      <c r="F59" s="276"/>
      <c r="G59" s="275"/>
      <c r="H59" s="275"/>
      <c r="I59" s="275"/>
      <c r="J59" s="305"/>
      <c r="K59" s="275"/>
      <c r="L59" s="276"/>
      <c r="M59" s="276"/>
      <c r="N59" s="276"/>
      <c r="O59" s="275"/>
      <c r="P59" s="277"/>
      <c r="Q59" s="319"/>
    </row>
    <row r="60" spans="1:17">
      <c r="A60" s="274"/>
      <c r="B60" s="56"/>
      <c r="C60" s="275"/>
      <c r="D60" s="276"/>
      <c r="E60" s="276"/>
      <c r="F60" s="276"/>
      <c r="G60" s="275"/>
      <c r="H60" s="275"/>
      <c r="I60" s="275"/>
      <c r="J60" s="275"/>
      <c r="K60" s="275"/>
      <c r="L60" s="276"/>
      <c r="M60" s="276"/>
      <c r="N60" s="276"/>
      <c r="O60" s="275"/>
      <c r="P60" s="277"/>
    </row>
    <row r="61" spans="1:17" ht="17.25" thickBot="1">
      <c r="A61" s="289" t="s">
        <v>2239</v>
      </c>
      <c r="B61" s="557"/>
      <c r="C61" s="557"/>
      <c r="D61" s="557"/>
      <c r="E61" s="557"/>
      <c r="F61" s="557"/>
      <c r="G61" s="557"/>
      <c r="H61" s="557"/>
      <c r="I61" s="557"/>
      <c r="J61" s="557"/>
      <c r="K61" s="557"/>
      <c r="L61" s="557"/>
      <c r="M61" s="557"/>
      <c r="N61" s="557"/>
      <c r="O61" s="557"/>
      <c r="P61" s="558"/>
    </row>
    <row r="62" spans="1:17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</row>
  </sheetData>
  <mergeCells count="17">
    <mergeCell ref="B2:P2"/>
    <mergeCell ref="B3:P3"/>
    <mergeCell ref="B4:P4"/>
    <mergeCell ref="A5:A8"/>
    <mergeCell ref="B5:P8"/>
    <mergeCell ref="B61:P61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2689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90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91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92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93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2694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59"/>
  <sheetViews>
    <sheetView zoomScaleNormal="100" workbookViewId="0">
      <selection activeCell="B5" sqref="B5:P8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54.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2243</v>
      </c>
      <c r="B2" s="546" t="s">
        <v>2244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2245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 customHeight="1">
      <c r="A4" s="309" t="s">
        <v>2246</v>
      </c>
      <c r="B4" s="550" t="s">
        <v>2247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2248</v>
      </c>
      <c r="B5" s="554" t="s">
        <v>2249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2250</v>
      </c>
      <c r="B9" s="559"/>
      <c r="C9" s="559"/>
      <c r="D9" s="559"/>
      <c r="E9" s="559"/>
      <c r="F9" s="559"/>
      <c r="G9" s="559"/>
      <c r="H9" s="559"/>
      <c r="I9" s="250" t="s">
        <v>2251</v>
      </c>
      <c r="J9" s="559" t="s">
        <v>1516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2252</v>
      </c>
      <c r="B10" s="559"/>
      <c r="C10" s="559"/>
      <c r="D10" s="559"/>
      <c r="E10" s="559"/>
      <c r="F10" s="559"/>
      <c r="G10" s="559"/>
      <c r="H10" s="559"/>
      <c r="I10" s="250" t="s">
        <v>2253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1828</v>
      </c>
      <c r="B11" s="563"/>
      <c r="C11" s="563"/>
      <c r="D11" s="563"/>
      <c r="E11" s="563"/>
      <c r="F11" s="563"/>
      <c r="G11" s="563"/>
      <c r="H11" s="563"/>
      <c r="I11" s="564" t="s">
        <v>2254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2255</v>
      </c>
      <c r="B12" s="566" t="s">
        <v>2256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2257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2258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2259</v>
      </c>
      <c r="B14" s="252" t="s">
        <v>1006</v>
      </c>
      <c r="C14" s="252" t="s">
        <v>325</v>
      </c>
      <c r="D14" s="253" t="s">
        <v>1874</v>
      </c>
      <c r="E14" s="252" t="s">
        <v>2260</v>
      </c>
      <c r="F14" s="252" t="s">
        <v>2261</v>
      </c>
      <c r="G14" s="252" t="s">
        <v>1414</v>
      </c>
      <c r="H14" s="252" t="s">
        <v>72</v>
      </c>
      <c r="I14" s="252" t="s">
        <v>2259</v>
      </c>
      <c r="J14" s="252" t="s">
        <v>1006</v>
      </c>
      <c r="K14" s="252" t="s">
        <v>43</v>
      </c>
      <c r="L14" s="253" t="s">
        <v>1874</v>
      </c>
      <c r="M14" s="253" t="s">
        <v>2260</v>
      </c>
      <c r="N14" s="252" t="s">
        <v>2261</v>
      </c>
      <c r="O14" s="252" t="s">
        <v>2248</v>
      </c>
      <c r="P14" s="254" t="s">
        <v>72</v>
      </c>
    </row>
    <row r="15" spans="1:17" s="262" customFormat="1" ht="16.5" customHeight="1">
      <c r="A15" s="255"/>
      <c r="B15" s="256"/>
      <c r="C15" s="256"/>
      <c r="D15" s="257"/>
      <c r="E15" s="257"/>
      <c r="F15" s="256"/>
      <c r="G15" s="256" t="s">
        <v>2262</v>
      </c>
      <c r="H15" s="256" t="s">
        <v>2263</v>
      </c>
      <c r="I15" s="256" t="s">
        <v>2264</v>
      </c>
      <c r="J15" s="256" t="s">
        <v>1535</v>
      </c>
      <c r="K15" s="256" t="s">
        <v>2265</v>
      </c>
      <c r="L15" s="257" t="s">
        <v>2266</v>
      </c>
      <c r="M15" s="257" t="s">
        <v>515</v>
      </c>
      <c r="N15" s="256"/>
      <c r="O15" s="256" t="s">
        <v>2267</v>
      </c>
      <c r="P15" s="256"/>
      <c r="Q15" s="261"/>
    </row>
    <row r="16" spans="1:17" s="262" customFormat="1" ht="24">
      <c r="A16" s="255"/>
      <c r="B16" s="256"/>
      <c r="C16" s="256"/>
      <c r="D16" s="257"/>
      <c r="E16" s="257"/>
      <c r="F16" s="257"/>
      <c r="G16" s="256" t="s">
        <v>2268</v>
      </c>
      <c r="H16" s="313" t="s">
        <v>2269</v>
      </c>
      <c r="I16" s="256" t="s">
        <v>2264</v>
      </c>
      <c r="J16" s="256" t="s">
        <v>3307</v>
      </c>
      <c r="K16" s="256" t="s">
        <v>2270</v>
      </c>
      <c r="L16" s="257"/>
      <c r="M16" s="257" t="s">
        <v>515</v>
      </c>
      <c r="N16" s="257"/>
      <c r="O16" s="256" t="s">
        <v>2271</v>
      </c>
      <c r="P16" s="256"/>
      <c r="Q16" s="261"/>
    </row>
    <row r="17" spans="1:17">
      <c r="A17" s="270" t="s">
        <v>2272</v>
      </c>
      <c r="B17" s="297" t="s">
        <v>2273</v>
      </c>
      <c r="C17" s="270" t="s">
        <v>2274</v>
      </c>
      <c r="D17" s="269"/>
      <c r="E17" s="269" t="s">
        <v>515</v>
      </c>
      <c r="F17" s="269"/>
      <c r="G17" s="270" t="s">
        <v>2275</v>
      </c>
      <c r="H17" s="275" t="s">
        <v>2276</v>
      </c>
      <c r="I17" s="275" t="s">
        <v>2264</v>
      </c>
      <c r="J17" s="275" t="s">
        <v>3380</v>
      </c>
      <c r="K17" s="275" t="s">
        <v>1447</v>
      </c>
      <c r="L17" s="307" t="s">
        <v>2266</v>
      </c>
      <c r="M17" s="276" t="s">
        <v>515</v>
      </c>
      <c r="N17" s="276">
        <v>1000</v>
      </c>
      <c r="O17" s="275" t="s">
        <v>2277</v>
      </c>
      <c r="P17" s="277"/>
      <c r="Q17" s="319"/>
    </row>
    <row r="18" spans="1:17">
      <c r="A18" s="270"/>
      <c r="B18" s="297"/>
      <c r="C18" s="270"/>
      <c r="D18" s="269"/>
      <c r="E18" s="269"/>
      <c r="F18" s="269"/>
      <c r="G18" s="270"/>
      <c r="H18" s="275" t="s">
        <v>2278</v>
      </c>
      <c r="I18" s="275" t="s">
        <v>2264</v>
      </c>
      <c r="J18" s="275" t="s">
        <v>2279</v>
      </c>
      <c r="K18" s="275" t="s">
        <v>1447</v>
      </c>
      <c r="L18" s="307" t="s">
        <v>2266</v>
      </c>
      <c r="M18" s="276" t="s">
        <v>515</v>
      </c>
      <c r="N18" s="276">
        <v>1000</v>
      </c>
      <c r="O18" s="275" t="s">
        <v>2280</v>
      </c>
      <c r="P18" s="277" t="s">
        <v>2281</v>
      </c>
      <c r="Q18" s="319"/>
    </row>
    <row r="19" spans="1:17">
      <c r="A19" s="270" t="s">
        <v>2272</v>
      </c>
      <c r="B19" s="297" t="s">
        <v>2282</v>
      </c>
      <c r="C19" s="270" t="s">
        <v>2274</v>
      </c>
      <c r="D19" s="269"/>
      <c r="E19" s="269" t="s">
        <v>515</v>
      </c>
      <c r="F19" s="269"/>
      <c r="G19" s="270" t="s">
        <v>2283</v>
      </c>
      <c r="H19" s="275" t="s">
        <v>2276</v>
      </c>
      <c r="I19" s="275" t="s">
        <v>2264</v>
      </c>
      <c r="J19" s="275" t="s">
        <v>1664</v>
      </c>
      <c r="K19" s="275" t="s">
        <v>1447</v>
      </c>
      <c r="L19" s="307" t="s">
        <v>2266</v>
      </c>
      <c r="M19" s="276" t="s">
        <v>515</v>
      </c>
      <c r="N19" s="276">
        <v>1000</v>
      </c>
      <c r="O19" s="275" t="s">
        <v>2284</v>
      </c>
      <c r="P19" s="277"/>
      <c r="Q19" s="319"/>
    </row>
    <row r="20" spans="1:17">
      <c r="A20" s="270" t="s">
        <v>2272</v>
      </c>
      <c r="B20" s="338" t="s">
        <v>2285</v>
      </c>
      <c r="C20" s="268" t="s">
        <v>2286</v>
      </c>
      <c r="D20" s="276"/>
      <c r="E20" s="269" t="s">
        <v>515</v>
      </c>
      <c r="F20" s="269"/>
      <c r="G20" s="268" t="s">
        <v>2287</v>
      </c>
      <c r="H20" s="270" t="s">
        <v>2288</v>
      </c>
      <c r="I20" s="275" t="s">
        <v>2264</v>
      </c>
      <c r="J20" s="275" t="s">
        <v>2289</v>
      </c>
      <c r="K20" s="275" t="s">
        <v>2290</v>
      </c>
      <c r="L20" s="307" t="s">
        <v>2266</v>
      </c>
      <c r="M20" s="276" t="s">
        <v>515</v>
      </c>
      <c r="N20" s="276"/>
      <c r="O20" s="275" t="s">
        <v>2291</v>
      </c>
      <c r="P20" s="277" t="s">
        <v>2292</v>
      </c>
      <c r="Q20" s="319"/>
    </row>
    <row r="21" spans="1:17">
      <c r="A21" s="275"/>
      <c r="B21" s="311"/>
      <c r="C21" s="268"/>
      <c r="D21" s="276"/>
      <c r="E21" s="322"/>
      <c r="F21" s="269"/>
      <c r="G21" s="268"/>
      <c r="H21" s="270" t="s">
        <v>2293</v>
      </c>
      <c r="I21" s="275" t="s">
        <v>2294</v>
      </c>
      <c r="J21" s="275" t="s">
        <v>2295</v>
      </c>
      <c r="K21" s="275" t="s">
        <v>2296</v>
      </c>
      <c r="L21" s="307" t="s">
        <v>2266</v>
      </c>
      <c r="M21" s="276" t="s">
        <v>515</v>
      </c>
      <c r="N21" s="276"/>
      <c r="O21" s="275" t="s">
        <v>2297</v>
      </c>
      <c r="P21" s="277" t="s">
        <v>2298</v>
      </c>
      <c r="Q21" s="319"/>
    </row>
    <row r="22" spans="1:17" ht="48">
      <c r="A22" s="326" t="s">
        <v>1924</v>
      </c>
      <c r="B22" s="339" t="s">
        <v>2299</v>
      </c>
      <c r="C22" s="326" t="s">
        <v>2274</v>
      </c>
      <c r="D22" s="327"/>
      <c r="E22" s="327" t="s">
        <v>515</v>
      </c>
      <c r="F22" s="327"/>
      <c r="G22" s="326" t="s">
        <v>2300</v>
      </c>
      <c r="H22" s="340" t="s">
        <v>2301</v>
      </c>
      <c r="I22" s="275" t="s">
        <v>2264</v>
      </c>
      <c r="J22" s="275" t="s">
        <v>2302</v>
      </c>
      <c r="K22" s="275" t="s">
        <v>1447</v>
      </c>
      <c r="L22" s="276"/>
      <c r="M22" s="276" t="s">
        <v>515</v>
      </c>
      <c r="N22" s="276"/>
      <c r="O22" s="275" t="s">
        <v>2303</v>
      </c>
      <c r="P22" s="277" t="s">
        <v>2304</v>
      </c>
      <c r="Q22" s="319"/>
    </row>
    <row r="23" spans="1:17">
      <c r="A23" s="275"/>
      <c r="B23" s="56"/>
      <c r="C23" s="275"/>
      <c r="D23" s="276"/>
      <c r="E23" s="276"/>
      <c r="F23" s="276"/>
      <c r="G23" s="275"/>
      <c r="H23" s="275" t="s">
        <v>2305</v>
      </c>
      <c r="I23" s="275" t="s">
        <v>2264</v>
      </c>
      <c r="J23" s="275" t="s">
        <v>2306</v>
      </c>
      <c r="K23" s="275" t="s">
        <v>1464</v>
      </c>
      <c r="L23" s="276"/>
      <c r="M23" s="276" t="s">
        <v>2019</v>
      </c>
      <c r="N23" s="276" t="s">
        <v>2190</v>
      </c>
      <c r="O23" s="275" t="s">
        <v>2307</v>
      </c>
      <c r="P23" s="277" t="s">
        <v>2308</v>
      </c>
      <c r="Q23" s="319"/>
    </row>
    <row r="24" spans="1:17">
      <c r="A24" s="275"/>
      <c r="B24" s="56"/>
      <c r="C24" s="275"/>
      <c r="D24" s="276"/>
      <c r="E24" s="276"/>
      <c r="F24" s="276"/>
      <c r="G24" s="275"/>
      <c r="H24" s="275" t="s">
        <v>2309</v>
      </c>
      <c r="I24" s="275" t="s">
        <v>2264</v>
      </c>
      <c r="J24" s="275" t="s">
        <v>2310</v>
      </c>
      <c r="K24" s="275" t="s">
        <v>2296</v>
      </c>
      <c r="L24" s="276"/>
      <c r="M24" s="276" t="s">
        <v>2019</v>
      </c>
      <c r="N24" s="276">
        <v>0</v>
      </c>
      <c r="O24" s="275" t="s">
        <v>2311</v>
      </c>
      <c r="P24" s="277" t="s">
        <v>2312</v>
      </c>
      <c r="Q24" s="319"/>
    </row>
    <row r="25" spans="1:17">
      <c r="A25" s="275" t="s">
        <v>2313</v>
      </c>
      <c r="B25" s="56" t="s">
        <v>2314</v>
      </c>
      <c r="C25" s="275" t="s">
        <v>2315</v>
      </c>
      <c r="D25" s="276"/>
      <c r="E25" s="276"/>
      <c r="F25" s="276"/>
      <c r="G25" s="270" t="s">
        <v>2316</v>
      </c>
      <c r="H25" s="270" t="s">
        <v>2317</v>
      </c>
      <c r="I25" s="275" t="s">
        <v>2294</v>
      </c>
      <c r="J25" s="275" t="s">
        <v>2318</v>
      </c>
      <c r="K25" s="275" t="s">
        <v>2168</v>
      </c>
      <c r="L25" s="276"/>
      <c r="M25" s="276" t="s">
        <v>515</v>
      </c>
      <c r="N25" s="276"/>
      <c r="O25" s="275" t="s">
        <v>2319</v>
      </c>
      <c r="P25" s="277" t="s">
        <v>2320</v>
      </c>
      <c r="Q25" s="319"/>
    </row>
    <row r="26" spans="1:17">
      <c r="A26" s="275" t="s">
        <v>2272</v>
      </c>
      <c r="B26" s="56" t="s">
        <v>2321</v>
      </c>
      <c r="C26" s="275" t="s">
        <v>2322</v>
      </c>
      <c r="D26" s="276"/>
      <c r="E26" s="276"/>
      <c r="F26" s="276"/>
      <c r="G26" s="275" t="s">
        <v>2323</v>
      </c>
      <c r="H26" s="275"/>
      <c r="I26" s="275" t="s">
        <v>2264</v>
      </c>
      <c r="J26" s="275" t="s">
        <v>2324</v>
      </c>
      <c r="K26" s="275" t="s">
        <v>1464</v>
      </c>
      <c r="L26" s="276"/>
      <c r="M26" s="276" t="s">
        <v>2019</v>
      </c>
      <c r="N26" s="276" t="s">
        <v>2190</v>
      </c>
      <c r="O26" s="275" t="s">
        <v>2325</v>
      </c>
      <c r="P26" s="277" t="s">
        <v>2326</v>
      </c>
      <c r="Q26" s="319"/>
    </row>
    <row r="27" spans="1:17">
      <c r="A27" s="275" t="s">
        <v>2327</v>
      </c>
      <c r="B27" s="56" t="s">
        <v>2328</v>
      </c>
      <c r="C27" s="275" t="s">
        <v>2329</v>
      </c>
      <c r="D27" s="276"/>
      <c r="E27" s="276"/>
      <c r="F27" s="276"/>
      <c r="G27" s="275" t="s">
        <v>2330</v>
      </c>
      <c r="H27" s="275" t="s">
        <v>2331</v>
      </c>
      <c r="I27" s="275" t="s">
        <v>2264</v>
      </c>
      <c r="J27" s="275" t="s">
        <v>2332</v>
      </c>
      <c r="K27" s="275" t="s">
        <v>2296</v>
      </c>
      <c r="L27" s="276"/>
      <c r="M27" s="276" t="s">
        <v>2019</v>
      </c>
      <c r="N27" s="276">
        <v>0</v>
      </c>
      <c r="O27" s="275" t="s">
        <v>2333</v>
      </c>
      <c r="P27" s="277" t="s">
        <v>2334</v>
      </c>
      <c r="Q27" s="319"/>
    </row>
    <row r="28" spans="1:17">
      <c r="A28" s="275" t="s">
        <v>2006</v>
      </c>
      <c r="B28" s="56" t="s">
        <v>2335</v>
      </c>
      <c r="C28" s="275" t="s">
        <v>2336</v>
      </c>
      <c r="D28" s="276"/>
      <c r="E28" s="276"/>
      <c r="F28" s="276"/>
      <c r="G28" s="275" t="s">
        <v>2337</v>
      </c>
      <c r="H28" s="275" t="s">
        <v>2276</v>
      </c>
      <c r="I28" s="275" t="s">
        <v>2264</v>
      </c>
      <c r="J28" s="275" t="s">
        <v>2338</v>
      </c>
      <c r="K28" s="275" t="s">
        <v>1464</v>
      </c>
      <c r="L28" s="276"/>
      <c r="M28" s="276" t="s">
        <v>2019</v>
      </c>
      <c r="N28" s="276" t="s">
        <v>2190</v>
      </c>
      <c r="O28" s="275" t="s">
        <v>2339</v>
      </c>
      <c r="P28" s="277" t="s">
        <v>2340</v>
      </c>
      <c r="Q28" s="319"/>
    </row>
    <row r="29" spans="1:17">
      <c r="A29" s="275" t="s">
        <v>2006</v>
      </c>
      <c r="B29" s="56" t="s">
        <v>2341</v>
      </c>
      <c r="C29" s="275" t="s">
        <v>2329</v>
      </c>
      <c r="D29" s="276"/>
      <c r="E29" s="276"/>
      <c r="F29" s="276"/>
      <c r="G29" s="275" t="s">
        <v>2342</v>
      </c>
      <c r="H29" s="275" t="s">
        <v>2331</v>
      </c>
      <c r="I29" s="275" t="s">
        <v>2294</v>
      </c>
      <c r="J29" s="275" t="s">
        <v>2343</v>
      </c>
      <c r="K29" s="275" t="s">
        <v>2296</v>
      </c>
      <c r="L29" s="276"/>
      <c r="M29" s="276" t="s">
        <v>2019</v>
      </c>
      <c r="N29" s="276">
        <v>0</v>
      </c>
      <c r="O29" s="275" t="s">
        <v>2344</v>
      </c>
      <c r="P29" s="277" t="s">
        <v>2345</v>
      </c>
      <c r="Q29" s="319"/>
    </row>
    <row r="30" spans="1:17" ht="24">
      <c r="A30" s="275"/>
      <c r="B30" s="56"/>
      <c r="C30" s="275"/>
      <c r="D30" s="276"/>
      <c r="E30" s="276"/>
      <c r="F30" s="276"/>
      <c r="G30" s="275"/>
      <c r="H30" s="340" t="s">
        <v>2346</v>
      </c>
      <c r="I30" s="270" t="s">
        <v>2264</v>
      </c>
      <c r="J30" s="270" t="s">
        <v>2347</v>
      </c>
      <c r="K30" s="270" t="s">
        <v>2193</v>
      </c>
      <c r="L30" s="269"/>
      <c r="M30" s="269" t="s">
        <v>515</v>
      </c>
      <c r="N30" s="269"/>
      <c r="O30" s="270" t="s">
        <v>2348</v>
      </c>
      <c r="P30" s="271" t="s">
        <v>2349</v>
      </c>
      <c r="Q30" s="319"/>
    </row>
    <row r="31" spans="1:17" ht="24">
      <c r="A31" s="275"/>
      <c r="B31" s="56"/>
      <c r="C31" s="275"/>
      <c r="D31" s="276"/>
      <c r="E31" s="276"/>
      <c r="F31" s="276"/>
      <c r="G31" s="275"/>
      <c r="H31" s="340" t="s">
        <v>2350</v>
      </c>
      <c r="I31" s="270" t="s">
        <v>2264</v>
      </c>
      <c r="J31" s="270" t="s">
        <v>2351</v>
      </c>
      <c r="K31" s="270" t="s">
        <v>2193</v>
      </c>
      <c r="L31" s="269"/>
      <c r="M31" s="269" t="s">
        <v>2019</v>
      </c>
      <c r="N31" s="269"/>
      <c r="O31" s="270" t="s">
        <v>2352</v>
      </c>
      <c r="P31" s="271" t="s">
        <v>2353</v>
      </c>
      <c r="Q31" s="319"/>
    </row>
    <row r="32" spans="1:17" s="265" customFormat="1">
      <c r="A32" s="270" t="s">
        <v>1924</v>
      </c>
      <c r="B32" s="341" t="s">
        <v>2354</v>
      </c>
      <c r="C32" s="270" t="s">
        <v>2274</v>
      </c>
      <c r="D32" s="269"/>
      <c r="E32" s="269" t="s">
        <v>515</v>
      </c>
      <c r="F32" s="269"/>
      <c r="G32" s="270" t="s">
        <v>2355</v>
      </c>
      <c r="H32" s="270" t="s">
        <v>2276</v>
      </c>
      <c r="I32" s="270" t="s">
        <v>2294</v>
      </c>
      <c r="J32" s="334" t="s">
        <v>2356</v>
      </c>
      <c r="K32" s="268" t="s">
        <v>2357</v>
      </c>
      <c r="L32" s="269"/>
      <c r="M32" s="322"/>
      <c r="N32" s="269"/>
      <c r="O32" s="268" t="s">
        <v>2358</v>
      </c>
      <c r="P32" s="271"/>
      <c r="Q32" s="264"/>
    </row>
    <row r="33" spans="1:17" s="265" customFormat="1">
      <c r="A33" s="270" t="s">
        <v>1924</v>
      </c>
      <c r="B33" s="341" t="s">
        <v>2359</v>
      </c>
      <c r="C33" s="270" t="s">
        <v>2360</v>
      </c>
      <c r="D33" s="269"/>
      <c r="E33" s="269" t="s">
        <v>515</v>
      </c>
      <c r="F33" s="269"/>
      <c r="G33" s="270" t="s">
        <v>2361</v>
      </c>
      <c r="H33" s="270" t="s">
        <v>2276</v>
      </c>
      <c r="I33" s="270" t="s">
        <v>2264</v>
      </c>
      <c r="J33" s="270" t="s">
        <v>2362</v>
      </c>
      <c r="K33" s="270" t="s">
        <v>2156</v>
      </c>
      <c r="L33" s="269"/>
      <c r="M33" s="269" t="s">
        <v>2019</v>
      </c>
      <c r="N33" s="269"/>
      <c r="O33" s="270" t="s">
        <v>1972</v>
      </c>
      <c r="P33" s="271" t="s">
        <v>2363</v>
      </c>
      <c r="Q33" s="264"/>
    </row>
    <row r="34" spans="1:17" s="265" customFormat="1">
      <c r="A34" s="270" t="s">
        <v>2272</v>
      </c>
      <c r="B34" s="341" t="s">
        <v>2364</v>
      </c>
      <c r="C34" s="270" t="s">
        <v>2360</v>
      </c>
      <c r="D34" s="269"/>
      <c r="E34" s="269"/>
      <c r="F34" s="269"/>
      <c r="G34" s="270" t="s">
        <v>2365</v>
      </c>
      <c r="H34" s="270" t="s">
        <v>2331</v>
      </c>
      <c r="I34" s="270" t="s">
        <v>2264</v>
      </c>
      <c r="J34" s="334" t="s">
        <v>2366</v>
      </c>
      <c r="K34" s="268" t="s">
        <v>2367</v>
      </c>
      <c r="L34" s="269"/>
      <c r="M34" s="322"/>
      <c r="N34" s="269"/>
      <c r="O34" s="268" t="s">
        <v>2368</v>
      </c>
      <c r="P34" s="342" t="s">
        <v>2369</v>
      </c>
      <c r="Q34" s="264"/>
    </row>
    <row r="35" spans="1:17">
      <c r="A35" s="275"/>
      <c r="B35" s="56"/>
      <c r="C35" s="275"/>
      <c r="D35" s="276"/>
      <c r="E35" s="276"/>
      <c r="F35" s="276"/>
      <c r="G35" s="275"/>
      <c r="H35" s="275" t="s">
        <v>2305</v>
      </c>
      <c r="I35" s="275" t="s">
        <v>2294</v>
      </c>
      <c r="J35" s="275" t="s">
        <v>2370</v>
      </c>
      <c r="K35" s="275" t="s">
        <v>1459</v>
      </c>
      <c r="L35" s="276"/>
      <c r="M35" s="276" t="s">
        <v>2019</v>
      </c>
      <c r="N35" s="276" t="s">
        <v>2190</v>
      </c>
      <c r="O35" s="275" t="s">
        <v>2371</v>
      </c>
      <c r="P35" s="277" t="s">
        <v>2372</v>
      </c>
      <c r="Q35" s="319"/>
    </row>
    <row r="36" spans="1:17">
      <c r="A36" s="275" t="s">
        <v>2006</v>
      </c>
      <c r="B36" s="56" t="s">
        <v>2373</v>
      </c>
      <c r="C36" s="275" t="s">
        <v>2374</v>
      </c>
      <c r="D36" s="276"/>
      <c r="E36" s="276" t="s">
        <v>515</v>
      </c>
      <c r="F36" s="276"/>
      <c r="G36" s="275" t="s">
        <v>2375</v>
      </c>
      <c r="H36" s="275" t="s">
        <v>2376</v>
      </c>
      <c r="I36" s="275" t="s">
        <v>2264</v>
      </c>
      <c r="J36" s="275" t="s">
        <v>2377</v>
      </c>
      <c r="K36" s="275" t="s">
        <v>1464</v>
      </c>
      <c r="L36" s="276"/>
      <c r="M36" s="276" t="s">
        <v>2019</v>
      </c>
      <c r="N36" s="276"/>
      <c r="O36" s="275" t="s">
        <v>2378</v>
      </c>
      <c r="P36" s="277"/>
      <c r="Q36" s="319"/>
    </row>
    <row r="37" spans="1:17">
      <c r="A37" s="275" t="s">
        <v>2006</v>
      </c>
      <c r="B37" s="56" t="s">
        <v>2379</v>
      </c>
      <c r="C37" s="275" t="s">
        <v>2380</v>
      </c>
      <c r="D37" s="276"/>
      <c r="E37" s="276" t="s">
        <v>515</v>
      </c>
      <c r="F37" s="276"/>
      <c r="G37" s="275" t="s">
        <v>2381</v>
      </c>
      <c r="H37" s="275"/>
      <c r="I37" s="275" t="s">
        <v>2264</v>
      </c>
      <c r="J37" s="275" t="s">
        <v>2382</v>
      </c>
      <c r="K37" s="275" t="s">
        <v>2383</v>
      </c>
      <c r="L37" s="276"/>
      <c r="M37" s="276" t="s">
        <v>515</v>
      </c>
      <c r="N37" s="276"/>
      <c r="O37" s="275" t="s">
        <v>2384</v>
      </c>
      <c r="P37" s="277" t="s">
        <v>2385</v>
      </c>
      <c r="Q37" s="319"/>
    </row>
    <row r="38" spans="1:17">
      <c r="A38" s="275" t="s">
        <v>2272</v>
      </c>
      <c r="B38" s="56" t="s">
        <v>2386</v>
      </c>
      <c r="C38" s="275" t="s">
        <v>1551</v>
      </c>
      <c r="D38" s="276"/>
      <c r="E38" s="276"/>
      <c r="F38" s="276"/>
      <c r="G38" s="275" t="s">
        <v>1552</v>
      </c>
      <c r="H38" s="275" t="s">
        <v>2387</v>
      </c>
      <c r="I38" s="275" t="s">
        <v>2264</v>
      </c>
      <c r="J38" s="275" t="s">
        <v>1553</v>
      </c>
      <c r="K38" s="275" t="s">
        <v>1464</v>
      </c>
      <c r="L38" s="276"/>
      <c r="M38" s="276" t="s">
        <v>2019</v>
      </c>
      <c r="N38" s="276" t="s">
        <v>2190</v>
      </c>
      <c r="O38" s="275" t="s">
        <v>2388</v>
      </c>
      <c r="P38" s="277" t="s">
        <v>2389</v>
      </c>
      <c r="Q38" s="319"/>
    </row>
    <row r="39" spans="1:17" ht="24">
      <c r="A39" s="275" t="s">
        <v>2313</v>
      </c>
      <c r="B39" s="56" t="s">
        <v>2390</v>
      </c>
      <c r="C39" s="275" t="s">
        <v>2391</v>
      </c>
      <c r="D39" s="276"/>
      <c r="E39" s="276"/>
      <c r="F39" s="276"/>
      <c r="G39" s="343" t="s">
        <v>2392</v>
      </c>
      <c r="H39" s="344" t="s">
        <v>2393</v>
      </c>
      <c r="I39" s="275" t="s">
        <v>2264</v>
      </c>
      <c r="J39" s="275" t="s">
        <v>2394</v>
      </c>
      <c r="K39" s="275" t="s">
        <v>2174</v>
      </c>
      <c r="L39" s="276"/>
      <c r="M39" s="276" t="s">
        <v>2019</v>
      </c>
      <c r="N39" s="276"/>
      <c r="O39" s="275" t="s">
        <v>2395</v>
      </c>
      <c r="P39" s="277" t="s">
        <v>2396</v>
      </c>
      <c r="Q39" s="319"/>
    </row>
    <row r="40" spans="1:17">
      <c r="A40" s="275" t="s">
        <v>2006</v>
      </c>
      <c r="B40" s="56" t="s">
        <v>2397</v>
      </c>
      <c r="C40" s="275" t="s">
        <v>2274</v>
      </c>
      <c r="D40" s="276"/>
      <c r="E40" s="276"/>
      <c r="F40" s="276"/>
      <c r="G40" s="275" t="s">
        <v>2398</v>
      </c>
      <c r="H40" s="275" t="s">
        <v>2276</v>
      </c>
      <c r="I40" s="275" t="s">
        <v>2264</v>
      </c>
      <c r="J40" s="275" t="s">
        <v>2399</v>
      </c>
      <c r="K40" s="275" t="s">
        <v>1447</v>
      </c>
      <c r="L40" s="276"/>
      <c r="M40" s="276" t="s">
        <v>2019</v>
      </c>
      <c r="N40" s="276" t="s">
        <v>2190</v>
      </c>
      <c r="O40" s="275" t="s">
        <v>2400</v>
      </c>
      <c r="P40" s="277" t="s">
        <v>2401</v>
      </c>
      <c r="Q40" s="319"/>
    </row>
    <row r="41" spans="1:17" ht="48">
      <c r="A41" s="326" t="s">
        <v>1855</v>
      </c>
      <c r="B41" s="339" t="s">
        <v>2402</v>
      </c>
      <c r="C41" s="326" t="s">
        <v>2274</v>
      </c>
      <c r="D41" s="327"/>
      <c r="E41" s="327"/>
      <c r="F41" s="327"/>
      <c r="G41" s="326" t="s">
        <v>2403</v>
      </c>
      <c r="H41" s="340" t="s">
        <v>2404</v>
      </c>
      <c r="I41" s="270" t="s">
        <v>2264</v>
      </c>
      <c r="J41" s="270" t="s">
        <v>2405</v>
      </c>
      <c r="K41" s="270" t="s">
        <v>1447</v>
      </c>
      <c r="L41" s="269"/>
      <c r="M41" s="269" t="s">
        <v>2019</v>
      </c>
      <c r="N41" s="269" t="s">
        <v>2190</v>
      </c>
      <c r="O41" s="270" t="s">
        <v>2406</v>
      </c>
      <c r="P41" s="271" t="s">
        <v>2407</v>
      </c>
      <c r="Q41" s="319"/>
    </row>
    <row r="42" spans="1:17">
      <c r="A42" s="275" t="s">
        <v>2272</v>
      </c>
      <c r="B42" s="56" t="s">
        <v>2408</v>
      </c>
      <c r="C42" s="275" t="s">
        <v>2409</v>
      </c>
      <c r="D42" s="276"/>
      <c r="E42" s="276"/>
      <c r="F42" s="276"/>
      <c r="G42" s="275" t="s">
        <v>606</v>
      </c>
      <c r="H42" s="275"/>
      <c r="I42" s="275" t="s">
        <v>2264</v>
      </c>
      <c r="J42" s="275" t="s">
        <v>2410</v>
      </c>
      <c r="K42" s="275" t="s">
        <v>2411</v>
      </c>
      <c r="L42" s="276"/>
      <c r="M42" s="276" t="s">
        <v>2019</v>
      </c>
      <c r="N42" s="276" t="s">
        <v>2190</v>
      </c>
      <c r="O42" s="275" t="s">
        <v>606</v>
      </c>
      <c r="P42" s="277" t="s">
        <v>2412</v>
      </c>
      <c r="Q42" s="319"/>
    </row>
    <row r="43" spans="1:17">
      <c r="A43" s="275" t="s">
        <v>2006</v>
      </c>
      <c r="B43" s="56" t="s">
        <v>2413</v>
      </c>
      <c r="C43" s="275" t="s">
        <v>2360</v>
      </c>
      <c r="D43" s="276"/>
      <c r="E43" s="276"/>
      <c r="F43" s="276"/>
      <c r="G43" s="275" t="s">
        <v>2414</v>
      </c>
      <c r="H43" s="275" t="s">
        <v>2276</v>
      </c>
      <c r="I43" s="275" t="s">
        <v>2264</v>
      </c>
      <c r="J43" s="275" t="s">
        <v>2415</v>
      </c>
      <c r="K43" s="275" t="s">
        <v>1459</v>
      </c>
      <c r="L43" s="276"/>
      <c r="M43" s="276" t="s">
        <v>2019</v>
      </c>
      <c r="N43" s="276" t="s">
        <v>2208</v>
      </c>
      <c r="O43" s="275" t="s">
        <v>2416</v>
      </c>
      <c r="P43" s="277" t="s">
        <v>2417</v>
      </c>
      <c r="Q43" s="319"/>
    </row>
    <row r="44" spans="1:17">
      <c r="A44" s="275" t="s">
        <v>2006</v>
      </c>
      <c r="B44" s="56" t="s">
        <v>2418</v>
      </c>
      <c r="C44" s="275" t="s">
        <v>2329</v>
      </c>
      <c r="D44" s="276"/>
      <c r="E44" s="276"/>
      <c r="F44" s="276"/>
      <c r="G44" s="275" t="s">
        <v>2419</v>
      </c>
      <c r="H44" s="275" t="s">
        <v>2276</v>
      </c>
      <c r="I44" s="275" t="s">
        <v>2264</v>
      </c>
      <c r="J44" s="275" t="s">
        <v>2420</v>
      </c>
      <c r="K44" s="275" t="s">
        <v>2214</v>
      </c>
      <c r="L44" s="276"/>
      <c r="M44" s="276" t="s">
        <v>2019</v>
      </c>
      <c r="N44" s="276" t="s">
        <v>2215</v>
      </c>
      <c r="O44" s="275" t="s">
        <v>2421</v>
      </c>
      <c r="P44" s="277" t="s">
        <v>2422</v>
      </c>
      <c r="Q44" s="319"/>
    </row>
    <row r="45" spans="1:17">
      <c r="A45" s="270" t="s">
        <v>2006</v>
      </c>
      <c r="B45" s="341" t="s">
        <v>2423</v>
      </c>
      <c r="C45" s="270" t="s">
        <v>2424</v>
      </c>
      <c r="D45" s="269"/>
      <c r="E45" s="269"/>
      <c r="F45" s="269"/>
      <c r="G45" s="270" t="s">
        <v>2425</v>
      </c>
      <c r="H45" s="270" t="s">
        <v>2276</v>
      </c>
      <c r="I45" s="270" t="s">
        <v>2264</v>
      </c>
      <c r="J45" s="270" t="s">
        <v>2426</v>
      </c>
      <c r="K45" s="270" t="s">
        <v>2018</v>
      </c>
      <c r="L45" s="269"/>
      <c r="M45" s="269" t="s">
        <v>2019</v>
      </c>
      <c r="N45" s="269">
        <v>0</v>
      </c>
      <c r="O45" s="270" t="s">
        <v>2427</v>
      </c>
      <c r="P45" s="271"/>
      <c r="Q45" s="319"/>
    </row>
    <row r="46" spans="1:17">
      <c r="A46" s="270" t="s">
        <v>2006</v>
      </c>
      <c r="B46" s="341" t="s">
        <v>2428</v>
      </c>
      <c r="C46" s="270" t="s">
        <v>2424</v>
      </c>
      <c r="D46" s="269"/>
      <c r="E46" s="269"/>
      <c r="F46" s="269"/>
      <c r="G46" s="270" t="s">
        <v>2429</v>
      </c>
      <c r="H46" s="270" t="s">
        <v>2276</v>
      </c>
      <c r="I46" s="270" t="s">
        <v>2264</v>
      </c>
      <c r="J46" s="270" t="s">
        <v>2430</v>
      </c>
      <c r="K46" s="270" t="s">
        <v>2018</v>
      </c>
      <c r="L46" s="269"/>
      <c r="M46" s="269" t="s">
        <v>2019</v>
      </c>
      <c r="N46" s="269">
        <v>0</v>
      </c>
      <c r="O46" s="270" t="s">
        <v>2431</v>
      </c>
      <c r="P46" s="271" t="s">
        <v>2432</v>
      </c>
      <c r="Q46" s="319"/>
    </row>
    <row r="47" spans="1:17">
      <c r="A47" s="275" t="s">
        <v>2006</v>
      </c>
      <c r="B47" s="56" t="s">
        <v>2433</v>
      </c>
      <c r="C47" s="275" t="s">
        <v>2434</v>
      </c>
      <c r="D47" s="276"/>
      <c r="E47" s="276"/>
      <c r="F47" s="276"/>
      <c r="G47" s="275" t="s">
        <v>2435</v>
      </c>
      <c r="H47" s="275" t="s">
        <v>2276</v>
      </c>
      <c r="I47" s="275" t="s">
        <v>2264</v>
      </c>
      <c r="J47" s="275" t="s">
        <v>2436</v>
      </c>
      <c r="K47" s="275" t="s">
        <v>2233</v>
      </c>
      <c r="L47" s="276"/>
      <c r="M47" s="276" t="s">
        <v>2019</v>
      </c>
      <c r="N47" s="276" t="s">
        <v>2190</v>
      </c>
      <c r="O47" s="275" t="s">
        <v>2437</v>
      </c>
      <c r="P47" s="277" t="s">
        <v>2438</v>
      </c>
      <c r="Q47" s="319"/>
    </row>
    <row r="48" spans="1:17">
      <c r="A48" s="275"/>
      <c r="B48" s="275"/>
      <c r="C48" s="275"/>
      <c r="D48" s="276"/>
      <c r="E48" s="276"/>
      <c r="F48" s="276"/>
      <c r="G48" s="275"/>
      <c r="H48" s="275" t="s">
        <v>2439</v>
      </c>
      <c r="I48" s="275" t="s">
        <v>2264</v>
      </c>
      <c r="J48" s="275" t="s">
        <v>2440</v>
      </c>
      <c r="K48" s="275" t="s">
        <v>2441</v>
      </c>
      <c r="L48" s="276"/>
      <c r="M48" s="276" t="s">
        <v>2019</v>
      </c>
      <c r="N48" s="276"/>
      <c r="O48" s="275" t="s">
        <v>2442</v>
      </c>
      <c r="P48" s="277" t="s">
        <v>2443</v>
      </c>
      <c r="Q48" s="319"/>
    </row>
    <row r="49" spans="1:17">
      <c r="A49" s="275"/>
      <c r="B49" s="275"/>
      <c r="C49" s="275"/>
      <c r="D49" s="276"/>
      <c r="E49" s="276"/>
      <c r="F49" s="276"/>
      <c r="G49" s="275"/>
      <c r="H49" s="275" t="s">
        <v>2444</v>
      </c>
      <c r="I49" s="275" t="s">
        <v>2264</v>
      </c>
      <c r="J49" s="275" t="s">
        <v>2445</v>
      </c>
      <c r="K49" s="275" t="s">
        <v>1580</v>
      </c>
      <c r="L49" s="276"/>
      <c r="M49" s="276" t="s">
        <v>2019</v>
      </c>
      <c r="N49" s="276"/>
      <c r="O49" s="275" t="s">
        <v>2446</v>
      </c>
      <c r="P49" s="277" t="s">
        <v>2447</v>
      </c>
      <c r="Q49" s="319"/>
    </row>
    <row r="50" spans="1:17">
      <c r="A50" s="275"/>
      <c r="B50" s="56"/>
      <c r="C50" s="275"/>
      <c r="D50" s="276"/>
      <c r="E50" s="276"/>
      <c r="F50" s="276"/>
      <c r="G50" s="275"/>
      <c r="H50" s="275" t="s">
        <v>2448</v>
      </c>
      <c r="I50" s="275" t="s">
        <v>2264</v>
      </c>
      <c r="J50" s="275" t="s">
        <v>2449</v>
      </c>
      <c r="K50" s="275" t="s">
        <v>1459</v>
      </c>
      <c r="L50" s="276"/>
      <c r="M50" s="276" t="s">
        <v>515</v>
      </c>
      <c r="N50" s="276" t="s">
        <v>1615</v>
      </c>
      <c r="O50" s="275" t="s">
        <v>2450</v>
      </c>
      <c r="P50" s="277" t="s">
        <v>2451</v>
      </c>
      <c r="Q50" s="319"/>
    </row>
    <row r="51" spans="1:17">
      <c r="A51" s="275"/>
      <c r="B51" s="56"/>
      <c r="C51" s="275"/>
      <c r="D51" s="276"/>
      <c r="E51" s="276"/>
      <c r="F51" s="276"/>
      <c r="G51" s="275"/>
      <c r="H51" s="275" t="s">
        <v>2305</v>
      </c>
      <c r="I51" s="275" t="s">
        <v>2264</v>
      </c>
      <c r="J51" s="275" t="s">
        <v>2452</v>
      </c>
      <c r="K51" s="275" t="s">
        <v>2453</v>
      </c>
      <c r="L51" s="276"/>
      <c r="M51" s="276" t="s">
        <v>2019</v>
      </c>
      <c r="N51" s="276" t="s">
        <v>2190</v>
      </c>
      <c r="O51" s="275" t="s">
        <v>2454</v>
      </c>
      <c r="P51" s="277" t="s">
        <v>2455</v>
      </c>
      <c r="Q51" s="319"/>
    </row>
    <row r="52" spans="1:17">
      <c r="A52" s="275" t="s">
        <v>2006</v>
      </c>
      <c r="B52" s="56" t="s">
        <v>2456</v>
      </c>
      <c r="C52" s="275" t="s">
        <v>2270</v>
      </c>
      <c r="D52" s="276"/>
      <c r="E52" s="276"/>
      <c r="F52" s="276"/>
      <c r="G52" s="275" t="s">
        <v>2457</v>
      </c>
      <c r="H52" s="275" t="s">
        <v>2276</v>
      </c>
      <c r="I52" s="275" t="s">
        <v>2264</v>
      </c>
      <c r="J52" s="275" t="s">
        <v>2458</v>
      </c>
      <c r="K52" s="275" t="s">
        <v>1459</v>
      </c>
      <c r="L52" s="276"/>
      <c r="M52" s="276" t="s">
        <v>515</v>
      </c>
      <c r="N52" s="276"/>
      <c r="O52" s="275" t="s">
        <v>2459</v>
      </c>
      <c r="P52" s="277" t="s">
        <v>2460</v>
      </c>
      <c r="Q52" s="319"/>
    </row>
    <row r="53" spans="1:17">
      <c r="A53" s="275"/>
      <c r="B53" s="275"/>
      <c r="C53" s="275"/>
      <c r="D53" s="276"/>
      <c r="E53" s="276"/>
      <c r="F53" s="276"/>
      <c r="G53" s="275"/>
      <c r="H53" s="275" t="s">
        <v>2293</v>
      </c>
      <c r="I53" s="275" t="s">
        <v>2264</v>
      </c>
      <c r="J53" s="275" t="s">
        <v>2461</v>
      </c>
      <c r="K53" s="275" t="s">
        <v>2193</v>
      </c>
      <c r="L53" s="276"/>
      <c r="M53" s="276" t="s">
        <v>515</v>
      </c>
      <c r="N53" s="276" t="s">
        <v>2194</v>
      </c>
      <c r="O53" s="275" t="s">
        <v>2462</v>
      </c>
      <c r="P53" s="277" t="s">
        <v>2463</v>
      </c>
      <c r="Q53" s="319"/>
    </row>
    <row r="54" spans="1:17">
      <c r="A54" s="275"/>
      <c r="B54" s="56"/>
      <c r="C54" s="275"/>
      <c r="D54" s="276"/>
      <c r="E54" s="276"/>
      <c r="F54" s="276"/>
      <c r="G54" s="275"/>
      <c r="H54" s="275"/>
      <c r="I54" s="345"/>
      <c r="J54" s="275"/>
      <c r="K54" s="275"/>
      <c r="L54" s="276"/>
      <c r="M54" s="276"/>
      <c r="N54" s="276"/>
      <c r="O54" s="275"/>
      <c r="P54" s="277"/>
      <c r="Q54" s="319"/>
    </row>
    <row r="55" spans="1:17">
      <c r="A55" s="275"/>
      <c r="B55" s="56"/>
      <c r="C55" s="275"/>
      <c r="D55" s="276"/>
      <c r="E55" s="276"/>
      <c r="F55" s="276"/>
      <c r="G55" s="275"/>
      <c r="H55" s="275"/>
      <c r="I55" s="345"/>
      <c r="J55" s="275"/>
      <c r="K55" s="275"/>
      <c r="L55" s="276"/>
      <c r="M55" s="276"/>
      <c r="N55" s="276"/>
      <c r="O55" s="275"/>
      <c r="P55" s="277"/>
      <c r="Q55" s="319"/>
    </row>
    <row r="56" spans="1:17">
      <c r="A56" s="275"/>
      <c r="B56" s="56"/>
      <c r="C56" s="275"/>
      <c r="D56" s="276"/>
      <c r="E56" s="276"/>
      <c r="F56" s="276"/>
      <c r="G56" s="275"/>
      <c r="H56" s="275"/>
      <c r="I56" s="345"/>
      <c r="J56" s="275"/>
      <c r="K56" s="275"/>
      <c r="L56" s="276"/>
      <c r="M56" s="276"/>
      <c r="N56" s="276"/>
      <c r="O56" s="275"/>
      <c r="P56" s="277"/>
      <c r="Q56" s="319"/>
    </row>
    <row r="57" spans="1:17">
      <c r="A57" s="274"/>
      <c r="B57" s="56"/>
      <c r="C57" s="275"/>
      <c r="D57" s="276"/>
      <c r="E57" s="276"/>
      <c r="F57" s="276"/>
      <c r="G57" s="275"/>
      <c r="H57" s="284"/>
      <c r="I57" s="275"/>
      <c r="J57" s="275"/>
      <c r="K57" s="275"/>
      <c r="L57" s="276"/>
      <c r="M57" s="276"/>
      <c r="N57" s="276"/>
      <c r="O57" s="275"/>
      <c r="P57" s="277"/>
      <c r="Q57" s="319"/>
    </row>
    <row r="58" spans="1:17" ht="17.25" thickBot="1">
      <c r="A58" s="289" t="s">
        <v>1807</v>
      </c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7"/>
      <c r="P58" s="558"/>
    </row>
    <row r="59" spans="1:17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</row>
  </sheetData>
  <mergeCells count="17">
    <mergeCell ref="B2:P2"/>
    <mergeCell ref="B3:P3"/>
    <mergeCell ref="B4:P4"/>
    <mergeCell ref="A5:A8"/>
    <mergeCell ref="B5:P8"/>
    <mergeCell ref="B58:P58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3713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14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15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16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17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3718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9" tint="0.79998168889431442"/>
    <pageSetUpPr fitToPage="1"/>
  </sheetPr>
  <dimension ref="A1:AC50"/>
  <sheetViews>
    <sheetView tabSelected="1"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322</v>
      </c>
      <c r="C2" s="514"/>
      <c r="D2" s="514"/>
      <c r="E2" s="515" t="str">
        <f xml:space="preserve"> ERP_인터페이스목록!C10</f>
        <v>반품예정 등록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ERP_인터페이스목록!G10</f>
        <v>O2W_RT_REG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str">
        <f>ERP_인터페이스목록!J10</f>
        <v>/{bizSeq}/sif/rtrq01/regs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42</v>
      </c>
      <c r="C4" s="516"/>
      <c r="D4" s="516"/>
      <c r="E4" s="515" t="str">
        <f>ERP_인터페이스목록!L10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ERP_인터페이스목록!D10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ERP_인터페이스목록!E10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342</v>
      </c>
      <c r="C8" s="500" t="s">
        <v>47</v>
      </c>
      <c r="D8" s="500"/>
      <c r="E8" s="500"/>
      <c r="F8" s="500"/>
      <c r="G8" s="500"/>
      <c r="H8" s="500"/>
      <c r="I8" s="500"/>
      <c r="J8" s="500"/>
      <c r="K8" s="500" t="s">
        <v>48</v>
      </c>
      <c r="L8" s="500"/>
      <c r="M8" s="500"/>
      <c r="N8" s="500"/>
      <c r="O8" s="500" t="s">
        <v>49</v>
      </c>
      <c r="P8" s="500"/>
      <c r="Q8" s="500" t="s">
        <v>50</v>
      </c>
      <c r="R8" s="500"/>
      <c r="S8" s="500" t="s">
        <v>51</v>
      </c>
      <c r="T8" s="500"/>
      <c r="U8" s="500" t="s">
        <v>343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 ht="31.15" customHeight="1">
      <c r="B9" s="163">
        <v>1</v>
      </c>
      <c r="C9" s="157" t="s">
        <v>54</v>
      </c>
      <c r="D9" s="158"/>
      <c r="E9" s="158"/>
      <c r="F9" s="158"/>
      <c r="G9" s="158"/>
      <c r="H9" s="158"/>
      <c r="I9" s="158"/>
      <c r="J9" s="159"/>
      <c r="K9" s="509" t="s">
        <v>707</v>
      </c>
      <c r="L9" s="510"/>
      <c r="M9" s="510"/>
      <c r="N9" s="511"/>
      <c r="O9" s="467" t="s">
        <v>708</v>
      </c>
      <c r="P9" s="468"/>
      <c r="Q9" s="467">
        <v>10</v>
      </c>
      <c r="R9" s="468"/>
      <c r="S9" s="467"/>
      <c r="T9" s="468"/>
      <c r="U9" s="467" t="s">
        <v>709</v>
      </c>
      <c r="V9" s="468"/>
      <c r="W9" s="493" t="s">
        <v>710</v>
      </c>
      <c r="X9" s="484"/>
      <c r="Y9" s="484"/>
      <c r="Z9" s="484"/>
      <c r="AA9" s="484"/>
      <c r="AB9" s="484"/>
      <c r="AC9" s="485"/>
    </row>
    <row r="10" spans="1:29" ht="14.25" customHeight="1">
      <c r="B10" s="163">
        <v>1</v>
      </c>
      <c r="C10" s="157" t="s">
        <v>81</v>
      </c>
      <c r="D10" s="157"/>
      <c r="E10" s="158"/>
      <c r="F10" s="158"/>
      <c r="G10" s="158"/>
      <c r="H10" s="158"/>
      <c r="I10" s="158"/>
      <c r="J10" s="159"/>
      <c r="K10" s="501" t="s">
        <v>711</v>
      </c>
      <c r="L10" s="501"/>
      <c r="M10" s="501"/>
      <c r="N10" s="501"/>
      <c r="O10" s="502" t="s">
        <v>712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168">
        <v>1</v>
      </c>
      <c r="C11" s="161" t="s">
        <v>129</v>
      </c>
      <c r="D11" s="161"/>
      <c r="E11" s="161"/>
      <c r="F11" s="161"/>
      <c r="G11" s="161"/>
      <c r="H11" s="161"/>
      <c r="I11" s="161"/>
      <c r="J11" s="162"/>
      <c r="K11" s="593" t="s">
        <v>141</v>
      </c>
      <c r="L11" s="594"/>
      <c r="M11" s="594"/>
      <c r="N11" s="595"/>
      <c r="O11" s="472"/>
      <c r="P11" s="473"/>
      <c r="Q11" s="472"/>
      <c r="R11" s="473"/>
      <c r="S11" s="472"/>
      <c r="T11" s="473"/>
      <c r="U11" s="472"/>
      <c r="V11" s="473"/>
      <c r="W11" s="487"/>
      <c r="X11" s="488"/>
      <c r="Y11" s="488"/>
      <c r="Z11" s="488"/>
      <c r="AA11" s="488"/>
      <c r="AB11" s="488"/>
      <c r="AC11" s="489"/>
    </row>
    <row r="12" spans="1:29" ht="13.5" customHeight="1">
      <c r="B12" s="164">
        <v>2</v>
      </c>
      <c r="C12" s="157"/>
      <c r="D12" s="158" t="s">
        <v>130</v>
      </c>
      <c r="E12" s="158"/>
      <c r="F12" s="158"/>
      <c r="G12" s="158"/>
      <c r="H12" s="158"/>
      <c r="I12" s="158"/>
      <c r="J12" s="159"/>
      <c r="K12" s="483" t="s">
        <v>713</v>
      </c>
      <c r="L12" s="484"/>
      <c r="M12" s="484"/>
      <c r="N12" s="485"/>
      <c r="O12" s="467" t="s">
        <v>712</v>
      </c>
      <c r="P12" s="468"/>
      <c r="Q12" s="467">
        <v>50</v>
      </c>
      <c r="R12" s="468"/>
      <c r="S12" s="467" t="s">
        <v>714</v>
      </c>
      <c r="T12" s="468"/>
      <c r="U12" s="467" t="s">
        <v>709</v>
      </c>
      <c r="V12" s="468"/>
      <c r="W12" s="464" t="s">
        <v>715</v>
      </c>
      <c r="X12" s="465"/>
      <c r="Y12" s="465"/>
      <c r="Z12" s="465"/>
      <c r="AA12" s="465"/>
      <c r="AB12" s="465"/>
      <c r="AC12" s="466"/>
    </row>
    <row r="13" spans="1:29">
      <c r="B13" s="243">
        <v>2</v>
      </c>
      <c r="C13" s="242"/>
      <c r="D13" s="56" t="s">
        <v>412</v>
      </c>
      <c r="E13" s="56"/>
      <c r="F13" s="56"/>
      <c r="G13" s="56"/>
      <c r="H13" s="56"/>
      <c r="I13" s="56"/>
      <c r="J13" s="57"/>
      <c r="K13" s="533" t="s">
        <v>579</v>
      </c>
      <c r="L13" s="534"/>
      <c r="M13" s="534"/>
      <c r="N13" s="535"/>
      <c r="O13" s="338" t="s">
        <v>56</v>
      </c>
      <c r="P13" s="338"/>
      <c r="Q13" s="527">
        <v>10</v>
      </c>
      <c r="R13" s="527"/>
      <c r="S13" s="527"/>
      <c r="T13" s="527"/>
      <c r="U13" s="527" t="s">
        <v>57</v>
      </c>
      <c r="V13" s="527"/>
      <c r="W13" s="626"/>
      <c r="X13" s="627"/>
      <c r="Y13" s="627"/>
      <c r="Z13" s="627"/>
      <c r="AA13" s="627"/>
      <c r="AB13" s="627"/>
      <c r="AC13" s="627"/>
    </row>
    <row r="14" spans="1:29">
      <c r="B14" s="243">
        <v>2</v>
      </c>
      <c r="C14" s="242"/>
      <c r="D14" s="56" t="s">
        <v>1375</v>
      </c>
      <c r="E14" s="56"/>
      <c r="F14" s="56"/>
      <c r="G14" s="56"/>
      <c r="H14" s="56"/>
      <c r="I14" s="56"/>
      <c r="J14" s="57"/>
      <c r="K14" s="533" t="s">
        <v>1376</v>
      </c>
      <c r="L14" s="534"/>
      <c r="M14" s="534"/>
      <c r="N14" s="535"/>
      <c r="O14" s="338" t="s">
        <v>62</v>
      </c>
      <c r="P14" s="338"/>
      <c r="Q14" s="527">
        <v>50</v>
      </c>
      <c r="R14" s="527"/>
      <c r="S14" s="527"/>
      <c r="T14" s="527"/>
      <c r="U14" s="527" t="s">
        <v>57</v>
      </c>
      <c r="V14" s="527"/>
      <c r="W14" s="626"/>
      <c r="X14" s="627"/>
      <c r="Y14" s="627"/>
      <c r="Z14" s="627"/>
      <c r="AA14" s="627"/>
      <c r="AB14" s="627"/>
      <c r="AC14" s="627"/>
    </row>
    <row r="15" spans="1:29">
      <c r="B15" s="164">
        <v>2</v>
      </c>
      <c r="C15" s="84"/>
      <c r="D15" s="411" t="s">
        <v>716</v>
      </c>
      <c r="E15" s="411"/>
      <c r="F15" s="411"/>
      <c r="G15" s="411"/>
      <c r="H15" s="411"/>
      <c r="I15" s="411"/>
      <c r="J15" s="412"/>
      <c r="K15" s="615" t="s">
        <v>717</v>
      </c>
      <c r="L15" s="616"/>
      <c r="M15" s="616"/>
      <c r="N15" s="617"/>
      <c r="O15" s="531" t="s">
        <v>419</v>
      </c>
      <c r="P15" s="532"/>
      <c r="Q15" s="606">
        <v>50</v>
      </c>
      <c r="R15" s="607"/>
      <c r="S15" s="606"/>
      <c r="T15" s="607"/>
      <c r="U15" s="606" t="s">
        <v>709</v>
      </c>
      <c r="V15" s="607"/>
      <c r="W15" s="621" t="s">
        <v>718</v>
      </c>
      <c r="X15" s="622"/>
      <c r="Y15" s="622"/>
      <c r="Z15" s="622"/>
      <c r="AA15" s="622"/>
      <c r="AB15" s="622"/>
      <c r="AC15" s="622"/>
    </row>
    <row r="16" spans="1:29" ht="33.75" customHeight="1">
      <c r="B16" s="164">
        <v>2</v>
      </c>
      <c r="C16" s="157"/>
      <c r="D16" s="56" t="s">
        <v>691</v>
      </c>
      <c r="E16" s="56"/>
      <c r="F16" s="56"/>
      <c r="G16" s="56"/>
      <c r="H16" s="56"/>
      <c r="I16" s="56"/>
      <c r="J16" s="57"/>
      <c r="K16" s="533" t="s">
        <v>692</v>
      </c>
      <c r="L16" s="534"/>
      <c r="M16" s="534"/>
      <c r="N16" s="535"/>
      <c r="O16" s="531" t="s">
        <v>712</v>
      </c>
      <c r="P16" s="532"/>
      <c r="Q16" s="531">
        <v>50</v>
      </c>
      <c r="R16" s="532"/>
      <c r="S16" s="531" t="s">
        <v>63</v>
      </c>
      <c r="T16" s="532"/>
      <c r="U16" s="531" t="s">
        <v>709</v>
      </c>
      <c r="V16" s="532"/>
      <c r="W16" s="536" t="s">
        <v>719</v>
      </c>
      <c r="X16" s="537"/>
      <c r="Y16" s="537"/>
      <c r="Z16" s="537"/>
      <c r="AA16" s="537"/>
      <c r="AB16" s="537"/>
      <c r="AC16" s="538"/>
    </row>
    <row r="17" spans="2:29" ht="13.5" customHeight="1">
      <c r="B17" s="164">
        <v>2</v>
      </c>
      <c r="C17" s="158"/>
      <c r="D17" s="56" t="s">
        <v>702</v>
      </c>
      <c r="E17" s="56"/>
      <c r="F17" s="56"/>
      <c r="G17" s="56"/>
      <c r="H17" s="56"/>
      <c r="I17" s="56"/>
      <c r="J17" s="57"/>
      <c r="K17" s="533" t="s">
        <v>720</v>
      </c>
      <c r="L17" s="534"/>
      <c r="M17" s="534"/>
      <c r="N17" s="535"/>
      <c r="O17" s="338" t="s">
        <v>712</v>
      </c>
      <c r="P17" s="338"/>
      <c r="Q17" s="531">
        <v>8</v>
      </c>
      <c r="R17" s="532"/>
      <c r="S17" s="531"/>
      <c r="T17" s="532"/>
      <c r="U17" s="531" t="s">
        <v>57</v>
      </c>
      <c r="V17" s="532"/>
      <c r="W17" s="599" t="s">
        <v>721</v>
      </c>
      <c r="X17" s="600"/>
      <c r="Y17" s="600"/>
      <c r="Z17" s="600"/>
      <c r="AA17" s="600"/>
      <c r="AB17" s="600"/>
      <c r="AC17" s="601"/>
    </row>
    <row r="18" spans="2:29" ht="13.5" customHeight="1">
      <c r="B18" s="164">
        <v>2</v>
      </c>
      <c r="C18" s="158"/>
      <c r="D18" s="56" t="s">
        <v>722</v>
      </c>
      <c r="E18" s="56"/>
      <c r="F18" s="56"/>
      <c r="G18" s="56"/>
      <c r="H18" s="56"/>
      <c r="I18" s="56"/>
      <c r="J18" s="57"/>
      <c r="K18" s="533" t="s">
        <v>723</v>
      </c>
      <c r="L18" s="534"/>
      <c r="M18" s="534"/>
      <c r="N18" s="535"/>
      <c r="O18" s="338" t="s">
        <v>712</v>
      </c>
      <c r="P18" s="338"/>
      <c r="Q18" s="531">
        <v>100</v>
      </c>
      <c r="R18" s="532"/>
      <c r="S18" s="531"/>
      <c r="T18" s="532"/>
      <c r="U18" s="531" t="s">
        <v>709</v>
      </c>
      <c r="V18" s="532"/>
      <c r="W18" s="618"/>
      <c r="X18" s="619"/>
      <c r="Y18" s="619"/>
      <c r="Z18" s="619"/>
      <c r="AA18" s="619"/>
      <c r="AB18" s="619"/>
      <c r="AC18" s="620"/>
    </row>
    <row r="19" spans="2:29" ht="15" customHeight="1">
      <c r="B19" s="164">
        <v>2</v>
      </c>
      <c r="C19" s="169"/>
      <c r="D19" s="416" t="s">
        <v>724</v>
      </c>
      <c r="E19" s="416"/>
      <c r="F19" s="411"/>
      <c r="G19" s="416"/>
      <c r="H19" s="416"/>
      <c r="I19" s="416"/>
      <c r="J19" s="417"/>
      <c r="K19" s="612" t="s">
        <v>725</v>
      </c>
      <c r="L19" s="613"/>
      <c r="M19" s="613"/>
      <c r="N19" s="614"/>
      <c r="O19" s="606" t="s">
        <v>712</v>
      </c>
      <c r="P19" s="607"/>
      <c r="Q19" s="606">
        <v>30</v>
      </c>
      <c r="R19" s="607"/>
      <c r="S19" s="606"/>
      <c r="T19" s="607"/>
      <c r="U19" s="606" t="s">
        <v>709</v>
      </c>
      <c r="V19" s="607"/>
      <c r="W19" s="615"/>
      <c r="X19" s="616"/>
      <c r="Y19" s="616"/>
      <c r="Z19" s="616"/>
      <c r="AA19" s="616"/>
      <c r="AB19" s="616"/>
      <c r="AC19" s="617"/>
    </row>
    <row r="20" spans="2:29">
      <c r="B20" s="163">
        <v>2</v>
      </c>
      <c r="C20" s="158"/>
      <c r="D20" s="56" t="s">
        <v>726</v>
      </c>
      <c r="E20" s="56"/>
      <c r="F20" s="56"/>
      <c r="G20" s="56"/>
      <c r="H20" s="56"/>
      <c r="I20" s="56"/>
      <c r="J20" s="57"/>
      <c r="K20" s="533" t="s">
        <v>727</v>
      </c>
      <c r="L20" s="534"/>
      <c r="M20" s="534"/>
      <c r="N20" s="535"/>
      <c r="O20" s="109" t="s">
        <v>62</v>
      </c>
      <c r="P20" s="57"/>
      <c r="Q20" s="531">
        <v>1000</v>
      </c>
      <c r="R20" s="532"/>
      <c r="S20" s="531"/>
      <c r="T20" s="532"/>
      <c r="U20" s="531"/>
      <c r="V20" s="532"/>
      <c r="W20" s="599"/>
      <c r="X20" s="600"/>
      <c r="Y20" s="600"/>
      <c r="Z20" s="600"/>
      <c r="AA20" s="600"/>
      <c r="AB20" s="600"/>
      <c r="AC20" s="601"/>
    </row>
    <row r="21" spans="2:29">
      <c r="B21" s="388">
        <v>2</v>
      </c>
      <c r="C21" s="378"/>
      <c r="D21" s="56" t="s">
        <v>3290</v>
      </c>
      <c r="E21" s="56"/>
      <c r="F21" s="56"/>
      <c r="G21" s="56"/>
      <c r="H21" s="56"/>
      <c r="I21" s="56"/>
      <c r="J21" s="57"/>
      <c r="K21" s="533" t="s">
        <v>3282</v>
      </c>
      <c r="L21" s="534"/>
      <c r="M21" s="534"/>
      <c r="N21" s="535"/>
      <c r="O21" s="109" t="s">
        <v>62</v>
      </c>
      <c r="P21" s="57"/>
      <c r="Q21" s="531">
        <v>7</v>
      </c>
      <c r="R21" s="532"/>
      <c r="S21" s="531"/>
      <c r="T21" s="532"/>
      <c r="U21" s="606" t="s">
        <v>57</v>
      </c>
      <c r="V21" s="607"/>
      <c r="W21" s="599"/>
      <c r="X21" s="600"/>
      <c r="Y21" s="600"/>
      <c r="Z21" s="600"/>
      <c r="AA21" s="600"/>
      <c r="AB21" s="600"/>
      <c r="AC21" s="601"/>
    </row>
    <row r="22" spans="2:29">
      <c r="B22" s="388">
        <v>2</v>
      </c>
      <c r="C22" s="378"/>
      <c r="D22" s="56" t="s">
        <v>3283</v>
      </c>
      <c r="E22" s="56"/>
      <c r="F22" s="56"/>
      <c r="G22" s="56"/>
      <c r="H22" s="56"/>
      <c r="I22" s="56"/>
      <c r="J22" s="57"/>
      <c r="K22" s="533" t="s">
        <v>3284</v>
      </c>
      <c r="L22" s="534"/>
      <c r="M22" s="534"/>
      <c r="N22" s="535"/>
      <c r="O22" s="109" t="s">
        <v>62</v>
      </c>
      <c r="P22" s="57"/>
      <c r="Q22" s="531">
        <v>10</v>
      </c>
      <c r="R22" s="532"/>
      <c r="S22" s="531"/>
      <c r="T22" s="532"/>
      <c r="U22" s="606" t="s">
        <v>57</v>
      </c>
      <c r="V22" s="607"/>
      <c r="W22" s="599" t="s">
        <v>3328</v>
      </c>
      <c r="X22" s="600"/>
      <c r="Y22" s="600"/>
      <c r="Z22" s="600"/>
      <c r="AA22" s="600"/>
      <c r="AB22" s="600"/>
      <c r="AC22" s="601"/>
    </row>
    <row r="23" spans="2:29">
      <c r="B23" s="388">
        <v>2</v>
      </c>
      <c r="C23" s="378"/>
      <c r="D23" s="56" t="s">
        <v>3293</v>
      </c>
      <c r="E23" s="56"/>
      <c r="F23" s="56"/>
      <c r="G23" s="56"/>
      <c r="H23" s="56"/>
      <c r="I23" s="56"/>
      <c r="J23" s="57"/>
      <c r="K23" s="533" t="s">
        <v>3285</v>
      </c>
      <c r="L23" s="534"/>
      <c r="M23" s="534"/>
      <c r="N23" s="535"/>
      <c r="O23" s="109" t="s">
        <v>62</v>
      </c>
      <c r="P23" s="57"/>
      <c r="Q23" s="531">
        <v>4</v>
      </c>
      <c r="R23" s="532"/>
      <c r="S23" s="531"/>
      <c r="T23" s="532"/>
      <c r="U23" s="606" t="s">
        <v>57</v>
      </c>
      <c r="V23" s="607"/>
      <c r="W23" s="599"/>
      <c r="X23" s="600"/>
      <c r="Y23" s="600"/>
      <c r="Z23" s="600"/>
      <c r="AA23" s="600"/>
      <c r="AB23" s="600"/>
      <c r="AC23" s="601"/>
    </row>
    <row r="24" spans="2:29">
      <c r="B24" s="168">
        <v>2</v>
      </c>
      <c r="C24" s="165"/>
      <c r="D24" s="166" t="s">
        <v>728</v>
      </c>
      <c r="E24" s="166"/>
      <c r="F24" s="161"/>
      <c r="G24" s="166"/>
      <c r="H24" s="166"/>
      <c r="I24" s="166"/>
      <c r="J24" s="167"/>
      <c r="K24" s="593" t="s">
        <v>59</v>
      </c>
      <c r="L24" s="594"/>
      <c r="M24" s="594"/>
      <c r="N24" s="595"/>
      <c r="O24" s="611"/>
      <c r="P24" s="611"/>
      <c r="Q24" s="611"/>
      <c r="R24" s="611"/>
      <c r="S24" s="611"/>
      <c r="T24" s="611"/>
      <c r="U24" s="611"/>
      <c r="V24" s="611"/>
      <c r="W24" s="593"/>
      <c r="X24" s="594"/>
      <c r="Y24" s="594"/>
      <c r="Z24" s="594"/>
      <c r="AA24" s="594"/>
      <c r="AB24" s="594"/>
      <c r="AC24" s="595"/>
    </row>
    <row r="25" spans="2:29" ht="13.5" customHeight="1">
      <c r="B25" s="163">
        <v>3</v>
      </c>
      <c r="C25" s="154"/>
      <c r="D25" s="155"/>
      <c r="E25" s="158" t="s">
        <v>131</v>
      </c>
      <c r="F25" s="158"/>
      <c r="G25" s="155"/>
      <c r="H25" s="155"/>
      <c r="I25" s="155"/>
      <c r="J25" s="156"/>
      <c r="K25" s="483" t="s">
        <v>729</v>
      </c>
      <c r="L25" s="484"/>
      <c r="M25" s="484"/>
      <c r="N25" s="485"/>
      <c r="O25" s="467" t="s">
        <v>712</v>
      </c>
      <c r="P25" s="468"/>
      <c r="Q25" s="502">
        <v>20</v>
      </c>
      <c r="R25" s="502"/>
      <c r="S25" s="502" t="s">
        <v>730</v>
      </c>
      <c r="T25" s="502"/>
      <c r="U25" s="502" t="s">
        <v>57</v>
      </c>
      <c r="V25" s="502"/>
      <c r="W25" s="464" t="s">
        <v>731</v>
      </c>
      <c r="X25" s="465"/>
      <c r="Y25" s="465"/>
      <c r="Z25" s="465"/>
      <c r="AA25" s="465"/>
      <c r="AB25" s="465"/>
      <c r="AC25" s="466"/>
    </row>
    <row r="26" spans="2:29">
      <c r="B26" s="163">
        <v>3</v>
      </c>
      <c r="C26" s="154"/>
      <c r="D26" s="155"/>
      <c r="E26" s="158" t="s">
        <v>732</v>
      </c>
      <c r="F26" s="158"/>
      <c r="G26" s="155"/>
      <c r="H26" s="155"/>
      <c r="I26" s="155"/>
      <c r="J26" s="156"/>
      <c r="K26" s="483" t="s">
        <v>733</v>
      </c>
      <c r="L26" s="484"/>
      <c r="M26" s="484"/>
      <c r="N26" s="485"/>
      <c r="O26" s="502" t="s">
        <v>712</v>
      </c>
      <c r="P26" s="502"/>
      <c r="Q26" s="527">
        <v>50</v>
      </c>
      <c r="R26" s="527"/>
      <c r="S26" s="467"/>
      <c r="T26" s="468"/>
      <c r="U26" s="502" t="s">
        <v>709</v>
      </c>
      <c r="V26" s="502"/>
      <c r="W26" s="483"/>
      <c r="X26" s="484"/>
      <c r="Y26" s="484"/>
      <c r="Z26" s="484"/>
      <c r="AA26" s="484"/>
      <c r="AB26" s="484"/>
      <c r="AC26" s="485"/>
    </row>
    <row r="27" spans="2:29" ht="13.5" customHeight="1">
      <c r="B27" s="163">
        <v>3</v>
      </c>
      <c r="C27" s="154"/>
      <c r="D27" s="155"/>
      <c r="E27" s="155" t="s">
        <v>132</v>
      </c>
      <c r="F27" s="155"/>
      <c r="G27" s="155"/>
      <c r="H27" s="155"/>
      <c r="I27" s="155"/>
      <c r="J27" s="156"/>
      <c r="K27" s="608" t="s">
        <v>133</v>
      </c>
      <c r="L27" s="609"/>
      <c r="M27" s="609"/>
      <c r="N27" s="610"/>
      <c r="O27" s="502" t="s">
        <v>708</v>
      </c>
      <c r="P27" s="502"/>
      <c r="Q27" s="467">
        <v>10</v>
      </c>
      <c r="R27" s="468"/>
      <c r="S27" s="502"/>
      <c r="T27" s="502"/>
      <c r="U27" s="502" t="s">
        <v>709</v>
      </c>
      <c r="V27" s="502"/>
      <c r="W27" s="483"/>
      <c r="X27" s="484"/>
      <c r="Y27" s="484"/>
      <c r="Z27" s="484"/>
      <c r="AA27" s="484"/>
      <c r="AB27" s="484"/>
      <c r="AC27" s="485"/>
    </row>
    <row r="28" spans="2:29">
      <c r="B28" s="163">
        <v>3</v>
      </c>
      <c r="C28" s="154"/>
      <c r="D28" s="155"/>
      <c r="E28" s="155" t="s">
        <v>134</v>
      </c>
      <c r="F28" s="155"/>
      <c r="G28" s="155"/>
      <c r="H28" s="155"/>
      <c r="I28" s="155"/>
      <c r="J28" s="156"/>
      <c r="K28" s="608" t="s">
        <v>734</v>
      </c>
      <c r="L28" s="609"/>
      <c r="M28" s="609"/>
      <c r="N28" s="610"/>
      <c r="O28" s="502" t="s">
        <v>712</v>
      </c>
      <c r="P28" s="502"/>
      <c r="Q28" s="502">
        <v>8</v>
      </c>
      <c r="R28" s="502"/>
      <c r="S28" s="502"/>
      <c r="T28" s="502"/>
      <c r="U28" s="502"/>
      <c r="V28" s="502"/>
      <c r="W28" s="483" t="s">
        <v>735</v>
      </c>
      <c r="X28" s="484"/>
      <c r="Y28" s="484"/>
      <c r="Z28" s="484"/>
      <c r="AA28" s="484"/>
      <c r="AB28" s="484"/>
      <c r="AC28" s="485"/>
    </row>
    <row r="29" spans="2:29" ht="15.6" customHeight="1">
      <c r="B29" s="163">
        <v>3</v>
      </c>
      <c r="C29" s="154"/>
      <c r="D29" s="155"/>
      <c r="E29" s="155" t="s">
        <v>705</v>
      </c>
      <c r="F29" s="155"/>
      <c r="G29" s="155"/>
      <c r="H29" s="155"/>
      <c r="I29" s="155"/>
      <c r="J29" s="156"/>
      <c r="K29" s="608" t="s">
        <v>706</v>
      </c>
      <c r="L29" s="609"/>
      <c r="M29" s="609"/>
      <c r="N29" s="610"/>
      <c r="O29" s="502" t="s">
        <v>712</v>
      </c>
      <c r="P29" s="502"/>
      <c r="Q29" s="502">
        <v>30</v>
      </c>
      <c r="R29" s="502"/>
      <c r="S29" s="502"/>
      <c r="T29" s="502"/>
      <c r="U29" s="502"/>
      <c r="V29" s="502"/>
      <c r="W29" s="483" t="s">
        <v>736</v>
      </c>
      <c r="X29" s="484"/>
      <c r="Y29" s="484"/>
      <c r="Z29" s="484"/>
      <c r="AA29" s="484"/>
      <c r="AB29" s="484"/>
      <c r="AC29" s="485"/>
    </row>
    <row r="30" spans="2:29">
      <c r="B30" s="163">
        <v>3</v>
      </c>
      <c r="C30" s="154"/>
      <c r="D30" s="155"/>
      <c r="E30" s="155" t="s">
        <v>737</v>
      </c>
      <c r="F30" s="155"/>
      <c r="G30" s="155"/>
      <c r="H30" s="155"/>
      <c r="I30" s="155"/>
      <c r="J30" s="156"/>
      <c r="K30" s="608" t="s">
        <v>738</v>
      </c>
      <c r="L30" s="609"/>
      <c r="M30" s="609"/>
      <c r="N30" s="610"/>
      <c r="O30" s="502" t="s">
        <v>708</v>
      </c>
      <c r="P30" s="502"/>
      <c r="Q30" s="467">
        <v>10</v>
      </c>
      <c r="R30" s="468"/>
      <c r="S30" s="502"/>
      <c r="T30" s="502"/>
      <c r="U30" s="502"/>
      <c r="V30" s="502"/>
      <c r="W30" s="483"/>
      <c r="X30" s="484"/>
      <c r="Y30" s="484"/>
      <c r="Z30" s="484"/>
      <c r="AA30" s="484"/>
      <c r="AB30" s="484"/>
      <c r="AC30" s="485"/>
    </row>
    <row r="31" spans="2:29" ht="15.95" customHeight="1">
      <c r="B31" s="163">
        <v>3</v>
      </c>
      <c r="C31" s="154"/>
      <c r="D31" s="155"/>
      <c r="E31" s="155" t="s">
        <v>739</v>
      </c>
      <c r="F31" s="155"/>
      <c r="G31" s="155"/>
      <c r="H31" s="155"/>
      <c r="I31" s="155"/>
      <c r="J31" s="156"/>
      <c r="K31" s="608" t="s">
        <v>740</v>
      </c>
      <c r="L31" s="609"/>
      <c r="M31" s="609"/>
      <c r="N31" s="610"/>
      <c r="O31" s="502" t="s">
        <v>708</v>
      </c>
      <c r="P31" s="502"/>
      <c r="Q31" s="467">
        <v>10</v>
      </c>
      <c r="R31" s="468"/>
      <c r="S31" s="502"/>
      <c r="T31" s="502"/>
      <c r="U31" s="502"/>
      <c r="V31" s="502"/>
      <c r="W31" s="483"/>
      <c r="X31" s="484"/>
      <c r="Y31" s="484"/>
      <c r="Z31" s="484"/>
      <c r="AA31" s="484"/>
      <c r="AB31" s="484"/>
      <c r="AC31" s="485"/>
    </row>
    <row r="32" spans="2:29">
      <c r="B32" s="388">
        <v>3</v>
      </c>
      <c r="C32" s="387"/>
      <c r="D32" s="108"/>
      <c r="E32" s="414" t="s">
        <v>3286</v>
      </c>
      <c r="F32" s="414"/>
      <c r="G32" s="414"/>
      <c r="H32" s="414"/>
      <c r="I32" s="414"/>
      <c r="J32" s="415"/>
      <c r="K32" s="602" t="s">
        <v>2416</v>
      </c>
      <c r="L32" s="603"/>
      <c r="M32" s="603"/>
      <c r="N32" s="604"/>
      <c r="O32" s="413" t="s">
        <v>62</v>
      </c>
      <c r="P32" s="415"/>
      <c r="Q32" s="531">
        <v>3</v>
      </c>
      <c r="R32" s="532"/>
      <c r="S32" s="531"/>
      <c r="T32" s="532"/>
      <c r="U32" s="527" t="s">
        <v>57</v>
      </c>
      <c r="V32" s="527"/>
      <c r="W32" s="605" t="s">
        <v>2003</v>
      </c>
      <c r="X32" s="484"/>
      <c r="Y32" s="484"/>
      <c r="Z32" s="484"/>
      <c r="AA32" s="484"/>
      <c r="AB32" s="484"/>
      <c r="AC32" s="485"/>
    </row>
    <row r="33" spans="2:29">
      <c r="B33" s="388">
        <v>3</v>
      </c>
      <c r="C33" s="387"/>
      <c r="D33" s="108"/>
      <c r="E33" s="414" t="s">
        <v>3287</v>
      </c>
      <c r="F33" s="414"/>
      <c r="G33" s="414"/>
      <c r="H33" s="414"/>
      <c r="I33" s="414"/>
      <c r="J33" s="415"/>
      <c r="K33" s="602" t="s">
        <v>3296</v>
      </c>
      <c r="L33" s="603"/>
      <c r="M33" s="603"/>
      <c r="N33" s="604"/>
      <c r="O33" s="527" t="s">
        <v>56</v>
      </c>
      <c r="P33" s="527"/>
      <c r="Q33" s="531">
        <v>5</v>
      </c>
      <c r="R33" s="532"/>
      <c r="S33" s="531"/>
      <c r="T33" s="532"/>
      <c r="U33" s="527" t="s">
        <v>57</v>
      </c>
      <c r="V33" s="527"/>
      <c r="W33" s="483">
        <v>1</v>
      </c>
      <c r="X33" s="484"/>
      <c r="Y33" s="484"/>
      <c r="Z33" s="484"/>
      <c r="AA33" s="484"/>
      <c r="AB33" s="484"/>
      <c r="AC33" s="485"/>
    </row>
    <row r="34" spans="2:29">
      <c r="B34" s="388">
        <v>3</v>
      </c>
      <c r="C34" s="385"/>
      <c r="D34" s="386"/>
      <c r="E34" s="409" t="s">
        <v>3288</v>
      </c>
      <c r="F34" s="409"/>
      <c r="G34" s="409"/>
      <c r="H34" s="409"/>
      <c r="I34" s="409"/>
      <c r="J34" s="410"/>
      <c r="K34" s="602" t="s">
        <v>3289</v>
      </c>
      <c r="L34" s="603"/>
      <c r="M34" s="603"/>
      <c r="N34" s="604"/>
      <c r="O34" s="413" t="s">
        <v>62</v>
      </c>
      <c r="P34" s="415"/>
      <c r="Q34" s="531">
        <v>3</v>
      </c>
      <c r="R34" s="532"/>
      <c r="S34" s="527"/>
      <c r="T34" s="527"/>
      <c r="U34" s="527" t="s">
        <v>57</v>
      </c>
      <c r="V34" s="527"/>
      <c r="W34" s="483"/>
      <c r="X34" s="484"/>
      <c r="Y34" s="484"/>
      <c r="Z34" s="484"/>
      <c r="AA34" s="484"/>
      <c r="AB34" s="484"/>
      <c r="AC34" s="485"/>
    </row>
    <row r="35" spans="2:29">
      <c r="B35" s="388">
        <v>3</v>
      </c>
      <c r="C35" s="385"/>
      <c r="D35" s="386"/>
      <c r="E35" s="409" t="s">
        <v>3329</v>
      </c>
      <c r="F35" s="409"/>
      <c r="G35" s="409"/>
      <c r="H35" s="409"/>
      <c r="I35" s="409"/>
      <c r="J35" s="410"/>
      <c r="K35" s="602" t="s">
        <v>3298</v>
      </c>
      <c r="L35" s="603"/>
      <c r="M35" s="603"/>
      <c r="N35" s="604"/>
      <c r="O35" s="413" t="s">
        <v>62</v>
      </c>
      <c r="P35" s="415"/>
      <c r="Q35" s="531">
        <v>3</v>
      </c>
      <c r="R35" s="532"/>
      <c r="S35" s="527"/>
      <c r="T35" s="527"/>
      <c r="U35" s="527" t="s">
        <v>57</v>
      </c>
      <c r="V35" s="527"/>
      <c r="W35" s="483"/>
      <c r="X35" s="484"/>
      <c r="Y35" s="484"/>
      <c r="Z35" s="484"/>
      <c r="AA35" s="484"/>
      <c r="AB35" s="484"/>
      <c r="AC35" s="485"/>
    </row>
    <row r="36" spans="2:29">
      <c r="B36" s="486"/>
      <c r="C36" s="486"/>
      <c r="D36" s="486"/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</row>
    <row r="37" spans="2:29" ht="16.5">
      <c r="B37" s="586" t="s">
        <v>407</v>
      </c>
      <c r="C37" s="587"/>
      <c r="D37" s="587"/>
      <c r="E37" s="588"/>
      <c r="F37" s="589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3"/>
      <c r="W37" s="623"/>
      <c r="X37" s="623"/>
      <c r="Y37" s="623"/>
      <c r="Z37" s="623"/>
      <c r="AA37" s="623"/>
      <c r="AB37" s="623"/>
      <c r="AC37" s="624"/>
    </row>
    <row r="38" spans="2:29">
      <c r="B38" s="4" t="s">
        <v>408</v>
      </c>
      <c r="C38" s="512" t="s">
        <v>413</v>
      </c>
      <c r="D38" s="592"/>
      <c r="E38" s="592"/>
      <c r="F38" s="592"/>
      <c r="G38" s="592"/>
      <c r="H38" s="592"/>
      <c r="I38" s="592"/>
      <c r="J38" s="513"/>
      <c r="K38" s="512" t="s">
        <v>337</v>
      </c>
      <c r="L38" s="592"/>
      <c r="M38" s="592"/>
      <c r="N38" s="513"/>
      <c r="O38" s="512" t="s">
        <v>49</v>
      </c>
      <c r="P38" s="513"/>
      <c r="Q38" s="512" t="s">
        <v>197</v>
      </c>
      <c r="R38" s="513"/>
      <c r="S38" s="512" t="s">
        <v>51</v>
      </c>
      <c r="T38" s="513"/>
      <c r="U38" s="512" t="s">
        <v>415</v>
      </c>
      <c r="V38" s="513"/>
      <c r="W38" s="512" t="s">
        <v>426</v>
      </c>
      <c r="X38" s="592"/>
      <c r="Y38" s="592"/>
      <c r="Z38" s="592"/>
      <c r="AA38" s="592"/>
      <c r="AB38" s="592"/>
      <c r="AC38" s="513"/>
    </row>
    <row r="39" spans="2:29" ht="13.5" customHeight="1">
      <c r="B39" s="49">
        <v>1</v>
      </c>
      <c r="C39" s="50" t="s">
        <v>86</v>
      </c>
      <c r="D39" s="51"/>
      <c r="E39" s="51"/>
      <c r="F39" s="51"/>
      <c r="G39" s="51"/>
      <c r="H39" s="51"/>
      <c r="I39" s="51"/>
      <c r="J39" s="52"/>
      <c r="K39" s="490" t="s">
        <v>87</v>
      </c>
      <c r="L39" s="491"/>
      <c r="M39" s="491"/>
      <c r="N39" s="492"/>
      <c r="O39" s="467" t="s">
        <v>403</v>
      </c>
      <c r="P39" s="468"/>
      <c r="Q39" s="467">
        <v>20</v>
      </c>
      <c r="R39" s="468"/>
      <c r="S39" s="467"/>
      <c r="T39" s="468"/>
      <c r="U39" s="467" t="s">
        <v>401</v>
      </c>
      <c r="V39" s="468"/>
      <c r="W39" s="493" t="s">
        <v>352</v>
      </c>
      <c r="X39" s="484"/>
      <c r="Y39" s="484"/>
      <c r="Z39" s="484"/>
      <c r="AA39" s="484"/>
      <c r="AB39" s="484"/>
      <c r="AC39" s="485"/>
    </row>
    <row r="40" spans="2:29">
      <c r="B40" s="49">
        <v>1</v>
      </c>
      <c r="C40" s="50" t="s">
        <v>89</v>
      </c>
      <c r="D40" s="51"/>
      <c r="E40" s="51"/>
      <c r="F40" s="51"/>
      <c r="G40" s="51"/>
      <c r="H40" s="51"/>
      <c r="I40" s="51"/>
      <c r="J40" s="52"/>
      <c r="K40" s="494" t="s">
        <v>75</v>
      </c>
      <c r="L40" s="495"/>
      <c r="M40" s="495"/>
      <c r="N40" s="496"/>
      <c r="O40" s="467" t="s">
        <v>424</v>
      </c>
      <c r="P40" s="468"/>
      <c r="Q40" s="467">
        <v>4000</v>
      </c>
      <c r="R40" s="468"/>
      <c r="S40" s="467"/>
      <c r="T40" s="468"/>
      <c r="U40" s="467" t="s">
        <v>64</v>
      </c>
      <c r="V40" s="468"/>
      <c r="W40" s="483" t="s">
        <v>404</v>
      </c>
      <c r="X40" s="484"/>
      <c r="Y40" s="484"/>
      <c r="Z40" s="484"/>
      <c r="AA40" s="484"/>
      <c r="AB40" s="484"/>
      <c r="AC40" s="485"/>
    </row>
    <row r="41" spans="2:29">
      <c r="B41" s="58">
        <v>1</v>
      </c>
      <c r="C41" s="59" t="s">
        <v>90</v>
      </c>
      <c r="D41" s="59"/>
      <c r="E41" s="59"/>
      <c r="F41" s="59"/>
      <c r="G41" s="59"/>
      <c r="H41" s="59"/>
      <c r="I41" s="59"/>
      <c r="J41" s="60"/>
      <c r="K41" s="497" t="s">
        <v>427</v>
      </c>
      <c r="L41" s="498"/>
      <c r="M41" s="498"/>
      <c r="N41" s="499"/>
      <c r="O41" s="472"/>
      <c r="P41" s="473"/>
      <c r="Q41" s="472"/>
      <c r="R41" s="473"/>
      <c r="S41" s="472"/>
      <c r="T41" s="473"/>
      <c r="U41" s="472"/>
      <c r="V41" s="473"/>
      <c r="W41" s="487"/>
      <c r="X41" s="488"/>
      <c r="Y41" s="488"/>
      <c r="Z41" s="488"/>
      <c r="AA41" s="488"/>
      <c r="AB41" s="488"/>
      <c r="AC41" s="489"/>
    </row>
    <row r="42" spans="2:29">
      <c r="B42" s="49">
        <v>2</v>
      </c>
      <c r="C42" s="50"/>
      <c r="D42" s="51" t="s">
        <v>130</v>
      </c>
      <c r="E42" s="51"/>
      <c r="F42" s="51"/>
      <c r="G42" s="51"/>
      <c r="H42" s="51"/>
      <c r="I42" s="51"/>
      <c r="J42" s="52"/>
      <c r="K42" s="494" t="s">
        <v>423</v>
      </c>
      <c r="L42" s="495"/>
      <c r="M42" s="495"/>
      <c r="N42" s="496"/>
      <c r="O42" s="467" t="s">
        <v>62</v>
      </c>
      <c r="P42" s="468"/>
      <c r="Q42" s="467">
        <v>20</v>
      </c>
      <c r="R42" s="468"/>
      <c r="S42" s="467" t="s">
        <v>214</v>
      </c>
      <c r="T42" s="468"/>
      <c r="U42" s="467" t="s">
        <v>401</v>
      </c>
      <c r="V42" s="468"/>
      <c r="W42" s="464" t="s">
        <v>428</v>
      </c>
      <c r="X42" s="465"/>
      <c r="Y42" s="465"/>
      <c r="Z42" s="465"/>
      <c r="AA42" s="465"/>
      <c r="AB42" s="465"/>
      <c r="AC42" s="466"/>
    </row>
    <row r="43" spans="2:29">
      <c r="B43" s="49">
        <v>2</v>
      </c>
      <c r="C43" s="50"/>
      <c r="D43" s="51" t="s">
        <v>691</v>
      </c>
      <c r="E43" s="51"/>
      <c r="F43" s="51"/>
      <c r="G43" s="51"/>
      <c r="H43" s="51"/>
      <c r="I43" s="51"/>
      <c r="J43" s="52"/>
      <c r="K43" s="483" t="s">
        <v>692</v>
      </c>
      <c r="L43" s="484"/>
      <c r="M43" s="484"/>
      <c r="N43" s="485"/>
      <c r="O43" s="467" t="s">
        <v>62</v>
      </c>
      <c r="P43" s="468"/>
      <c r="Q43" s="467">
        <v>50</v>
      </c>
      <c r="R43" s="468"/>
      <c r="S43" s="467" t="s">
        <v>63</v>
      </c>
      <c r="T43" s="468"/>
      <c r="U43" s="467" t="s">
        <v>57</v>
      </c>
      <c r="V43" s="468"/>
      <c r="W43" s="493" t="s">
        <v>402</v>
      </c>
      <c r="X43" s="544"/>
      <c r="Y43" s="544"/>
      <c r="Z43" s="544"/>
      <c r="AA43" s="544"/>
      <c r="AB43" s="544"/>
      <c r="AC43" s="545"/>
    </row>
    <row r="44" spans="2:29" ht="13.5" customHeight="1">
      <c r="B44" s="49">
        <v>2</v>
      </c>
      <c r="C44" s="61"/>
      <c r="D44" s="62" t="s">
        <v>429</v>
      </c>
      <c r="E44" s="51"/>
      <c r="F44" s="51"/>
      <c r="G44" s="62"/>
      <c r="H44" s="62"/>
      <c r="I44" s="62"/>
      <c r="J44" s="63"/>
      <c r="K44" s="469" t="s">
        <v>272</v>
      </c>
      <c r="L44" s="470"/>
      <c r="M44" s="470"/>
      <c r="N44" s="471"/>
      <c r="O44" s="467" t="s">
        <v>425</v>
      </c>
      <c r="P44" s="468"/>
      <c r="Q44" s="467">
        <v>1</v>
      </c>
      <c r="R44" s="468"/>
      <c r="S44" s="467"/>
      <c r="T44" s="468"/>
      <c r="U44" s="467" t="s">
        <v>64</v>
      </c>
      <c r="V44" s="468"/>
      <c r="W44" s="493" t="s">
        <v>352</v>
      </c>
      <c r="X44" s="484"/>
      <c r="Y44" s="484"/>
      <c r="Z44" s="484"/>
      <c r="AA44" s="484"/>
      <c r="AB44" s="484"/>
      <c r="AC44" s="485"/>
    </row>
    <row r="45" spans="2:29">
      <c r="B45" s="49">
        <v>2</v>
      </c>
      <c r="C45" s="61"/>
      <c r="D45" s="62" t="s">
        <v>430</v>
      </c>
      <c r="E45" s="51"/>
      <c r="F45" s="51"/>
      <c r="G45" s="62"/>
      <c r="H45" s="62"/>
      <c r="I45" s="62"/>
      <c r="J45" s="63"/>
      <c r="K45" s="469" t="s">
        <v>298</v>
      </c>
      <c r="L45" s="470"/>
      <c r="M45" s="470"/>
      <c r="N45" s="471"/>
      <c r="O45" s="467" t="s">
        <v>62</v>
      </c>
      <c r="P45" s="468"/>
      <c r="Q45" s="467">
        <v>100</v>
      </c>
      <c r="R45" s="468"/>
      <c r="S45" s="467"/>
      <c r="T45" s="468"/>
      <c r="U45" s="467"/>
      <c r="V45" s="468"/>
      <c r="W45" s="464" t="s">
        <v>409</v>
      </c>
      <c r="X45" s="465"/>
      <c r="Y45" s="465"/>
      <c r="Z45" s="465"/>
      <c r="AA45" s="465"/>
      <c r="AB45" s="465"/>
      <c r="AC45" s="466"/>
    </row>
    <row r="46" spans="2:29" ht="16.5">
      <c r="B46" s="625"/>
      <c r="C46" s="625"/>
      <c r="D46" s="625"/>
      <c r="E46" s="625"/>
      <c r="F46" s="625"/>
      <c r="G46" s="625"/>
      <c r="H46" s="625"/>
      <c r="I46" s="625"/>
      <c r="J46" s="625"/>
      <c r="K46" s="625"/>
      <c r="L46" s="625"/>
      <c r="M46" s="625"/>
      <c r="N46" s="625"/>
      <c r="O46" s="625"/>
      <c r="P46" s="625"/>
      <c r="Q46" s="625"/>
      <c r="R46" s="625"/>
      <c r="S46" s="625"/>
      <c r="T46" s="625"/>
      <c r="U46" s="625"/>
      <c r="V46" s="625"/>
      <c r="W46" s="625"/>
      <c r="X46" s="625"/>
      <c r="Y46" s="625"/>
      <c r="Z46" s="625"/>
      <c r="AA46" s="625"/>
      <c r="AB46" s="625"/>
      <c r="AC46" s="625"/>
    </row>
    <row r="47" spans="2:29">
      <c r="B47" s="474" t="s">
        <v>345</v>
      </c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6"/>
    </row>
    <row r="48" spans="2:29" ht="13.5" customHeight="1">
      <c r="B48" s="568" t="s">
        <v>3391</v>
      </c>
      <c r="C48" s="478"/>
      <c r="D48" s="478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8"/>
      <c r="Q48" s="478"/>
      <c r="R48" s="478"/>
      <c r="S48" s="478"/>
      <c r="T48" s="478"/>
      <c r="U48" s="478"/>
      <c r="V48" s="478"/>
      <c r="W48" s="478"/>
      <c r="X48" s="478"/>
      <c r="Y48" s="478"/>
      <c r="Z48" s="478"/>
      <c r="AA48" s="478"/>
      <c r="AB48" s="478"/>
      <c r="AC48" s="479"/>
    </row>
    <row r="49" spans="2:29">
      <c r="B49" s="480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  <c r="AC49" s="482"/>
    </row>
    <row r="50" spans="2:29" ht="16.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</sheetData>
  <mergeCells count="230">
    <mergeCell ref="K13:N13"/>
    <mergeCell ref="Q13:R13"/>
    <mergeCell ref="S13:T13"/>
    <mergeCell ref="U13:V13"/>
    <mergeCell ref="W13:AC13"/>
    <mergeCell ref="K14:N14"/>
    <mergeCell ref="Q14:R14"/>
    <mergeCell ref="S14:T14"/>
    <mergeCell ref="U14:V14"/>
    <mergeCell ref="W14:AC14"/>
    <mergeCell ref="B46:AC46"/>
    <mergeCell ref="B47:AC47"/>
    <mergeCell ref="B48:AC49"/>
    <mergeCell ref="K45:N45"/>
    <mergeCell ref="O45:P45"/>
    <mergeCell ref="Q45:R45"/>
    <mergeCell ref="S45:T45"/>
    <mergeCell ref="U45:V45"/>
    <mergeCell ref="W45:AC45"/>
    <mergeCell ref="Q40:R40"/>
    <mergeCell ref="S40:T40"/>
    <mergeCell ref="U40:V40"/>
    <mergeCell ref="K44:N44"/>
    <mergeCell ref="O44:P44"/>
    <mergeCell ref="Q44:R44"/>
    <mergeCell ref="S44:T44"/>
    <mergeCell ref="U44:V44"/>
    <mergeCell ref="K42:N42"/>
    <mergeCell ref="O42:P42"/>
    <mergeCell ref="Q42:R42"/>
    <mergeCell ref="S42:T42"/>
    <mergeCell ref="U42:V42"/>
    <mergeCell ref="K43:N43"/>
    <mergeCell ref="O43:P43"/>
    <mergeCell ref="Q43:R43"/>
    <mergeCell ref="S43:T43"/>
    <mergeCell ref="U43:V43"/>
    <mergeCell ref="F37:AC37"/>
    <mergeCell ref="W43:AC43"/>
    <mergeCell ref="W42:AC42"/>
    <mergeCell ref="W38:AC38"/>
    <mergeCell ref="K39:N39"/>
    <mergeCell ref="O39:P39"/>
    <mergeCell ref="Q39:R39"/>
    <mergeCell ref="S39:T39"/>
    <mergeCell ref="U39:V39"/>
    <mergeCell ref="C38:J38"/>
    <mergeCell ref="K38:N38"/>
    <mergeCell ref="O38:P38"/>
    <mergeCell ref="Q38:R38"/>
    <mergeCell ref="S38:T38"/>
    <mergeCell ref="U38:V38"/>
    <mergeCell ref="W41:AC41"/>
    <mergeCell ref="W40:AC40"/>
    <mergeCell ref="K41:N41"/>
    <mergeCell ref="O41:P41"/>
    <mergeCell ref="Q41:R41"/>
    <mergeCell ref="S41:T41"/>
    <mergeCell ref="U41:V41"/>
    <mergeCell ref="K40:N40"/>
    <mergeCell ref="O40:P40"/>
    <mergeCell ref="C8:J8"/>
    <mergeCell ref="K8:N8"/>
    <mergeCell ref="O8:P8"/>
    <mergeCell ref="Q8:R8"/>
    <mergeCell ref="S8:T8"/>
    <mergeCell ref="U8:V8"/>
    <mergeCell ref="B2:D2"/>
    <mergeCell ref="E2:N2"/>
    <mergeCell ref="O2:Q2"/>
    <mergeCell ref="R2:AC2"/>
    <mergeCell ref="B3:D3"/>
    <mergeCell ref="E3:AC3"/>
    <mergeCell ref="B5:D5"/>
    <mergeCell ref="E5:N5"/>
    <mergeCell ref="O5:Q5"/>
    <mergeCell ref="R5:AC5"/>
    <mergeCell ref="B4:D4"/>
    <mergeCell ref="E4:N4"/>
    <mergeCell ref="O4:Q4"/>
    <mergeCell ref="R4:AC4"/>
    <mergeCell ref="B6:AB6"/>
    <mergeCell ref="B7:E7"/>
    <mergeCell ref="F7:AC7"/>
    <mergeCell ref="W8:AC8"/>
    <mergeCell ref="K15:N15"/>
    <mergeCell ref="O15:P15"/>
    <mergeCell ref="Q15:R15"/>
    <mergeCell ref="S15:T15"/>
    <mergeCell ref="U15:V15"/>
    <mergeCell ref="W15:AC15"/>
    <mergeCell ref="K16:N16"/>
    <mergeCell ref="O16:P16"/>
    <mergeCell ref="Q16:R16"/>
    <mergeCell ref="S16:T16"/>
    <mergeCell ref="U16:V16"/>
    <mergeCell ref="W16:AC16"/>
    <mergeCell ref="K17:N17"/>
    <mergeCell ref="Q17:R17"/>
    <mergeCell ref="S17:T17"/>
    <mergeCell ref="U17:V17"/>
    <mergeCell ref="W17:AC17"/>
    <mergeCell ref="K18:N18"/>
    <mergeCell ref="Q18:R18"/>
    <mergeCell ref="S18:T18"/>
    <mergeCell ref="U18:V18"/>
    <mergeCell ref="W18:AC18"/>
    <mergeCell ref="W44:AC44"/>
    <mergeCell ref="K19:N19"/>
    <mergeCell ref="O19:P19"/>
    <mergeCell ref="Q19:R19"/>
    <mergeCell ref="S19:T19"/>
    <mergeCell ref="U19:V19"/>
    <mergeCell ref="W19:AC19"/>
    <mergeCell ref="K20:N20"/>
    <mergeCell ref="Q20:R20"/>
    <mergeCell ref="S20:T20"/>
    <mergeCell ref="U20:V20"/>
    <mergeCell ref="W20:AC20"/>
    <mergeCell ref="U25:V25"/>
    <mergeCell ref="W25:AC25"/>
    <mergeCell ref="W39:AC39"/>
    <mergeCell ref="U27:V27"/>
    <mergeCell ref="W27:AC27"/>
    <mergeCell ref="U29:V29"/>
    <mergeCell ref="W29:AC29"/>
    <mergeCell ref="K30:N30"/>
    <mergeCell ref="O30:P30"/>
    <mergeCell ref="Q30:R30"/>
    <mergeCell ref="B36:AC36"/>
    <mergeCell ref="B37:E37"/>
    <mergeCell ref="K29:N29"/>
    <mergeCell ref="O29:P29"/>
    <mergeCell ref="Q29:R29"/>
    <mergeCell ref="S29:T29"/>
    <mergeCell ref="K26:N26"/>
    <mergeCell ref="O26:P26"/>
    <mergeCell ref="Q26:R26"/>
    <mergeCell ref="S26:T26"/>
    <mergeCell ref="U26:V26"/>
    <mergeCell ref="K27:N27"/>
    <mergeCell ref="O27:P27"/>
    <mergeCell ref="Q27:R27"/>
    <mergeCell ref="S27:T27"/>
    <mergeCell ref="K28:N28"/>
    <mergeCell ref="O28:P28"/>
    <mergeCell ref="Q28:R28"/>
    <mergeCell ref="S28:T28"/>
    <mergeCell ref="U28:V28"/>
    <mergeCell ref="W28:AC28"/>
    <mergeCell ref="W26:AC26"/>
    <mergeCell ref="K24:N24"/>
    <mergeCell ref="O24:P24"/>
    <mergeCell ref="Q24:R24"/>
    <mergeCell ref="S24:T24"/>
    <mergeCell ref="U24:V24"/>
    <mergeCell ref="W24:AC24"/>
    <mergeCell ref="K25:N25"/>
    <mergeCell ref="O25:P25"/>
    <mergeCell ref="Q25:R25"/>
    <mergeCell ref="S25:T25"/>
    <mergeCell ref="K11:N11"/>
    <mergeCell ref="O11:P11"/>
    <mergeCell ref="Q11:R11"/>
    <mergeCell ref="S11:T11"/>
    <mergeCell ref="U11:V11"/>
    <mergeCell ref="W11:AC11"/>
    <mergeCell ref="K12:N12"/>
    <mergeCell ref="O12:P12"/>
    <mergeCell ref="Q12:R12"/>
    <mergeCell ref="S12:T12"/>
    <mergeCell ref="U12:V12"/>
    <mergeCell ref="W12:AC12"/>
    <mergeCell ref="K9:N9"/>
    <mergeCell ref="O9:P9"/>
    <mergeCell ref="Q9:R9"/>
    <mergeCell ref="S9:T9"/>
    <mergeCell ref="U9:V9"/>
    <mergeCell ref="W9:AC9"/>
    <mergeCell ref="K10:N10"/>
    <mergeCell ref="O10:P10"/>
    <mergeCell ref="Q10:R10"/>
    <mergeCell ref="S10:T10"/>
    <mergeCell ref="U10:V10"/>
    <mergeCell ref="W10:AC10"/>
    <mergeCell ref="K35:N35"/>
    <mergeCell ref="Q35:R35"/>
    <mergeCell ref="S35:T35"/>
    <mergeCell ref="U35:V35"/>
    <mergeCell ref="W35:AC35"/>
    <mergeCell ref="Q21:R21"/>
    <mergeCell ref="U21:V21"/>
    <mergeCell ref="Q22:R22"/>
    <mergeCell ref="U22:V22"/>
    <mergeCell ref="Q23:R23"/>
    <mergeCell ref="U23:V23"/>
    <mergeCell ref="Q32:R32"/>
    <mergeCell ref="O33:P33"/>
    <mergeCell ref="Q33:R33"/>
    <mergeCell ref="U33:V33"/>
    <mergeCell ref="S30:T30"/>
    <mergeCell ref="U30:V30"/>
    <mergeCell ref="W30:AC30"/>
    <mergeCell ref="K31:N31"/>
    <mergeCell ref="O31:P31"/>
    <mergeCell ref="Q31:R31"/>
    <mergeCell ref="S31:T31"/>
    <mergeCell ref="U31:V31"/>
    <mergeCell ref="W31:AC31"/>
    <mergeCell ref="K32:N32"/>
    <mergeCell ref="S32:T32"/>
    <mergeCell ref="U32:V32"/>
    <mergeCell ref="W32:AC32"/>
    <mergeCell ref="K33:N33"/>
    <mergeCell ref="S33:T33"/>
    <mergeCell ref="W33:AC33"/>
    <mergeCell ref="K34:N34"/>
    <mergeCell ref="S34:T34"/>
    <mergeCell ref="U34:V34"/>
    <mergeCell ref="W34:AC34"/>
    <mergeCell ref="Q34:R34"/>
    <mergeCell ref="K21:N21"/>
    <mergeCell ref="S21:T21"/>
    <mergeCell ref="W21:AC21"/>
    <mergeCell ref="K22:N22"/>
    <mergeCell ref="S22:T22"/>
    <mergeCell ref="W22:AC22"/>
    <mergeCell ref="K23:N23"/>
    <mergeCell ref="S23:T23"/>
    <mergeCell ref="W23:AC23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51"/>
  <sheetViews>
    <sheetView topLeftCell="A4" zoomScaleNormal="100" workbookViewId="0">
      <selection activeCell="O21" sqref="O21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1819</v>
      </c>
      <c r="B2" s="546" t="s">
        <v>2466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2467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 customHeight="1">
      <c r="A4" s="309" t="s">
        <v>1392</v>
      </c>
      <c r="B4" s="550" t="s">
        <v>2468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2248</v>
      </c>
      <c r="B5" s="554" t="s">
        <v>2469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2470</v>
      </c>
      <c r="B9" s="559"/>
      <c r="C9" s="559"/>
      <c r="D9" s="559"/>
      <c r="E9" s="559"/>
      <c r="F9" s="559"/>
      <c r="G9" s="559"/>
      <c r="H9" s="559"/>
      <c r="I9" s="250" t="s">
        <v>2251</v>
      </c>
      <c r="J9" s="559" t="s">
        <v>1516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1517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690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2471</v>
      </c>
      <c r="B12" s="566" t="s">
        <v>2472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2473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2474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1525</v>
      </c>
      <c r="B14" s="252" t="s">
        <v>1006</v>
      </c>
      <c r="C14" s="252" t="s">
        <v>43</v>
      </c>
      <c r="D14" s="253" t="s">
        <v>1412</v>
      </c>
      <c r="E14" s="252" t="s">
        <v>2475</v>
      </c>
      <c r="F14" s="252" t="s">
        <v>2476</v>
      </c>
      <c r="G14" s="252" t="s">
        <v>1414</v>
      </c>
      <c r="H14" s="252" t="s">
        <v>1415</v>
      </c>
      <c r="I14" s="252" t="s">
        <v>1525</v>
      </c>
      <c r="J14" s="252" t="s">
        <v>1006</v>
      </c>
      <c r="K14" s="252" t="s">
        <v>43</v>
      </c>
      <c r="L14" s="253" t="s">
        <v>2477</v>
      </c>
      <c r="M14" s="253" t="s">
        <v>2478</v>
      </c>
      <c r="N14" s="252" t="s">
        <v>1413</v>
      </c>
      <c r="O14" s="252" t="s">
        <v>2479</v>
      </c>
      <c r="P14" s="254" t="s">
        <v>2480</v>
      </c>
    </row>
    <row r="15" spans="1:17" s="262" customFormat="1" ht="16.5" customHeight="1">
      <c r="A15" s="255"/>
      <c r="B15" s="256"/>
      <c r="C15" s="256"/>
      <c r="D15" s="257"/>
      <c r="E15" s="257"/>
      <c r="F15" s="256"/>
      <c r="G15" s="256" t="s">
        <v>2481</v>
      </c>
      <c r="H15" s="256" t="s">
        <v>2482</v>
      </c>
      <c r="I15" s="256" t="s">
        <v>2483</v>
      </c>
      <c r="J15" s="256" t="s">
        <v>1535</v>
      </c>
      <c r="K15" s="256" t="s">
        <v>2265</v>
      </c>
      <c r="L15" s="257" t="s">
        <v>2266</v>
      </c>
      <c r="M15" s="257" t="s">
        <v>515</v>
      </c>
      <c r="N15" s="256"/>
      <c r="O15" s="256" t="s">
        <v>2267</v>
      </c>
      <c r="P15" s="256"/>
      <c r="Q15" s="261"/>
    </row>
    <row r="16" spans="1:17" s="262" customFormat="1" ht="24">
      <c r="A16" s="255"/>
      <c r="B16" s="256"/>
      <c r="C16" s="256"/>
      <c r="D16" s="257"/>
      <c r="E16" s="257"/>
      <c r="F16" s="257"/>
      <c r="G16" s="256" t="s">
        <v>2484</v>
      </c>
      <c r="H16" s="313" t="s">
        <v>2269</v>
      </c>
      <c r="I16" s="256" t="s">
        <v>2485</v>
      </c>
      <c r="J16" s="256" t="s">
        <v>3308</v>
      </c>
      <c r="K16" s="256" t="s">
        <v>2270</v>
      </c>
      <c r="L16" s="257"/>
      <c r="M16" s="257" t="s">
        <v>515</v>
      </c>
      <c r="N16" s="257"/>
      <c r="O16" s="256" t="s">
        <v>2271</v>
      </c>
      <c r="P16" s="256"/>
      <c r="Q16" s="261"/>
    </row>
    <row r="17" spans="1:17">
      <c r="A17" s="274"/>
      <c r="B17" s="275"/>
      <c r="C17" s="275"/>
      <c r="D17" s="276"/>
      <c r="E17" s="276"/>
      <c r="F17" s="276"/>
      <c r="G17" s="275"/>
      <c r="H17" s="275" t="s">
        <v>2486</v>
      </c>
      <c r="I17" s="345" t="s">
        <v>2487</v>
      </c>
      <c r="J17" s="305" t="s">
        <v>1548</v>
      </c>
      <c r="K17" s="275" t="s">
        <v>1447</v>
      </c>
      <c r="L17" s="307" t="s">
        <v>2266</v>
      </c>
      <c r="M17" s="276" t="s">
        <v>515</v>
      </c>
      <c r="N17" s="276">
        <v>1000</v>
      </c>
      <c r="O17" s="275" t="s">
        <v>1549</v>
      </c>
      <c r="P17" s="277" t="s">
        <v>2488</v>
      </c>
      <c r="Q17" s="319"/>
    </row>
    <row r="18" spans="1:17">
      <c r="A18" s="274"/>
      <c r="B18" s="275"/>
      <c r="C18" s="275"/>
      <c r="D18" s="276"/>
      <c r="E18" s="276"/>
      <c r="F18" s="276"/>
      <c r="G18" s="275"/>
      <c r="H18" s="275" t="s">
        <v>2486</v>
      </c>
      <c r="I18" s="345" t="s">
        <v>2485</v>
      </c>
      <c r="J18" s="305" t="s">
        <v>2489</v>
      </c>
      <c r="K18" s="275" t="s">
        <v>1447</v>
      </c>
      <c r="L18" s="307" t="s">
        <v>2266</v>
      </c>
      <c r="M18" s="276" t="s">
        <v>515</v>
      </c>
      <c r="N18" s="276">
        <v>1000</v>
      </c>
      <c r="O18" s="275" t="s">
        <v>2490</v>
      </c>
      <c r="P18" s="277" t="s">
        <v>2488</v>
      </c>
      <c r="Q18" s="319"/>
    </row>
    <row r="19" spans="1:17" ht="24">
      <c r="A19" s="274" t="s">
        <v>2491</v>
      </c>
      <c r="B19" s="275" t="s">
        <v>2492</v>
      </c>
      <c r="C19" s="275" t="s">
        <v>2493</v>
      </c>
      <c r="D19" s="276"/>
      <c r="E19" s="276" t="s">
        <v>515</v>
      </c>
      <c r="F19" s="276"/>
      <c r="G19" s="275" t="s">
        <v>2494</v>
      </c>
      <c r="H19" s="275" t="s">
        <v>2495</v>
      </c>
      <c r="I19" s="345" t="s">
        <v>2487</v>
      </c>
      <c r="J19" s="305" t="s">
        <v>2496</v>
      </c>
      <c r="K19" s="275" t="s">
        <v>1464</v>
      </c>
      <c r="L19" s="307" t="s">
        <v>2266</v>
      </c>
      <c r="M19" s="276" t="s">
        <v>515</v>
      </c>
      <c r="N19" s="276"/>
      <c r="O19" s="275" t="s">
        <v>2497</v>
      </c>
      <c r="P19" s="321" t="s">
        <v>2498</v>
      </c>
      <c r="Q19" s="319"/>
    </row>
    <row r="20" spans="1:17">
      <c r="A20" s="274"/>
      <c r="B20" s="275"/>
      <c r="C20" s="275"/>
      <c r="D20" s="276"/>
      <c r="E20" s="276"/>
      <c r="F20" s="276"/>
      <c r="G20" s="275"/>
      <c r="H20" s="270" t="s">
        <v>2499</v>
      </c>
      <c r="I20" s="345" t="s">
        <v>2487</v>
      </c>
      <c r="J20" s="305" t="s">
        <v>2500</v>
      </c>
      <c r="K20" s="275" t="s">
        <v>2296</v>
      </c>
      <c r="L20" s="307" t="s">
        <v>2266</v>
      </c>
      <c r="M20" s="276" t="s">
        <v>515</v>
      </c>
      <c r="N20" s="276"/>
      <c r="O20" s="275" t="s">
        <v>2501</v>
      </c>
      <c r="P20" s="277" t="s">
        <v>2502</v>
      </c>
      <c r="Q20" s="319"/>
    </row>
    <row r="21" spans="1:17" ht="24">
      <c r="A21" s="274" t="s">
        <v>2503</v>
      </c>
      <c r="B21" s="275" t="s">
        <v>2504</v>
      </c>
      <c r="C21" s="275" t="s">
        <v>2505</v>
      </c>
      <c r="D21" s="276"/>
      <c r="E21" s="276" t="s">
        <v>515</v>
      </c>
      <c r="F21" s="276"/>
      <c r="G21" s="275" t="s">
        <v>2506</v>
      </c>
      <c r="H21" s="275"/>
      <c r="I21" s="345" t="s">
        <v>2487</v>
      </c>
      <c r="J21" s="305" t="s">
        <v>2507</v>
      </c>
      <c r="K21" s="275" t="s">
        <v>2508</v>
      </c>
      <c r="L21" s="276"/>
      <c r="M21" s="276" t="s">
        <v>515</v>
      </c>
      <c r="N21" s="276"/>
      <c r="O21" s="275" t="s">
        <v>2509</v>
      </c>
      <c r="P21" s="321" t="s">
        <v>2510</v>
      </c>
      <c r="Q21" s="319"/>
    </row>
    <row r="22" spans="1:17">
      <c r="A22" s="274" t="s">
        <v>2511</v>
      </c>
      <c r="B22" s="275" t="s">
        <v>2512</v>
      </c>
      <c r="C22" s="275" t="s">
        <v>2513</v>
      </c>
      <c r="D22" s="276"/>
      <c r="E22" s="276"/>
      <c r="F22" s="276"/>
      <c r="G22" s="275" t="s">
        <v>2514</v>
      </c>
      <c r="H22" s="275" t="s">
        <v>2515</v>
      </c>
      <c r="I22" s="345" t="s">
        <v>2487</v>
      </c>
      <c r="J22" s="305" t="s">
        <v>2204</v>
      </c>
      <c r="K22" s="275" t="s">
        <v>1464</v>
      </c>
      <c r="L22" s="276"/>
      <c r="M22" s="276" t="s">
        <v>515</v>
      </c>
      <c r="N22" s="276"/>
      <c r="O22" s="275" t="s">
        <v>1554</v>
      </c>
      <c r="P22" s="277" t="s">
        <v>2516</v>
      </c>
      <c r="Q22" s="319"/>
    </row>
    <row r="23" spans="1:17" ht="24">
      <c r="A23" s="274" t="s">
        <v>2517</v>
      </c>
      <c r="B23" s="305" t="s">
        <v>2518</v>
      </c>
      <c r="C23" s="275" t="s">
        <v>2360</v>
      </c>
      <c r="D23" s="276"/>
      <c r="E23" s="276"/>
      <c r="F23" s="276"/>
      <c r="G23" s="275" t="s">
        <v>2519</v>
      </c>
      <c r="H23" s="280" t="s">
        <v>2520</v>
      </c>
      <c r="I23" s="345" t="s">
        <v>2483</v>
      </c>
      <c r="J23" s="305" t="s">
        <v>2207</v>
      </c>
      <c r="K23" s="275" t="s">
        <v>1459</v>
      </c>
      <c r="L23" s="276"/>
      <c r="M23" s="276" t="s">
        <v>515</v>
      </c>
      <c r="N23" s="276" t="s">
        <v>2208</v>
      </c>
      <c r="O23" s="275" t="s">
        <v>2209</v>
      </c>
      <c r="P23" s="321" t="s">
        <v>2521</v>
      </c>
      <c r="Q23" s="319"/>
    </row>
    <row r="24" spans="1:17" ht="24">
      <c r="A24" s="274" t="s">
        <v>2522</v>
      </c>
      <c r="B24" s="305" t="s">
        <v>2418</v>
      </c>
      <c r="C24" s="275" t="s">
        <v>2523</v>
      </c>
      <c r="D24" s="276"/>
      <c r="E24" s="276"/>
      <c r="F24" s="276"/>
      <c r="G24" s="275" t="s">
        <v>2524</v>
      </c>
      <c r="H24" s="280" t="s">
        <v>2525</v>
      </c>
      <c r="I24" s="345" t="s">
        <v>2487</v>
      </c>
      <c r="J24" s="305" t="s">
        <v>2213</v>
      </c>
      <c r="K24" s="275" t="s">
        <v>2296</v>
      </c>
      <c r="L24" s="276"/>
      <c r="M24" s="276" t="s">
        <v>515</v>
      </c>
      <c r="N24" s="276" t="s">
        <v>2215</v>
      </c>
      <c r="O24" s="275" t="s">
        <v>2216</v>
      </c>
      <c r="P24" s="321" t="s">
        <v>2526</v>
      </c>
      <c r="Q24" s="319"/>
    </row>
    <row r="25" spans="1:17">
      <c r="A25" s="274" t="s">
        <v>2503</v>
      </c>
      <c r="B25" s="305" t="s">
        <v>2527</v>
      </c>
      <c r="C25" s="275"/>
      <c r="D25" s="276"/>
      <c r="E25" s="276"/>
      <c r="F25" s="276"/>
      <c r="G25" s="275" t="s">
        <v>2528</v>
      </c>
      <c r="H25" s="280" t="s">
        <v>2525</v>
      </c>
      <c r="I25" s="345" t="s">
        <v>2529</v>
      </c>
      <c r="J25" s="305" t="s">
        <v>2530</v>
      </c>
      <c r="K25" s="275" t="s">
        <v>1447</v>
      </c>
      <c r="L25" s="276"/>
      <c r="M25" s="276" t="s">
        <v>515</v>
      </c>
      <c r="N25" s="276"/>
      <c r="O25" s="275" t="s">
        <v>2531</v>
      </c>
      <c r="P25" s="277" t="s">
        <v>2532</v>
      </c>
      <c r="Q25" s="319"/>
    </row>
    <row r="26" spans="1:17">
      <c r="A26" s="274" t="s">
        <v>2511</v>
      </c>
      <c r="B26" s="305" t="s">
        <v>2533</v>
      </c>
      <c r="C26" s="275" t="s">
        <v>2534</v>
      </c>
      <c r="D26" s="276"/>
      <c r="E26" s="276"/>
      <c r="F26" s="276"/>
      <c r="G26" s="275" t="s">
        <v>2535</v>
      </c>
      <c r="H26" s="280" t="s">
        <v>2536</v>
      </c>
      <c r="I26" s="345" t="s">
        <v>2537</v>
      </c>
      <c r="J26" s="305" t="s">
        <v>1618</v>
      </c>
      <c r="K26" s="275" t="s">
        <v>2174</v>
      </c>
      <c r="L26" s="276"/>
      <c r="M26" s="276" t="s">
        <v>515</v>
      </c>
      <c r="N26" s="276"/>
      <c r="O26" s="275" t="s">
        <v>2538</v>
      </c>
      <c r="P26" s="277" t="s">
        <v>2539</v>
      </c>
      <c r="Q26" s="319"/>
    </row>
    <row r="27" spans="1:17" ht="24">
      <c r="A27" s="274" t="s">
        <v>2503</v>
      </c>
      <c r="B27" s="305" t="s">
        <v>2540</v>
      </c>
      <c r="C27" s="275" t="s">
        <v>2541</v>
      </c>
      <c r="D27" s="276"/>
      <c r="E27" s="276"/>
      <c r="F27" s="276"/>
      <c r="G27" s="275" t="s">
        <v>2542</v>
      </c>
      <c r="H27" s="280" t="s">
        <v>2543</v>
      </c>
      <c r="I27" s="345" t="s">
        <v>2487</v>
      </c>
      <c r="J27" s="305" t="s">
        <v>2544</v>
      </c>
      <c r="K27" s="275" t="s">
        <v>1478</v>
      </c>
      <c r="L27" s="276"/>
      <c r="M27" s="276" t="s">
        <v>515</v>
      </c>
      <c r="N27" s="276"/>
      <c r="O27" s="275" t="s">
        <v>2545</v>
      </c>
      <c r="P27" s="321" t="s">
        <v>2546</v>
      </c>
      <c r="Q27" s="319"/>
    </row>
    <row r="28" spans="1:17" ht="24">
      <c r="A28" s="274"/>
      <c r="B28" s="275"/>
      <c r="C28" s="275"/>
      <c r="D28" s="276"/>
      <c r="E28" s="276"/>
      <c r="F28" s="276"/>
      <c r="G28" s="275"/>
      <c r="H28" s="275" t="s">
        <v>2547</v>
      </c>
      <c r="I28" s="345" t="s">
        <v>2487</v>
      </c>
      <c r="J28" s="305" t="s">
        <v>2192</v>
      </c>
      <c r="K28" s="275" t="s">
        <v>1459</v>
      </c>
      <c r="L28" s="276"/>
      <c r="M28" s="276" t="s">
        <v>515</v>
      </c>
      <c r="N28" s="276" t="s">
        <v>2194</v>
      </c>
      <c r="O28" s="275" t="s">
        <v>1952</v>
      </c>
      <c r="P28" s="321" t="s">
        <v>2548</v>
      </c>
      <c r="Q28" s="319"/>
    </row>
    <row r="29" spans="1:17">
      <c r="A29" s="274" t="s">
        <v>2549</v>
      </c>
      <c r="B29" s="275" t="s">
        <v>2550</v>
      </c>
      <c r="C29" s="275" t="s">
        <v>1551</v>
      </c>
      <c r="D29" s="276"/>
      <c r="E29" s="276" t="s">
        <v>515</v>
      </c>
      <c r="F29" s="276"/>
      <c r="G29" s="275" t="s">
        <v>2551</v>
      </c>
      <c r="H29" s="275" t="s">
        <v>2552</v>
      </c>
      <c r="I29" s="345" t="s">
        <v>2487</v>
      </c>
      <c r="J29" s="305" t="s">
        <v>2183</v>
      </c>
      <c r="K29" s="275" t="s">
        <v>1464</v>
      </c>
      <c r="L29" s="276"/>
      <c r="M29" s="276" t="s">
        <v>515</v>
      </c>
      <c r="N29" s="276"/>
      <c r="O29" s="275" t="s">
        <v>2184</v>
      </c>
      <c r="P29" s="277" t="s">
        <v>822</v>
      </c>
      <c r="Q29" s="319"/>
    </row>
    <row r="30" spans="1:17">
      <c r="A30" s="274"/>
      <c r="B30" s="275"/>
      <c r="C30" s="275"/>
      <c r="D30" s="276"/>
      <c r="E30" s="276"/>
      <c r="F30" s="276"/>
      <c r="G30" s="275"/>
      <c r="H30" s="326" t="s">
        <v>2553</v>
      </c>
      <c r="I30" s="345" t="s">
        <v>2487</v>
      </c>
      <c r="J30" s="305" t="s">
        <v>2147</v>
      </c>
      <c r="K30" s="275" t="s">
        <v>1447</v>
      </c>
      <c r="L30" s="276"/>
      <c r="M30" s="276" t="s">
        <v>515</v>
      </c>
      <c r="N30" s="276"/>
      <c r="O30" s="275" t="s">
        <v>2554</v>
      </c>
      <c r="P30" s="277" t="s">
        <v>2555</v>
      </c>
      <c r="Q30" s="319"/>
    </row>
    <row r="31" spans="1:17">
      <c r="A31" s="274" t="s">
        <v>2556</v>
      </c>
      <c r="B31" s="275" t="s">
        <v>2557</v>
      </c>
      <c r="C31" s="275" t="s">
        <v>2558</v>
      </c>
      <c r="D31" s="276"/>
      <c r="E31" s="276" t="s">
        <v>515</v>
      </c>
      <c r="F31" s="276"/>
      <c r="G31" s="275" t="s">
        <v>2559</v>
      </c>
      <c r="H31" s="275"/>
      <c r="I31" s="345" t="s">
        <v>2485</v>
      </c>
      <c r="J31" s="305" t="s">
        <v>2560</v>
      </c>
      <c r="K31" s="275" t="s">
        <v>2383</v>
      </c>
      <c r="L31" s="276"/>
      <c r="M31" s="276" t="s">
        <v>515</v>
      </c>
      <c r="N31" s="276"/>
      <c r="O31" s="275" t="s">
        <v>2561</v>
      </c>
      <c r="P31" s="277" t="s">
        <v>2562</v>
      </c>
      <c r="Q31" s="319"/>
    </row>
    <row r="32" spans="1:17">
      <c r="A32" s="274" t="s">
        <v>2522</v>
      </c>
      <c r="B32" s="275" t="s">
        <v>654</v>
      </c>
      <c r="C32" s="275" t="s">
        <v>2380</v>
      </c>
      <c r="D32" s="276"/>
      <c r="E32" s="276" t="s">
        <v>515</v>
      </c>
      <c r="F32" s="276"/>
      <c r="G32" s="275" t="s">
        <v>2563</v>
      </c>
      <c r="H32" s="275"/>
      <c r="I32" s="345" t="s">
        <v>2485</v>
      </c>
      <c r="J32" s="305" t="s">
        <v>2564</v>
      </c>
      <c r="K32" s="275" t="s">
        <v>2383</v>
      </c>
      <c r="L32" s="276"/>
      <c r="M32" s="276" t="s">
        <v>515</v>
      </c>
      <c r="N32" s="276"/>
      <c r="O32" s="275" t="s">
        <v>2020</v>
      </c>
      <c r="P32" s="277" t="s">
        <v>2565</v>
      </c>
      <c r="Q32" s="319"/>
    </row>
    <row r="33" spans="1:17">
      <c r="A33" s="274"/>
      <c r="B33" s="275"/>
      <c r="C33" s="275"/>
      <c r="D33" s="276"/>
      <c r="E33" s="276"/>
      <c r="F33" s="276"/>
      <c r="G33" s="275"/>
      <c r="H33" s="281" t="s">
        <v>2566</v>
      </c>
      <c r="I33" s="345" t="s">
        <v>2487</v>
      </c>
      <c r="J33" s="305" t="s">
        <v>2567</v>
      </c>
      <c r="K33" s="275" t="s">
        <v>2383</v>
      </c>
      <c r="L33" s="276"/>
      <c r="M33" s="276" t="s">
        <v>515</v>
      </c>
      <c r="N33" s="276"/>
      <c r="O33" s="275" t="s">
        <v>2568</v>
      </c>
      <c r="P33" s="277"/>
      <c r="Q33" s="319"/>
    </row>
    <row r="34" spans="1:17">
      <c r="A34" s="274" t="s">
        <v>2569</v>
      </c>
      <c r="B34" s="275" t="s">
        <v>673</v>
      </c>
      <c r="C34" s="275" t="s">
        <v>2380</v>
      </c>
      <c r="D34" s="276"/>
      <c r="E34" s="276" t="s">
        <v>515</v>
      </c>
      <c r="F34" s="276"/>
      <c r="G34" s="275" t="s">
        <v>671</v>
      </c>
      <c r="H34" s="275"/>
      <c r="I34" s="345" t="s">
        <v>2487</v>
      </c>
      <c r="J34" s="305" t="s">
        <v>2570</v>
      </c>
      <c r="K34" s="275" t="s">
        <v>2383</v>
      </c>
      <c r="L34" s="276"/>
      <c r="M34" s="276" t="s">
        <v>515</v>
      </c>
      <c r="N34" s="276"/>
      <c r="O34" s="275" t="s">
        <v>2571</v>
      </c>
      <c r="P34" s="277" t="s">
        <v>2565</v>
      </c>
      <c r="Q34" s="319"/>
    </row>
    <row r="35" spans="1:17">
      <c r="A35" s="274" t="s">
        <v>2517</v>
      </c>
      <c r="B35" s="305" t="s">
        <v>2572</v>
      </c>
      <c r="C35" s="275" t="s">
        <v>2360</v>
      </c>
      <c r="D35" s="276"/>
      <c r="E35" s="276"/>
      <c r="F35" s="276"/>
      <c r="G35" s="275" t="s">
        <v>2573</v>
      </c>
      <c r="H35" s="280" t="s">
        <v>2525</v>
      </c>
      <c r="I35" s="345" t="s">
        <v>2487</v>
      </c>
      <c r="J35" s="305" t="s">
        <v>2574</v>
      </c>
      <c r="K35" s="275" t="s">
        <v>1459</v>
      </c>
      <c r="L35" s="276"/>
      <c r="M35" s="276" t="s">
        <v>515</v>
      </c>
      <c r="N35" s="276"/>
      <c r="O35" s="275" t="s">
        <v>2575</v>
      </c>
      <c r="P35" s="277" t="s">
        <v>2576</v>
      </c>
      <c r="Q35" s="319"/>
    </row>
    <row r="36" spans="1:17">
      <c r="A36" s="274" t="s">
        <v>2522</v>
      </c>
      <c r="B36" s="305" t="s">
        <v>2577</v>
      </c>
      <c r="C36" s="275" t="s">
        <v>2360</v>
      </c>
      <c r="D36" s="276"/>
      <c r="E36" s="276"/>
      <c r="F36" s="276"/>
      <c r="G36" s="275" t="s">
        <v>2578</v>
      </c>
      <c r="H36" s="280" t="s">
        <v>2579</v>
      </c>
      <c r="I36" s="345" t="s">
        <v>2487</v>
      </c>
      <c r="J36" s="305" t="s">
        <v>2580</v>
      </c>
      <c r="K36" s="275" t="s">
        <v>1459</v>
      </c>
      <c r="L36" s="276"/>
      <c r="M36" s="276" t="s">
        <v>515</v>
      </c>
      <c r="N36" s="276"/>
      <c r="O36" s="275" t="s">
        <v>2581</v>
      </c>
      <c r="P36" s="277" t="s">
        <v>2565</v>
      </c>
      <c r="Q36" s="319"/>
    </row>
    <row r="37" spans="1:17" ht="36">
      <c r="A37" s="274"/>
      <c r="B37" s="275"/>
      <c r="C37" s="275"/>
      <c r="D37" s="276"/>
      <c r="E37" s="276"/>
      <c r="F37" s="276"/>
      <c r="G37" s="275"/>
      <c r="H37" s="275" t="s">
        <v>2582</v>
      </c>
      <c r="I37" s="345" t="s">
        <v>2487</v>
      </c>
      <c r="J37" s="305" t="s">
        <v>2583</v>
      </c>
      <c r="K37" s="275" t="s">
        <v>2174</v>
      </c>
      <c r="L37" s="276"/>
      <c r="M37" s="276" t="s">
        <v>515</v>
      </c>
      <c r="N37" s="276"/>
      <c r="O37" s="275" t="s">
        <v>2584</v>
      </c>
      <c r="P37" s="321" t="s">
        <v>2585</v>
      </c>
      <c r="Q37" s="319"/>
    </row>
    <row r="38" spans="1:17" ht="24">
      <c r="A38" s="274" t="s">
        <v>2586</v>
      </c>
      <c r="B38" s="275" t="s">
        <v>2587</v>
      </c>
      <c r="C38" s="275" t="s">
        <v>2588</v>
      </c>
      <c r="D38" s="276"/>
      <c r="E38" s="276"/>
      <c r="F38" s="276"/>
      <c r="G38" s="270" t="s">
        <v>2589</v>
      </c>
      <c r="H38" s="270" t="s">
        <v>2590</v>
      </c>
      <c r="I38" s="345" t="s">
        <v>2487</v>
      </c>
      <c r="J38" s="305" t="s">
        <v>2591</v>
      </c>
      <c r="K38" s="275" t="s">
        <v>2508</v>
      </c>
      <c r="L38" s="276"/>
      <c r="M38" s="276" t="s">
        <v>515</v>
      </c>
      <c r="N38" s="276"/>
      <c r="O38" s="275" t="s">
        <v>2592</v>
      </c>
      <c r="P38" s="321" t="s">
        <v>2593</v>
      </c>
      <c r="Q38" s="319"/>
    </row>
    <row r="39" spans="1:17" ht="48">
      <c r="A39" s="274"/>
      <c r="B39" s="275"/>
      <c r="C39" s="275"/>
      <c r="D39" s="276"/>
      <c r="E39" s="276"/>
      <c r="F39" s="276"/>
      <c r="G39" s="275"/>
      <c r="H39" s="275" t="s">
        <v>2594</v>
      </c>
      <c r="I39" s="345" t="s">
        <v>2487</v>
      </c>
      <c r="J39" s="305" t="s">
        <v>2595</v>
      </c>
      <c r="K39" s="275" t="s">
        <v>1459</v>
      </c>
      <c r="L39" s="276"/>
      <c r="M39" s="276" t="s">
        <v>515</v>
      </c>
      <c r="N39" s="276" t="s">
        <v>2194</v>
      </c>
      <c r="O39" s="275" t="s">
        <v>2596</v>
      </c>
      <c r="P39" s="321" t="s">
        <v>2597</v>
      </c>
      <c r="Q39" s="319"/>
    </row>
    <row r="40" spans="1:17">
      <c r="A40" s="274"/>
      <c r="B40" s="275"/>
      <c r="C40" s="275"/>
      <c r="D40" s="276"/>
      <c r="E40" s="276"/>
      <c r="F40" s="276"/>
      <c r="G40" s="275"/>
      <c r="H40" s="275" t="s">
        <v>2598</v>
      </c>
      <c r="I40" s="345" t="s">
        <v>2599</v>
      </c>
      <c r="J40" s="305" t="s">
        <v>2600</v>
      </c>
      <c r="K40" s="275" t="s">
        <v>2453</v>
      </c>
      <c r="L40" s="276"/>
      <c r="M40" s="276" t="s">
        <v>2019</v>
      </c>
      <c r="N40" s="276"/>
      <c r="O40" s="275" t="s">
        <v>2601</v>
      </c>
      <c r="P40" s="277" t="s">
        <v>2602</v>
      </c>
      <c r="Q40" s="319"/>
    </row>
    <row r="41" spans="1:17">
      <c r="A41" s="274"/>
      <c r="B41" s="275"/>
      <c r="C41" s="275"/>
      <c r="D41" s="276"/>
      <c r="E41" s="276"/>
      <c r="F41" s="276"/>
      <c r="G41" s="275"/>
      <c r="H41" s="275" t="s">
        <v>2439</v>
      </c>
      <c r="I41" s="345" t="s">
        <v>2487</v>
      </c>
      <c r="J41" s="305" t="s">
        <v>1634</v>
      </c>
      <c r="K41" s="275" t="s">
        <v>2441</v>
      </c>
      <c r="L41" s="276"/>
      <c r="M41" s="276" t="s">
        <v>2019</v>
      </c>
      <c r="N41" s="276"/>
      <c r="O41" s="275" t="s">
        <v>1635</v>
      </c>
      <c r="P41" s="277" t="s">
        <v>2603</v>
      </c>
      <c r="Q41" s="319"/>
    </row>
    <row r="42" spans="1:17">
      <c r="A42" s="274"/>
      <c r="B42" s="275"/>
      <c r="C42" s="275"/>
      <c r="D42" s="276"/>
      <c r="E42" s="276"/>
      <c r="F42" s="276"/>
      <c r="G42" s="275"/>
      <c r="H42" s="275" t="s">
        <v>2604</v>
      </c>
      <c r="I42" s="345" t="s">
        <v>2483</v>
      </c>
      <c r="J42" s="305" t="s">
        <v>1632</v>
      </c>
      <c r="K42" s="275" t="s">
        <v>1580</v>
      </c>
      <c r="L42" s="276"/>
      <c r="M42" s="276" t="s">
        <v>2019</v>
      </c>
      <c r="N42" s="276"/>
      <c r="O42" s="275" t="s">
        <v>1633</v>
      </c>
      <c r="P42" s="277" t="s">
        <v>2605</v>
      </c>
      <c r="Q42" s="319"/>
    </row>
    <row r="43" spans="1:17">
      <c r="A43" s="274"/>
      <c r="B43" s="275"/>
      <c r="C43" s="275"/>
      <c r="D43" s="276"/>
      <c r="E43" s="276"/>
      <c r="F43" s="276"/>
      <c r="G43" s="275"/>
      <c r="H43" s="275" t="s">
        <v>2606</v>
      </c>
      <c r="I43" s="345" t="s">
        <v>2483</v>
      </c>
      <c r="J43" s="305" t="s">
        <v>1639</v>
      </c>
      <c r="K43" s="275" t="s">
        <v>2441</v>
      </c>
      <c r="L43" s="276"/>
      <c r="M43" s="276" t="s">
        <v>2019</v>
      </c>
      <c r="N43" s="276"/>
      <c r="O43" s="275" t="s">
        <v>1640</v>
      </c>
      <c r="P43" s="277" t="s">
        <v>2603</v>
      </c>
      <c r="Q43" s="319"/>
    </row>
    <row r="44" spans="1:17">
      <c r="A44" s="274"/>
      <c r="B44" s="275"/>
      <c r="C44" s="275"/>
      <c r="D44" s="276"/>
      <c r="E44" s="276"/>
      <c r="F44" s="276"/>
      <c r="G44" s="275"/>
      <c r="H44" s="275" t="s">
        <v>2598</v>
      </c>
      <c r="I44" s="345" t="s">
        <v>2607</v>
      </c>
      <c r="J44" s="305" t="s">
        <v>1636</v>
      </c>
      <c r="K44" s="275" t="s">
        <v>1580</v>
      </c>
      <c r="L44" s="276"/>
      <c r="M44" s="276" t="s">
        <v>2019</v>
      </c>
      <c r="N44" s="276"/>
      <c r="O44" s="275" t="s">
        <v>1638</v>
      </c>
      <c r="P44" s="277" t="s">
        <v>2605</v>
      </c>
      <c r="Q44" s="319"/>
    </row>
    <row r="45" spans="1:17" ht="24">
      <c r="A45" s="274" t="s">
        <v>2586</v>
      </c>
      <c r="B45" s="275" t="s">
        <v>2608</v>
      </c>
      <c r="C45" s="275" t="s">
        <v>2609</v>
      </c>
      <c r="D45" s="276"/>
      <c r="E45" s="276"/>
      <c r="F45" s="276"/>
      <c r="G45" s="343" t="s">
        <v>2610</v>
      </c>
      <c r="H45" s="344" t="s">
        <v>2393</v>
      </c>
      <c r="I45" s="345" t="s">
        <v>2611</v>
      </c>
      <c r="J45" s="305" t="s">
        <v>2612</v>
      </c>
      <c r="K45" s="275" t="s">
        <v>1464</v>
      </c>
      <c r="L45" s="276"/>
      <c r="M45" s="276" t="s">
        <v>2019</v>
      </c>
      <c r="N45" s="276"/>
      <c r="O45" s="275" t="s">
        <v>2613</v>
      </c>
      <c r="P45" s="321" t="s">
        <v>2614</v>
      </c>
      <c r="Q45" s="319"/>
    </row>
    <row r="46" spans="1:17">
      <c r="A46" s="274"/>
      <c r="B46" s="275"/>
      <c r="C46" s="275"/>
      <c r="D46" s="276"/>
      <c r="E46" s="276"/>
      <c r="F46" s="276"/>
      <c r="G46" s="275"/>
      <c r="H46" s="275" t="s">
        <v>2615</v>
      </c>
      <c r="I46" s="345" t="s">
        <v>2487</v>
      </c>
      <c r="J46" s="305" t="s">
        <v>2616</v>
      </c>
      <c r="K46" s="275" t="s">
        <v>2193</v>
      </c>
      <c r="L46" s="276"/>
      <c r="M46" s="276" t="s">
        <v>515</v>
      </c>
      <c r="N46" s="276" t="s">
        <v>2194</v>
      </c>
      <c r="O46" s="275" t="s">
        <v>2617</v>
      </c>
      <c r="P46" s="277" t="s">
        <v>2618</v>
      </c>
      <c r="Q46" s="319"/>
    </row>
    <row r="47" spans="1:17">
      <c r="A47" s="274"/>
      <c r="B47" s="275"/>
      <c r="C47" s="275"/>
      <c r="D47" s="276"/>
      <c r="E47" s="276"/>
      <c r="F47" s="276"/>
      <c r="G47" s="275"/>
      <c r="H47" s="275"/>
      <c r="I47" s="345"/>
      <c r="J47" s="275"/>
      <c r="K47" s="275"/>
      <c r="L47" s="276"/>
      <c r="M47" s="276"/>
      <c r="N47" s="276"/>
      <c r="O47" s="275"/>
      <c r="P47" s="277"/>
      <c r="Q47" s="319"/>
    </row>
    <row r="48" spans="1:17" ht="16.5" customHeight="1">
      <c r="A48" s="274"/>
      <c r="B48" s="270"/>
      <c r="C48" s="270"/>
      <c r="D48" s="269"/>
      <c r="E48" s="269"/>
      <c r="F48" s="269"/>
      <c r="G48" s="270"/>
      <c r="H48" s="275"/>
      <c r="I48" s="345"/>
      <c r="J48" s="275"/>
      <c r="K48" s="275"/>
      <c r="L48" s="276"/>
      <c r="M48" s="276"/>
      <c r="N48" s="276"/>
      <c r="O48" s="275"/>
      <c r="P48" s="277"/>
      <c r="Q48" s="319"/>
    </row>
    <row r="49" spans="1:17" ht="16.5" customHeight="1">
      <c r="A49" s="274"/>
      <c r="B49" s="270"/>
      <c r="C49" s="270"/>
      <c r="D49" s="269"/>
      <c r="E49" s="269"/>
      <c r="F49" s="269"/>
      <c r="G49" s="270"/>
      <c r="H49" s="275"/>
      <c r="I49" s="345"/>
      <c r="J49" s="275"/>
      <c r="K49" s="275"/>
      <c r="L49" s="276"/>
      <c r="M49" s="276"/>
      <c r="N49" s="276"/>
      <c r="O49" s="275"/>
      <c r="P49" s="277"/>
      <c r="Q49" s="319"/>
    </row>
    <row r="50" spans="1:17" ht="17.25" thickBot="1">
      <c r="A50" s="289" t="s">
        <v>2619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8"/>
    </row>
    <row r="51" spans="1:17">
      <c r="A51" s="290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</row>
  </sheetData>
  <mergeCells count="17">
    <mergeCell ref="B2:P2"/>
    <mergeCell ref="B3:P3"/>
    <mergeCell ref="B4:P4"/>
    <mergeCell ref="A5:A8"/>
    <mergeCell ref="B5:P8"/>
    <mergeCell ref="B50:P50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4737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38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39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40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41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4742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theme="9" tint="0.79998168889431442"/>
    <pageSetUpPr fitToPage="1"/>
  </sheetPr>
  <dimension ref="A1:AC34"/>
  <sheetViews>
    <sheetView zoomScaleSheetLayoutView="100" zoomScalePageLayoutView="55" workbookViewId="0">
      <selection activeCell="BL14" sqref="BL14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ERP_인터페이스목록!C12</f>
        <v>반품마감_OMS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ERP_인터페이스목록!G12</f>
        <v>W2O_RT_CFM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323</v>
      </c>
      <c r="C3" s="514"/>
      <c r="D3" s="514"/>
      <c r="E3" s="515" t="str">
        <f>ERP_인터페이스목록!J12</f>
        <v>/{bizSeq}/sif/w2o/rt/cfm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324</v>
      </c>
      <c r="C4" s="516"/>
      <c r="D4" s="516"/>
      <c r="E4" s="515" t="str">
        <f>ERP_인터페이스목록!L12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325</v>
      </c>
      <c r="P4" s="516"/>
      <c r="Q4" s="516"/>
      <c r="R4" s="515" t="s">
        <v>280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ERP_인터페이스목록!D12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ERP_인터페이스목록!E12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336</v>
      </c>
      <c r="C7" s="506"/>
      <c r="D7" s="506"/>
      <c r="E7" s="506"/>
      <c r="F7" s="635"/>
      <c r="G7" s="636"/>
      <c r="H7" s="636"/>
      <c r="I7" s="636"/>
      <c r="J7" s="636"/>
      <c r="K7" s="636"/>
      <c r="L7" s="636"/>
      <c r="M7" s="636"/>
      <c r="N7" s="636"/>
      <c r="O7" s="636"/>
      <c r="P7" s="636"/>
      <c r="Q7" s="636"/>
      <c r="R7" s="636"/>
      <c r="S7" s="636"/>
      <c r="T7" s="636"/>
      <c r="U7" s="636"/>
      <c r="V7" s="636"/>
      <c r="W7" s="636"/>
      <c r="X7" s="636"/>
      <c r="Y7" s="636"/>
      <c r="Z7" s="636"/>
      <c r="AA7" s="636"/>
      <c r="AB7" s="636"/>
      <c r="AC7" s="636"/>
    </row>
    <row r="8" spans="1:29" ht="15" customHeight="1">
      <c r="B8" s="4" t="s">
        <v>335</v>
      </c>
      <c r="C8" s="500" t="s">
        <v>164</v>
      </c>
      <c r="D8" s="500"/>
      <c r="E8" s="500"/>
      <c r="F8" s="500"/>
      <c r="G8" s="500"/>
      <c r="H8" s="500"/>
      <c r="I8" s="500"/>
      <c r="J8" s="500"/>
      <c r="K8" s="500" t="s">
        <v>284</v>
      </c>
      <c r="L8" s="500"/>
      <c r="M8" s="500"/>
      <c r="N8" s="500"/>
      <c r="O8" s="500" t="s">
        <v>338</v>
      </c>
      <c r="P8" s="500"/>
      <c r="Q8" s="500" t="s">
        <v>50</v>
      </c>
      <c r="R8" s="500"/>
      <c r="S8" s="500" t="s">
        <v>51</v>
      </c>
      <c r="T8" s="500"/>
      <c r="U8" s="500" t="s">
        <v>327</v>
      </c>
      <c r="V8" s="500"/>
      <c r="W8" s="500" t="s">
        <v>339</v>
      </c>
      <c r="X8" s="500"/>
      <c r="Y8" s="500"/>
      <c r="Z8" s="500"/>
      <c r="AA8" s="500"/>
      <c r="AB8" s="500"/>
      <c r="AC8" s="500"/>
    </row>
    <row r="9" spans="1:29" ht="30.6" customHeight="1">
      <c r="B9" s="163">
        <v>1</v>
      </c>
      <c r="C9" s="157" t="s">
        <v>54</v>
      </c>
      <c r="D9" s="158"/>
      <c r="E9" s="158"/>
      <c r="F9" s="158"/>
      <c r="G9" s="158"/>
      <c r="H9" s="158"/>
      <c r="I9" s="158"/>
      <c r="J9" s="159"/>
      <c r="K9" s="509" t="s">
        <v>743</v>
      </c>
      <c r="L9" s="510"/>
      <c r="M9" s="510"/>
      <c r="N9" s="511"/>
      <c r="O9" s="467" t="s">
        <v>56</v>
      </c>
      <c r="P9" s="468"/>
      <c r="Q9" s="467">
        <v>10</v>
      </c>
      <c r="R9" s="468"/>
      <c r="S9" s="467"/>
      <c r="T9" s="468"/>
      <c r="U9" s="467" t="s">
        <v>57</v>
      </c>
      <c r="V9" s="468"/>
      <c r="W9" s="493" t="s">
        <v>700</v>
      </c>
      <c r="X9" s="484"/>
      <c r="Y9" s="484"/>
      <c r="Z9" s="484"/>
      <c r="AA9" s="484"/>
      <c r="AB9" s="484"/>
      <c r="AC9" s="485"/>
    </row>
    <row r="10" spans="1:29" ht="13.5" customHeight="1">
      <c r="B10" s="163">
        <v>1</v>
      </c>
      <c r="C10" s="157" t="s">
        <v>81</v>
      </c>
      <c r="D10" s="157"/>
      <c r="E10" s="158"/>
      <c r="F10" s="158"/>
      <c r="G10" s="158"/>
      <c r="H10" s="158"/>
      <c r="I10" s="158"/>
      <c r="J10" s="159"/>
      <c r="K10" s="501" t="s">
        <v>82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 t="s">
        <v>744</v>
      </c>
      <c r="V10" s="502"/>
      <c r="W10" s="503" t="s">
        <v>745</v>
      </c>
      <c r="X10" s="501"/>
      <c r="Y10" s="501"/>
      <c r="Z10" s="501"/>
      <c r="AA10" s="501"/>
      <c r="AB10" s="501"/>
      <c r="AC10" s="501"/>
    </row>
    <row r="11" spans="1:29" ht="13.5" customHeight="1">
      <c r="B11" s="172">
        <v>1</v>
      </c>
      <c r="C11" s="173" t="s">
        <v>84</v>
      </c>
      <c r="D11" s="173"/>
      <c r="E11" s="174"/>
      <c r="F11" s="174"/>
      <c r="G11" s="174"/>
      <c r="H11" s="174"/>
      <c r="I11" s="174"/>
      <c r="J11" s="175"/>
      <c r="K11" s="483" t="s">
        <v>762</v>
      </c>
      <c r="L11" s="484"/>
      <c r="M11" s="484"/>
      <c r="N11" s="485"/>
      <c r="O11" s="467" t="s">
        <v>95</v>
      </c>
      <c r="P11" s="468"/>
      <c r="Q11" s="467">
        <v>100</v>
      </c>
      <c r="R11" s="468"/>
      <c r="S11" s="467"/>
      <c r="T11" s="468"/>
      <c r="U11" s="467" t="s">
        <v>763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172">
        <v>1</v>
      </c>
      <c r="C12" s="174" t="s">
        <v>764</v>
      </c>
      <c r="D12" s="174"/>
      <c r="E12" s="174"/>
      <c r="F12" s="174"/>
      <c r="G12" s="174"/>
      <c r="H12" s="174"/>
      <c r="I12" s="174"/>
      <c r="J12" s="175"/>
      <c r="K12" s="483" t="s">
        <v>765</v>
      </c>
      <c r="L12" s="484"/>
      <c r="M12" s="484"/>
      <c r="N12" s="485"/>
      <c r="O12" s="467" t="s">
        <v>95</v>
      </c>
      <c r="P12" s="468"/>
      <c r="Q12" s="467">
        <v>8</v>
      </c>
      <c r="R12" s="468"/>
      <c r="S12" s="467"/>
      <c r="T12" s="468"/>
      <c r="U12" s="502" t="s">
        <v>57</v>
      </c>
      <c r="V12" s="502"/>
      <c r="W12" s="483" t="s">
        <v>766</v>
      </c>
      <c r="X12" s="484"/>
      <c r="Y12" s="484"/>
      <c r="Z12" s="484"/>
      <c r="AA12" s="484"/>
      <c r="AB12" s="484"/>
      <c r="AC12" s="485"/>
    </row>
    <row r="13" spans="1:29" ht="13.5" customHeight="1">
      <c r="B13" s="172">
        <v>1</v>
      </c>
      <c r="C13" s="174" t="s">
        <v>767</v>
      </c>
      <c r="D13" s="174"/>
      <c r="E13" s="174"/>
      <c r="F13" s="174"/>
      <c r="G13" s="174"/>
      <c r="H13" s="174"/>
      <c r="I13" s="174"/>
      <c r="J13" s="175"/>
      <c r="K13" s="483" t="s">
        <v>768</v>
      </c>
      <c r="L13" s="484"/>
      <c r="M13" s="484"/>
      <c r="N13" s="485"/>
      <c r="O13" s="467" t="s">
        <v>769</v>
      </c>
      <c r="P13" s="468"/>
      <c r="Q13" s="467">
        <v>6</v>
      </c>
      <c r="R13" s="468"/>
      <c r="S13" s="467"/>
      <c r="T13" s="468"/>
      <c r="U13" s="502" t="s">
        <v>57</v>
      </c>
      <c r="V13" s="502"/>
      <c r="W13" s="483" t="s">
        <v>770</v>
      </c>
      <c r="X13" s="484"/>
      <c r="Y13" s="484"/>
      <c r="Z13" s="484"/>
      <c r="AA13" s="484"/>
      <c r="AB13" s="484"/>
      <c r="AC13" s="485"/>
    </row>
    <row r="14" spans="1:29" ht="29.25" customHeight="1">
      <c r="B14" s="168">
        <v>1</v>
      </c>
      <c r="C14" s="160" t="s">
        <v>58</v>
      </c>
      <c r="D14" s="160"/>
      <c r="E14" s="161"/>
      <c r="F14" s="161"/>
      <c r="G14" s="161"/>
      <c r="H14" s="161"/>
      <c r="I14" s="161"/>
      <c r="J14" s="162"/>
      <c r="K14" s="634" t="s">
        <v>746</v>
      </c>
      <c r="L14" s="634"/>
      <c r="M14" s="634"/>
      <c r="N14" s="634"/>
      <c r="O14" s="611"/>
      <c r="P14" s="611"/>
      <c r="Q14" s="611"/>
      <c r="R14" s="611"/>
      <c r="S14" s="611"/>
      <c r="T14" s="611"/>
      <c r="U14" s="611"/>
      <c r="V14" s="611"/>
      <c r="W14" s="634"/>
      <c r="X14" s="634"/>
      <c r="Y14" s="634"/>
      <c r="Z14" s="634"/>
      <c r="AA14" s="634"/>
      <c r="AB14" s="634"/>
      <c r="AC14" s="634"/>
    </row>
    <row r="15" spans="1:29">
      <c r="B15" s="163">
        <v>2</v>
      </c>
      <c r="C15" s="157"/>
      <c r="D15" s="158" t="s">
        <v>130</v>
      </c>
      <c r="E15" s="158"/>
      <c r="F15" s="158"/>
      <c r="G15" s="158"/>
      <c r="H15" s="158"/>
      <c r="I15" s="158"/>
      <c r="J15" s="159"/>
      <c r="K15" s="483" t="s">
        <v>649</v>
      </c>
      <c r="L15" s="484"/>
      <c r="M15" s="484"/>
      <c r="N15" s="485"/>
      <c r="O15" s="467" t="s">
        <v>747</v>
      </c>
      <c r="P15" s="468"/>
      <c r="Q15" s="467">
        <v>20</v>
      </c>
      <c r="R15" s="468"/>
      <c r="S15" s="467" t="s">
        <v>63</v>
      </c>
      <c r="T15" s="468"/>
      <c r="U15" s="467" t="s">
        <v>744</v>
      </c>
      <c r="V15" s="468"/>
      <c r="W15" s="464" t="s">
        <v>653</v>
      </c>
      <c r="X15" s="465"/>
      <c r="Y15" s="465"/>
      <c r="Z15" s="465"/>
      <c r="AA15" s="465"/>
      <c r="AB15" s="465"/>
      <c r="AC15" s="466"/>
    </row>
    <row r="16" spans="1:29" ht="13.5" customHeight="1">
      <c r="B16" s="163">
        <v>2</v>
      </c>
      <c r="C16" s="157"/>
      <c r="D16" s="158" t="s">
        <v>691</v>
      </c>
      <c r="E16" s="158"/>
      <c r="F16" s="158"/>
      <c r="G16" s="158"/>
      <c r="H16" s="158"/>
      <c r="I16" s="158"/>
      <c r="J16" s="159"/>
      <c r="K16" s="483" t="s">
        <v>692</v>
      </c>
      <c r="L16" s="484"/>
      <c r="M16" s="484"/>
      <c r="N16" s="485"/>
      <c r="O16" s="467" t="s">
        <v>62</v>
      </c>
      <c r="P16" s="468"/>
      <c r="Q16" s="467">
        <v>50</v>
      </c>
      <c r="R16" s="468"/>
      <c r="S16" s="467" t="s">
        <v>748</v>
      </c>
      <c r="T16" s="468"/>
      <c r="U16" s="467" t="s">
        <v>703</v>
      </c>
      <c r="V16" s="468"/>
      <c r="W16" s="493" t="s">
        <v>701</v>
      </c>
      <c r="X16" s="544"/>
      <c r="Y16" s="544"/>
      <c r="Z16" s="544"/>
      <c r="AA16" s="544"/>
      <c r="AB16" s="544"/>
      <c r="AC16" s="545"/>
    </row>
    <row r="17" spans="2:29">
      <c r="B17" s="163">
        <v>2</v>
      </c>
      <c r="C17" s="154"/>
      <c r="D17" s="155" t="s">
        <v>741</v>
      </c>
      <c r="E17" s="155"/>
      <c r="F17" s="158"/>
      <c r="G17" s="155"/>
      <c r="H17" s="155"/>
      <c r="I17" s="155"/>
      <c r="J17" s="156"/>
      <c r="K17" s="493" t="s">
        <v>749</v>
      </c>
      <c r="L17" s="544"/>
      <c r="M17" s="544"/>
      <c r="N17" s="545"/>
      <c r="O17" s="467" t="s">
        <v>704</v>
      </c>
      <c r="P17" s="468"/>
      <c r="Q17" s="467">
        <v>30</v>
      </c>
      <c r="R17" s="468"/>
      <c r="S17" s="467"/>
      <c r="T17" s="468"/>
      <c r="U17" s="467"/>
      <c r="V17" s="468"/>
      <c r="W17" s="483"/>
      <c r="X17" s="484"/>
      <c r="Y17" s="484"/>
      <c r="Z17" s="484"/>
      <c r="AA17" s="484"/>
      <c r="AB17" s="484"/>
      <c r="AC17" s="485"/>
    </row>
    <row r="18" spans="2:29" ht="13.5" customHeight="1">
      <c r="B18" s="163">
        <v>2</v>
      </c>
      <c r="C18" s="157"/>
      <c r="D18" s="158" t="s">
        <v>750</v>
      </c>
      <c r="E18" s="158"/>
      <c r="F18" s="158"/>
      <c r="G18" s="158"/>
      <c r="H18" s="158"/>
      <c r="I18" s="158"/>
      <c r="J18" s="159"/>
      <c r="K18" s="483" t="s">
        <v>751</v>
      </c>
      <c r="L18" s="484"/>
      <c r="M18" s="484"/>
      <c r="N18" s="485"/>
      <c r="O18" s="467" t="s">
        <v>704</v>
      </c>
      <c r="P18" s="468"/>
      <c r="Q18" s="467">
        <v>8</v>
      </c>
      <c r="R18" s="468"/>
      <c r="S18" s="467"/>
      <c r="T18" s="468"/>
      <c r="U18" s="502" t="s">
        <v>703</v>
      </c>
      <c r="V18" s="502"/>
      <c r="W18" s="483" t="s">
        <v>742</v>
      </c>
      <c r="X18" s="484"/>
      <c r="Y18" s="484"/>
      <c r="Z18" s="484"/>
      <c r="AA18" s="484"/>
      <c r="AB18" s="484"/>
      <c r="AC18" s="485"/>
    </row>
    <row r="19" spans="2:29" ht="13.5" customHeight="1">
      <c r="B19" s="392">
        <v>2</v>
      </c>
      <c r="C19" s="389"/>
      <c r="D19" s="108" t="s">
        <v>3332</v>
      </c>
      <c r="E19" s="390"/>
      <c r="F19" s="390"/>
      <c r="G19" s="390"/>
      <c r="H19" s="390"/>
      <c r="I19" s="390"/>
      <c r="J19" s="391"/>
      <c r="K19" s="628" t="s">
        <v>3322</v>
      </c>
      <c r="L19" s="629"/>
      <c r="M19" s="629"/>
      <c r="N19" s="630"/>
      <c r="O19" s="631" t="s">
        <v>62</v>
      </c>
      <c r="P19" s="632"/>
      <c r="Q19" s="631">
        <v>6</v>
      </c>
      <c r="R19" s="632"/>
      <c r="S19" s="631"/>
      <c r="T19" s="632"/>
      <c r="U19" s="633" t="s">
        <v>703</v>
      </c>
      <c r="V19" s="633"/>
      <c r="W19" s="628" t="s">
        <v>770</v>
      </c>
      <c r="X19" s="629"/>
      <c r="Y19" s="629"/>
      <c r="Z19" s="629"/>
      <c r="AA19" s="629"/>
      <c r="AB19" s="629"/>
      <c r="AC19" s="630"/>
    </row>
    <row r="20" spans="2:29" ht="15" customHeight="1"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</row>
    <row r="21" spans="2:29" ht="16.5">
      <c r="B21" s="506" t="s">
        <v>73</v>
      </c>
      <c r="C21" s="506"/>
      <c r="D21" s="506"/>
      <c r="E21" s="506"/>
      <c r="F21" s="635"/>
      <c r="G21" s="636"/>
      <c r="H21" s="636"/>
      <c r="I21" s="636"/>
      <c r="J21" s="636"/>
      <c r="K21" s="636"/>
      <c r="L21" s="636"/>
      <c r="M21" s="636"/>
      <c r="N21" s="636"/>
      <c r="O21" s="636"/>
      <c r="P21" s="636"/>
      <c r="Q21" s="636"/>
      <c r="R21" s="636"/>
      <c r="S21" s="636"/>
      <c r="T21" s="636"/>
      <c r="U21" s="636"/>
      <c r="V21" s="636"/>
      <c r="W21" s="636"/>
      <c r="X21" s="636"/>
      <c r="Y21" s="636"/>
      <c r="Z21" s="636"/>
      <c r="AA21" s="636"/>
      <c r="AB21" s="636"/>
      <c r="AC21" s="636"/>
    </row>
    <row r="22" spans="2:29">
      <c r="B22" s="4" t="s">
        <v>326</v>
      </c>
      <c r="C22" s="500" t="s">
        <v>348</v>
      </c>
      <c r="D22" s="500"/>
      <c r="E22" s="500"/>
      <c r="F22" s="500"/>
      <c r="G22" s="500"/>
      <c r="H22" s="500"/>
      <c r="I22" s="500"/>
      <c r="J22" s="500"/>
      <c r="K22" s="500" t="s">
        <v>284</v>
      </c>
      <c r="L22" s="500"/>
      <c r="M22" s="500"/>
      <c r="N22" s="500"/>
      <c r="O22" s="500" t="s">
        <v>49</v>
      </c>
      <c r="P22" s="500"/>
      <c r="Q22" s="500" t="s">
        <v>50</v>
      </c>
      <c r="R22" s="500"/>
      <c r="S22" s="500" t="s">
        <v>51</v>
      </c>
      <c r="T22" s="500"/>
      <c r="U22" s="500" t="s">
        <v>74</v>
      </c>
      <c r="V22" s="500"/>
      <c r="W22" s="500" t="s">
        <v>205</v>
      </c>
      <c r="X22" s="500"/>
      <c r="Y22" s="500"/>
      <c r="Z22" s="500"/>
      <c r="AA22" s="500"/>
      <c r="AB22" s="500"/>
      <c r="AC22" s="500"/>
    </row>
    <row r="23" spans="2:29" ht="13.5" customHeight="1">
      <c r="B23" s="49">
        <v>1</v>
      </c>
      <c r="C23" s="50" t="s">
        <v>86</v>
      </c>
      <c r="D23" s="51"/>
      <c r="E23" s="51"/>
      <c r="F23" s="51"/>
      <c r="G23" s="51"/>
      <c r="H23" s="51"/>
      <c r="I23" s="51"/>
      <c r="J23" s="52"/>
      <c r="K23" s="569" t="s">
        <v>87</v>
      </c>
      <c r="L23" s="569"/>
      <c r="M23" s="569"/>
      <c r="N23" s="569"/>
      <c r="O23" s="502" t="s">
        <v>62</v>
      </c>
      <c r="P23" s="502"/>
      <c r="Q23" s="502">
        <v>20</v>
      </c>
      <c r="R23" s="502"/>
      <c r="S23" s="502"/>
      <c r="T23" s="502"/>
      <c r="U23" s="502" t="s">
        <v>64</v>
      </c>
      <c r="V23" s="502"/>
      <c r="W23" s="493" t="s">
        <v>352</v>
      </c>
      <c r="X23" s="484"/>
      <c r="Y23" s="484"/>
      <c r="Z23" s="484"/>
      <c r="AA23" s="484"/>
      <c r="AB23" s="484"/>
      <c r="AC23" s="485"/>
    </row>
    <row r="24" spans="2:29">
      <c r="B24" s="49">
        <v>1</v>
      </c>
      <c r="C24" s="50" t="s">
        <v>89</v>
      </c>
      <c r="D24" s="51"/>
      <c r="E24" s="51"/>
      <c r="F24" s="51"/>
      <c r="G24" s="51"/>
      <c r="H24" s="51"/>
      <c r="I24" s="51"/>
      <c r="J24" s="52"/>
      <c r="K24" s="501" t="s">
        <v>75</v>
      </c>
      <c r="L24" s="501"/>
      <c r="M24" s="501"/>
      <c r="N24" s="501"/>
      <c r="O24" s="502" t="s">
        <v>62</v>
      </c>
      <c r="P24" s="502"/>
      <c r="Q24" s="502">
        <v>4000</v>
      </c>
      <c r="R24" s="502"/>
      <c r="S24" s="502"/>
      <c r="T24" s="502"/>
      <c r="U24" s="502" t="s">
        <v>94</v>
      </c>
      <c r="V24" s="502"/>
      <c r="W24" s="483" t="s">
        <v>76</v>
      </c>
      <c r="X24" s="484"/>
      <c r="Y24" s="484"/>
      <c r="Z24" s="484"/>
      <c r="AA24" s="484"/>
      <c r="AB24" s="484"/>
      <c r="AC24" s="485"/>
    </row>
    <row r="25" spans="2:29">
      <c r="B25" s="58">
        <v>1</v>
      </c>
      <c r="C25" s="105" t="s">
        <v>90</v>
      </c>
      <c r="D25" s="105"/>
      <c r="E25" s="59"/>
      <c r="F25" s="59"/>
      <c r="G25" s="59"/>
      <c r="H25" s="59"/>
      <c r="I25" s="59"/>
      <c r="J25" s="60"/>
      <c r="K25" s="634" t="s">
        <v>136</v>
      </c>
      <c r="L25" s="634"/>
      <c r="M25" s="634"/>
      <c r="N25" s="634"/>
      <c r="O25" s="611"/>
      <c r="P25" s="611"/>
      <c r="Q25" s="611"/>
      <c r="R25" s="611"/>
      <c r="S25" s="611"/>
      <c r="T25" s="611"/>
      <c r="U25" s="611"/>
      <c r="V25" s="611"/>
      <c r="W25" s="634"/>
      <c r="X25" s="634"/>
      <c r="Y25" s="634"/>
      <c r="Z25" s="634"/>
      <c r="AA25" s="634"/>
      <c r="AB25" s="634"/>
      <c r="AC25" s="634"/>
    </row>
    <row r="26" spans="2:29" ht="13.5" customHeight="1">
      <c r="B26" s="49">
        <v>2</v>
      </c>
      <c r="C26" s="50"/>
      <c r="D26" s="51" t="s">
        <v>130</v>
      </c>
      <c r="E26" s="51"/>
      <c r="F26" s="51"/>
      <c r="G26" s="51"/>
      <c r="H26" s="51"/>
      <c r="I26" s="51"/>
      <c r="J26" s="52"/>
      <c r="K26" s="483" t="s">
        <v>329</v>
      </c>
      <c r="L26" s="484"/>
      <c r="M26" s="484"/>
      <c r="N26" s="485"/>
      <c r="O26" s="467" t="s">
        <v>62</v>
      </c>
      <c r="P26" s="468"/>
      <c r="Q26" s="467">
        <v>20</v>
      </c>
      <c r="R26" s="468"/>
      <c r="S26" s="467" t="s">
        <v>63</v>
      </c>
      <c r="T26" s="468"/>
      <c r="U26" s="467" t="s">
        <v>64</v>
      </c>
      <c r="V26" s="468"/>
      <c r="W26" s="464" t="s">
        <v>330</v>
      </c>
      <c r="X26" s="465"/>
      <c r="Y26" s="465"/>
      <c r="Z26" s="465"/>
      <c r="AA26" s="465"/>
      <c r="AB26" s="465"/>
      <c r="AC26" s="466"/>
    </row>
    <row r="27" spans="2:29" ht="49.5" customHeight="1">
      <c r="B27" s="49">
        <v>2</v>
      </c>
      <c r="C27" s="50"/>
      <c r="D27" s="51" t="s">
        <v>691</v>
      </c>
      <c r="E27" s="51"/>
      <c r="F27" s="51"/>
      <c r="G27" s="51"/>
      <c r="H27" s="51"/>
      <c r="I27" s="51"/>
      <c r="J27" s="52"/>
      <c r="K27" s="483" t="s">
        <v>692</v>
      </c>
      <c r="L27" s="484"/>
      <c r="M27" s="484"/>
      <c r="N27" s="485"/>
      <c r="O27" s="467" t="s">
        <v>62</v>
      </c>
      <c r="P27" s="468"/>
      <c r="Q27" s="467">
        <v>50</v>
      </c>
      <c r="R27" s="468"/>
      <c r="S27" s="467" t="s">
        <v>63</v>
      </c>
      <c r="T27" s="468"/>
      <c r="U27" s="467" t="s">
        <v>57</v>
      </c>
      <c r="V27" s="468"/>
      <c r="W27" s="493" t="s">
        <v>402</v>
      </c>
      <c r="X27" s="544"/>
      <c r="Y27" s="544"/>
      <c r="Z27" s="544"/>
      <c r="AA27" s="544"/>
      <c r="AB27" s="544"/>
      <c r="AC27" s="545"/>
    </row>
    <row r="28" spans="2:29" ht="15" customHeight="1">
      <c r="B28" s="49">
        <v>2</v>
      </c>
      <c r="C28" s="50"/>
      <c r="D28" s="51" t="s">
        <v>126</v>
      </c>
      <c r="E28" s="51"/>
      <c r="F28" s="51"/>
      <c r="G28" s="51"/>
      <c r="H28" s="51"/>
      <c r="I28" s="51"/>
      <c r="J28" s="52"/>
      <c r="K28" s="469" t="s">
        <v>78</v>
      </c>
      <c r="L28" s="470"/>
      <c r="M28" s="470"/>
      <c r="N28" s="471"/>
      <c r="O28" s="467" t="s">
        <v>62</v>
      </c>
      <c r="P28" s="468"/>
      <c r="Q28" s="467">
        <v>1</v>
      </c>
      <c r="R28" s="468"/>
      <c r="S28" s="502"/>
      <c r="T28" s="502"/>
      <c r="U28" s="502" t="s">
        <v>64</v>
      </c>
      <c r="V28" s="502"/>
      <c r="W28" s="493" t="s">
        <v>352</v>
      </c>
      <c r="X28" s="484"/>
      <c r="Y28" s="484"/>
      <c r="Z28" s="484"/>
      <c r="AA28" s="484"/>
      <c r="AB28" s="484"/>
      <c r="AC28" s="485"/>
    </row>
    <row r="29" spans="2:29" ht="13.5" customHeight="1">
      <c r="B29" s="49">
        <v>2</v>
      </c>
      <c r="C29" s="50"/>
      <c r="D29" s="51" t="s">
        <v>79</v>
      </c>
      <c r="E29" s="51"/>
      <c r="F29" s="51"/>
      <c r="G29" s="51"/>
      <c r="H29" s="51"/>
      <c r="I29" s="51"/>
      <c r="J29" s="52"/>
      <c r="K29" s="469" t="s">
        <v>341</v>
      </c>
      <c r="L29" s="470"/>
      <c r="M29" s="470"/>
      <c r="N29" s="471"/>
      <c r="O29" s="467" t="s">
        <v>62</v>
      </c>
      <c r="P29" s="468"/>
      <c r="Q29" s="467">
        <v>100</v>
      </c>
      <c r="R29" s="468"/>
      <c r="S29" s="502"/>
      <c r="T29" s="502"/>
      <c r="U29" s="502"/>
      <c r="V29" s="502"/>
      <c r="W29" s="464" t="s">
        <v>346</v>
      </c>
      <c r="X29" s="465"/>
      <c r="Y29" s="465"/>
      <c r="Z29" s="465"/>
      <c r="AA29" s="465"/>
      <c r="AB29" s="465"/>
      <c r="AC29" s="466"/>
    </row>
    <row r="30" spans="2:29" ht="15" customHeight="1">
      <c r="B30" s="625"/>
      <c r="C30" s="625"/>
      <c r="D30" s="625"/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5"/>
      <c r="R30" s="625"/>
      <c r="S30" s="625"/>
      <c r="T30" s="625"/>
      <c r="U30" s="625"/>
      <c r="V30" s="625"/>
      <c r="W30" s="625"/>
      <c r="X30" s="625"/>
      <c r="Y30" s="625"/>
      <c r="Z30" s="625"/>
      <c r="AA30" s="625"/>
      <c r="AB30" s="625"/>
      <c r="AC30" s="625"/>
    </row>
    <row r="31" spans="2:29" ht="15" customHeight="1">
      <c r="B31" s="474" t="s">
        <v>72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6"/>
    </row>
    <row r="32" spans="2:29" ht="15" customHeight="1">
      <c r="B32" s="568"/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478"/>
      <c r="AA32" s="478"/>
      <c r="AB32" s="478"/>
      <c r="AC32" s="479"/>
    </row>
    <row r="33" spans="2:29" ht="15" customHeight="1">
      <c r="B33" s="480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2"/>
    </row>
    <row r="34" spans="2:29" ht="15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</sheetData>
  <mergeCells count="145">
    <mergeCell ref="O4:Q4"/>
    <mergeCell ref="R4:AC4"/>
    <mergeCell ref="B5:D5"/>
    <mergeCell ref="E5:N5"/>
    <mergeCell ref="O5:Q5"/>
    <mergeCell ref="R5:AC5"/>
    <mergeCell ref="K10:N10"/>
    <mergeCell ref="O10:P10"/>
    <mergeCell ref="Q10:R10"/>
    <mergeCell ref="S10:T10"/>
    <mergeCell ref="U10:V10"/>
    <mergeCell ref="W10:AC10"/>
    <mergeCell ref="B2:D2"/>
    <mergeCell ref="E2:N2"/>
    <mergeCell ref="O2:Q2"/>
    <mergeCell ref="R2:AC2"/>
    <mergeCell ref="B3:D3"/>
    <mergeCell ref="E3:AC3"/>
    <mergeCell ref="K9:N9"/>
    <mergeCell ref="O9:P9"/>
    <mergeCell ref="Q9:R9"/>
    <mergeCell ref="S9:T9"/>
    <mergeCell ref="U9:V9"/>
    <mergeCell ref="W9:AC9"/>
    <mergeCell ref="B6:AB6"/>
    <mergeCell ref="B7:E7"/>
    <mergeCell ref="F7:AC7"/>
    <mergeCell ref="C8:J8"/>
    <mergeCell ref="K8:N8"/>
    <mergeCell ref="O8:P8"/>
    <mergeCell ref="Q8:R8"/>
    <mergeCell ref="S8:T8"/>
    <mergeCell ref="U8:V8"/>
    <mergeCell ref="W8:AC8"/>
    <mergeCell ref="B4:D4"/>
    <mergeCell ref="E4:N4"/>
    <mergeCell ref="K16:N16"/>
    <mergeCell ref="O16:P16"/>
    <mergeCell ref="Q16:R16"/>
    <mergeCell ref="S16:T16"/>
    <mergeCell ref="U16:V16"/>
    <mergeCell ref="W16:AC16"/>
    <mergeCell ref="K15:N15"/>
    <mergeCell ref="O15:P15"/>
    <mergeCell ref="Q15:R15"/>
    <mergeCell ref="S15:T15"/>
    <mergeCell ref="U15:V15"/>
    <mergeCell ref="W15:AC15"/>
    <mergeCell ref="K23:N23"/>
    <mergeCell ref="O23:P23"/>
    <mergeCell ref="Q23:R23"/>
    <mergeCell ref="S23:T23"/>
    <mergeCell ref="U23:V23"/>
    <mergeCell ref="W23:AC23"/>
    <mergeCell ref="B20:AC20"/>
    <mergeCell ref="B21:E21"/>
    <mergeCell ref="F21:AC21"/>
    <mergeCell ref="C22:J22"/>
    <mergeCell ref="K22:N22"/>
    <mergeCell ref="O22:P22"/>
    <mergeCell ref="Q22:R22"/>
    <mergeCell ref="S22:T22"/>
    <mergeCell ref="U22:V22"/>
    <mergeCell ref="W22:AC22"/>
    <mergeCell ref="K25:N25"/>
    <mergeCell ref="O25:P25"/>
    <mergeCell ref="Q25:R25"/>
    <mergeCell ref="S25:T25"/>
    <mergeCell ref="U25:V25"/>
    <mergeCell ref="W25:AC25"/>
    <mergeCell ref="K24:N24"/>
    <mergeCell ref="O24:P24"/>
    <mergeCell ref="Q24:R24"/>
    <mergeCell ref="S24:T24"/>
    <mergeCell ref="U24:V24"/>
    <mergeCell ref="W24:AC24"/>
    <mergeCell ref="S26:T26"/>
    <mergeCell ref="U26:V26"/>
    <mergeCell ref="W26:AC26"/>
    <mergeCell ref="K27:N27"/>
    <mergeCell ref="O27:P27"/>
    <mergeCell ref="Q27:R27"/>
    <mergeCell ref="S27:T27"/>
    <mergeCell ref="U27:V27"/>
    <mergeCell ref="W27:AC27"/>
    <mergeCell ref="K13:N13"/>
    <mergeCell ref="O13:P13"/>
    <mergeCell ref="Q13:R13"/>
    <mergeCell ref="S13:T13"/>
    <mergeCell ref="U13:V13"/>
    <mergeCell ref="W13:AC13"/>
    <mergeCell ref="B30:AC30"/>
    <mergeCell ref="B31:AC31"/>
    <mergeCell ref="B32:AC33"/>
    <mergeCell ref="K29:N29"/>
    <mergeCell ref="O29:P29"/>
    <mergeCell ref="Q29:R29"/>
    <mergeCell ref="S29:T29"/>
    <mergeCell ref="U29:V29"/>
    <mergeCell ref="W29:AC29"/>
    <mergeCell ref="K28:N28"/>
    <mergeCell ref="O28:P28"/>
    <mergeCell ref="Q28:R28"/>
    <mergeCell ref="S28:T28"/>
    <mergeCell ref="U28:V28"/>
    <mergeCell ref="W28:AC28"/>
    <mergeCell ref="K26:N26"/>
    <mergeCell ref="O26:P26"/>
    <mergeCell ref="Q26:R26"/>
    <mergeCell ref="K11:N11"/>
    <mergeCell ref="O11:P11"/>
    <mergeCell ref="Q11:R11"/>
    <mergeCell ref="S11:T11"/>
    <mergeCell ref="U11:V11"/>
    <mergeCell ref="W11:AC11"/>
    <mergeCell ref="K12:N12"/>
    <mergeCell ref="O12:P12"/>
    <mergeCell ref="Q12:R12"/>
    <mergeCell ref="S12:T12"/>
    <mergeCell ref="U12:V12"/>
    <mergeCell ref="W12:AC12"/>
    <mergeCell ref="K19:N19"/>
    <mergeCell ref="O19:P19"/>
    <mergeCell ref="Q19:R19"/>
    <mergeCell ref="S19:T19"/>
    <mergeCell ref="U19:V19"/>
    <mergeCell ref="W19:AC19"/>
    <mergeCell ref="K14:N14"/>
    <mergeCell ref="O14:P14"/>
    <mergeCell ref="Q14:R14"/>
    <mergeCell ref="S14:T14"/>
    <mergeCell ref="U14:V14"/>
    <mergeCell ref="W14:AC14"/>
    <mergeCell ref="K18:N18"/>
    <mergeCell ref="O18:P18"/>
    <mergeCell ref="Q18:R18"/>
    <mergeCell ref="S18:T18"/>
    <mergeCell ref="U18:V18"/>
    <mergeCell ref="W18:AC18"/>
    <mergeCell ref="K17:N17"/>
    <mergeCell ref="O17:P17"/>
    <mergeCell ref="Q17:R17"/>
    <mergeCell ref="S17:T17"/>
    <mergeCell ref="U17:V17"/>
    <mergeCell ref="W17:AC17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W66"/>
  <sheetViews>
    <sheetView topLeftCell="A38" zoomScaleNormal="100" workbookViewId="0">
      <selection activeCell="I58" sqref="I58:O58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40.87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2620</v>
      </c>
      <c r="B2" s="546" t="s">
        <v>2621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2622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>
      <c r="A4" s="309" t="s">
        <v>2623</v>
      </c>
      <c r="B4" s="550" t="s">
        <v>2624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2625</v>
      </c>
      <c r="B5" s="554" t="s">
        <v>2626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2627</v>
      </c>
      <c r="B9" s="559"/>
      <c r="C9" s="559"/>
      <c r="D9" s="559"/>
      <c r="E9" s="559"/>
      <c r="F9" s="559"/>
      <c r="G9" s="559"/>
      <c r="H9" s="559"/>
      <c r="I9" s="250" t="s">
        <v>2628</v>
      </c>
      <c r="J9" s="559" t="s">
        <v>2629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2630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2631</v>
      </c>
      <c r="B11" s="563"/>
      <c r="C11" s="563"/>
      <c r="D11" s="563"/>
      <c r="E11" s="563"/>
      <c r="F11" s="563"/>
      <c r="G11" s="563"/>
      <c r="H11" s="563"/>
      <c r="I11" s="564" t="s">
        <v>2632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1403</v>
      </c>
      <c r="B12" s="566" t="s">
        <v>7</v>
      </c>
      <c r="C12" s="566"/>
      <c r="D12" s="566"/>
      <c r="E12" s="566"/>
      <c r="F12" s="566"/>
      <c r="G12" s="566"/>
      <c r="H12" s="566"/>
      <c r="I12" s="250" t="s">
        <v>2633</v>
      </c>
      <c r="J12" s="566" t="s">
        <v>149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2634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2635</v>
      </c>
      <c r="B14" s="252" t="s">
        <v>2636</v>
      </c>
      <c r="C14" s="252" t="s">
        <v>2637</v>
      </c>
      <c r="D14" s="253" t="s">
        <v>2638</v>
      </c>
      <c r="E14" s="252" t="s">
        <v>2639</v>
      </c>
      <c r="F14" s="252" t="s">
        <v>2640</v>
      </c>
      <c r="G14" s="252" t="s">
        <v>1414</v>
      </c>
      <c r="H14" s="252" t="s">
        <v>2641</v>
      </c>
      <c r="I14" s="252" t="s">
        <v>1525</v>
      </c>
      <c r="J14" s="252" t="s">
        <v>2642</v>
      </c>
      <c r="K14" s="252" t="s">
        <v>2637</v>
      </c>
      <c r="L14" s="253" t="s">
        <v>2638</v>
      </c>
      <c r="M14" s="253" t="s">
        <v>2643</v>
      </c>
      <c r="N14" s="252" t="s">
        <v>1413</v>
      </c>
      <c r="O14" s="252" t="s">
        <v>2625</v>
      </c>
      <c r="P14" s="254" t="s">
        <v>2641</v>
      </c>
    </row>
    <row r="15" spans="1:17" s="262" customFormat="1" ht="16.5" customHeight="1">
      <c r="A15" s="255" t="s">
        <v>2644</v>
      </c>
      <c r="B15" s="256" t="s">
        <v>3299</v>
      </c>
      <c r="C15" s="256" t="s">
        <v>2645</v>
      </c>
      <c r="D15" s="257" t="s">
        <v>1412</v>
      </c>
      <c r="E15" s="257" t="s">
        <v>2646</v>
      </c>
      <c r="F15" s="256"/>
      <c r="G15" s="256" t="s">
        <v>1422</v>
      </c>
      <c r="H15" s="256" t="s">
        <v>2647</v>
      </c>
      <c r="I15" s="256"/>
      <c r="J15" s="256"/>
      <c r="K15" s="257"/>
      <c r="L15" s="257"/>
      <c r="M15" s="256"/>
      <c r="N15" s="256"/>
      <c r="O15" s="259"/>
      <c r="P15" s="260"/>
      <c r="Q15" s="261"/>
    </row>
    <row r="16" spans="1:17" s="262" customFormat="1" ht="24">
      <c r="A16" s="255" t="s">
        <v>2644</v>
      </c>
      <c r="B16" s="256" t="s">
        <v>3300</v>
      </c>
      <c r="C16" s="256" t="s">
        <v>1645</v>
      </c>
      <c r="D16" s="257"/>
      <c r="E16" s="257" t="s">
        <v>515</v>
      </c>
      <c r="F16" s="257"/>
      <c r="G16" s="256" t="s">
        <v>2648</v>
      </c>
      <c r="H16" s="313" t="s">
        <v>2649</v>
      </c>
      <c r="I16" s="256"/>
      <c r="J16" s="256"/>
      <c r="K16" s="257"/>
      <c r="L16" s="257"/>
      <c r="M16" s="256"/>
      <c r="N16" s="256"/>
      <c r="O16" s="259"/>
      <c r="P16" s="260"/>
      <c r="Q16" s="261"/>
    </row>
    <row r="17" spans="1:17" s="262" customFormat="1" ht="16.5" customHeight="1">
      <c r="A17" s="255" t="s">
        <v>2650</v>
      </c>
      <c r="B17" s="256" t="s">
        <v>3301</v>
      </c>
      <c r="C17" s="256" t="s">
        <v>1440</v>
      </c>
      <c r="D17" s="257"/>
      <c r="E17" s="257" t="s">
        <v>515</v>
      </c>
      <c r="F17" s="256"/>
      <c r="G17" s="256" t="s">
        <v>1425</v>
      </c>
      <c r="H17" s="256" t="s">
        <v>2651</v>
      </c>
      <c r="I17" s="256"/>
      <c r="J17" s="256"/>
      <c r="K17" s="257"/>
      <c r="L17" s="257"/>
      <c r="M17" s="256"/>
      <c r="N17" s="256"/>
      <c r="O17" s="259"/>
      <c r="P17" s="260"/>
      <c r="Q17" s="261"/>
    </row>
    <row r="18" spans="1:17" s="265" customFormat="1" ht="48">
      <c r="A18" s="255" t="s">
        <v>2644</v>
      </c>
      <c r="B18" s="256" t="s">
        <v>3302</v>
      </c>
      <c r="C18" s="256" t="s">
        <v>2652</v>
      </c>
      <c r="D18" s="257"/>
      <c r="E18" s="257"/>
      <c r="F18" s="256" t="s">
        <v>2653</v>
      </c>
      <c r="G18" s="256" t="s">
        <v>1849</v>
      </c>
      <c r="H18" s="263" t="s">
        <v>2654</v>
      </c>
      <c r="I18" s="256"/>
      <c r="J18" s="256"/>
      <c r="K18" s="257"/>
      <c r="L18" s="257"/>
      <c r="M18" s="256"/>
      <c r="N18" s="256"/>
      <c r="O18" s="259"/>
      <c r="P18" s="260"/>
      <c r="Q18" s="264"/>
    </row>
    <row r="19" spans="1:17" s="265" customFormat="1" ht="16.5" customHeight="1">
      <c r="A19" s="255" t="s">
        <v>2655</v>
      </c>
      <c r="B19" s="266" t="s">
        <v>3303</v>
      </c>
      <c r="C19" s="266" t="s">
        <v>2656</v>
      </c>
      <c r="D19" s="314"/>
      <c r="E19" s="314"/>
      <c r="F19" s="266"/>
      <c r="G19" s="266" t="s">
        <v>1851</v>
      </c>
      <c r="H19" s="266" t="s">
        <v>2657</v>
      </c>
      <c r="I19" s="256"/>
      <c r="J19" s="256"/>
      <c r="K19" s="257"/>
      <c r="L19" s="257"/>
      <c r="M19" s="256"/>
      <c r="N19" s="256"/>
      <c r="O19" s="259"/>
      <c r="P19" s="260"/>
      <c r="Q19" s="264"/>
    </row>
    <row r="20" spans="1:17" s="265" customFormat="1" ht="16.5" customHeight="1">
      <c r="A20" s="255" t="s">
        <v>2655</v>
      </c>
      <c r="B20" s="256" t="s">
        <v>3306</v>
      </c>
      <c r="C20" s="256" t="s">
        <v>1652</v>
      </c>
      <c r="D20" s="257"/>
      <c r="E20" s="257" t="s">
        <v>515</v>
      </c>
      <c r="F20" s="256"/>
      <c r="G20" s="256" t="s">
        <v>2658</v>
      </c>
      <c r="H20" s="256" t="s">
        <v>2659</v>
      </c>
      <c r="I20" s="256" t="s">
        <v>2660</v>
      </c>
      <c r="J20" s="256" t="s">
        <v>1856</v>
      </c>
      <c r="K20" s="258" t="s">
        <v>1652</v>
      </c>
      <c r="L20" s="257"/>
      <c r="M20" s="256"/>
      <c r="N20" s="256"/>
      <c r="O20" s="259"/>
      <c r="P20" s="260"/>
      <c r="Q20" s="264"/>
    </row>
    <row r="21" spans="1:17" s="265" customFormat="1" ht="16.5" customHeight="1">
      <c r="A21" s="255" t="s">
        <v>2655</v>
      </c>
      <c r="B21" s="256" t="s">
        <v>1538</v>
      </c>
      <c r="C21" s="256" t="s">
        <v>2661</v>
      </c>
      <c r="D21" s="257"/>
      <c r="E21" s="257"/>
      <c r="F21" s="256"/>
      <c r="G21" s="256" t="s">
        <v>76</v>
      </c>
      <c r="H21" s="256"/>
      <c r="I21" s="256"/>
      <c r="J21" s="256"/>
      <c r="K21" s="258"/>
      <c r="L21" s="257"/>
      <c r="M21" s="256"/>
      <c r="N21" s="256"/>
      <c r="O21" s="259"/>
      <c r="P21" s="260"/>
      <c r="Q21" s="264"/>
    </row>
    <row r="22" spans="1:17" s="265" customFormat="1" ht="16.5" customHeight="1">
      <c r="A22" s="255" t="s">
        <v>2650</v>
      </c>
      <c r="B22" s="256" t="s">
        <v>1539</v>
      </c>
      <c r="C22" s="256" t="s">
        <v>1780</v>
      </c>
      <c r="D22" s="257"/>
      <c r="E22" s="257" t="s">
        <v>515</v>
      </c>
      <c r="F22" s="256"/>
      <c r="G22" s="256" t="s">
        <v>82</v>
      </c>
      <c r="H22" s="256" t="s">
        <v>2662</v>
      </c>
      <c r="I22" s="256" t="s">
        <v>2660</v>
      </c>
      <c r="J22" s="256" t="s">
        <v>1657</v>
      </c>
      <c r="K22" s="258" t="s">
        <v>1780</v>
      </c>
      <c r="L22" s="257"/>
      <c r="M22" s="256"/>
      <c r="N22" s="256"/>
      <c r="O22" s="259"/>
      <c r="P22" s="260"/>
      <c r="Q22" s="264"/>
    </row>
    <row r="23" spans="1:17" s="265" customFormat="1" ht="16.5" customHeight="1">
      <c r="A23" s="255" t="s">
        <v>2650</v>
      </c>
      <c r="B23" s="256" t="s">
        <v>1541</v>
      </c>
      <c r="C23" s="256" t="s">
        <v>2656</v>
      </c>
      <c r="D23" s="257"/>
      <c r="E23" s="257" t="s">
        <v>515</v>
      </c>
      <c r="F23" s="256"/>
      <c r="G23" s="256" t="s">
        <v>2663</v>
      </c>
      <c r="H23" s="256" t="s">
        <v>2664</v>
      </c>
      <c r="I23" s="256" t="s">
        <v>2660</v>
      </c>
      <c r="J23" s="256" t="s">
        <v>1442</v>
      </c>
      <c r="K23" s="258" t="s">
        <v>1443</v>
      </c>
      <c r="L23" s="257"/>
      <c r="M23" s="256"/>
      <c r="N23" s="256"/>
      <c r="O23" s="259"/>
      <c r="P23" s="260"/>
      <c r="Q23" s="264"/>
    </row>
    <row r="24" spans="1:17" s="265" customFormat="1" ht="16.5" customHeight="1">
      <c r="A24" s="255" t="s">
        <v>2655</v>
      </c>
      <c r="B24" s="256" t="s">
        <v>1544</v>
      </c>
      <c r="C24" s="256" t="s">
        <v>1780</v>
      </c>
      <c r="D24" s="257"/>
      <c r="E24" s="257"/>
      <c r="F24" s="346"/>
      <c r="G24" s="256" t="s">
        <v>1545</v>
      </c>
      <c r="H24" s="256" t="s">
        <v>2665</v>
      </c>
      <c r="I24" s="256" t="s">
        <v>2660</v>
      </c>
      <c r="J24" s="256" t="s">
        <v>2666</v>
      </c>
      <c r="K24" s="258" t="s">
        <v>1780</v>
      </c>
      <c r="L24" s="257"/>
      <c r="M24" s="256"/>
      <c r="N24" s="256"/>
      <c r="O24" s="259"/>
      <c r="P24" s="260"/>
      <c r="Q24" s="264"/>
    </row>
    <row r="25" spans="1:17" s="265" customFormat="1" ht="16.5" customHeight="1">
      <c r="A25" s="255" t="s">
        <v>2655</v>
      </c>
      <c r="B25" s="256" t="s">
        <v>1546</v>
      </c>
      <c r="C25" s="256" t="s">
        <v>1440</v>
      </c>
      <c r="D25" s="257"/>
      <c r="E25" s="257"/>
      <c r="F25" s="256"/>
      <c r="G25" s="256" t="s">
        <v>2092</v>
      </c>
      <c r="H25" s="256" t="s">
        <v>1661</v>
      </c>
      <c r="I25" s="256" t="s">
        <v>2660</v>
      </c>
      <c r="J25" s="256" t="s">
        <v>2094</v>
      </c>
      <c r="K25" s="258" t="s">
        <v>1443</v>
      </c>
      <c r="L25" s="257"/>
      <c r="M25" s="256"/>
      <c r="N25" s="256"/>
      <c r="O25" s="259"/>
      <c r="P25" s="260"/>
      <c r="Q25" s="264"/>
    </row>
    <row r="26" spans="1:17">
      <c r="A26" s="274"/>
      <c r="B26" s="275"/>
      <c r="C26" s="275"/>
      <c r="D26" s="276"/>
      <c r="E26" s="276"/>
      <c r="F26" s="276"/>
      <c r="G26" s="275"/>
      <c r="H26" s="347"/>
      <c r="I26" s="275" t="s">
        <v>2667</v>
      </c>
      <c r="J26" s="275" t="s">
        <v>2668</v>
      </c>
      <c r="K26" s="275" t="s">
        <v>1873</v>
      </c>
      <c r="L26" s="276" t="s">
        <v>2669</v>
      </c>
      <c r="M26" s="276" t="s">
        <v>515</v>
      </c>
      <c r="N26" s="276"/>
      <c r="O26" s="275" t="s">
        <v>1875</v>
      </c>
      <c r="P26" s="277" t="s">
        <v>2670</v>
      </c>
      <c r="Q26" s="319"/>
    </row>
    <row r="27" spans="1:17">
      <c r="A27" s="274"/>
      <c r="B27" s="56"/>
      <c r="C27" s="275"/>
      <c r="D27" s="276"/>
      <c r="E27" s="276"/>
      <c r="F27" s="276"/>
      <c r="G27" s="275"/>
      <c r="H27" s="284"/>
      <c r="I27" s="275" t="s">
        <v>2671</v>
      </c>
      <c r="J27" s="275" t="s">
        <v>2672</v>
      </c>
      <c r="K27" s="275" t="s">
        <v>1436</v>
      </c>
      <c r="L27" s="276" t="s">
        <v>2669</v>
      </c>
      <c r="M27" s="276" t="s">
        <v>515</v>
      </c>
      <c r="N27" s="276"/>
      <c r="O27" s="275" t="s">
        <v>2673</v>
      </c>
      <c r="P27" s="277" t="s">
        <v>2674</v>
      </c>
      <c r="Q27" s="319"/>
    </row>
    <row r="28" spans="1:17">
      <c r="A28" s="274" t="s">
        <v>2655</v>
      </c>
      <c r="B28" s="268" t="s">
        <v>2675</v>
      </c>
      <c r="C28" s="268" t="s">
        <v>2032</v>
      </c>
      <c r="D28" s="276" t="s">
        <v>2669</v>
      </c>
      <c r="E28" s="322" t="s">
        <v>1930</v>
      </c>
      <c r="F28" s="269">
        <v>1000</v>
      </c>
      <c r="G28" s="268" t="s">
        <v>1448</v>
      </c>
      <c r="H28" s="270" t="s">
        <v>2676</v>
      </c>
      <c r="I28" s="280" t="s">
        <v>2660</v>
      </c>
      <c r="J28" s="323" t="s">
        <v>2677</v>
      </c>
      <c r="K28" s="280" t="s">
        <v>2201</v>
      </c>
      <c r="L28" s="285"/>
      <c r="M28" s="285" t="s">
        <v>1930</v>
      </c>
      <c r="N28" s="285"/>
      <c r="O28" s="280" t="s">
        <v>2678</v>
      </c>
      <c r="P28" s="324" t="s">
        <v>2679</v>
      </c>
      <c r="Q28" s="319"/>
    </row>
    <row r="29" spans="1:17">
      <c r="A29" s="274" t="s">
        <v>2655</v>
      </c>
      <c r="B29" s="338" t="s">
        <v>2680</v>
      </c>
      <c r="C29" s="268" t="s">
        <v>2032</v>
      </c>
      <c r="D29" s="276" t="s">
        <v>2669</v>
      </c>
      <c r="E29" s="322"/>
      <c r="F29" s="269">
        <v>1000</v>
      </c>
      <c r="G29" s="268" t="s">
        <v>2681</v>
      </c>
      <c r="H29" s="270" t="s">
        <v>2676</v>
      </c>
      <c r="I29" s="280" t="s">
        <v>2660</v>
      </c>
      <c r="J29" s="323" t="s">
        <v>2682</v>
      </c>
      <c r="K29" s="280" t="s">
        <v>2201</v>
      </c>
      <c r="L29" s="285"/>
      <c r="M29" s="285" t="s">
        <v>57</v>
      </c>
      <c r="N29" s="285"/>
      <c r="O29" s="280" t="s">
        <v>2683</v>
      </c>
      <c r="P29" s="324" t="s">
        <v>2684</v>
      </c>
      <c r="Q29" s="319"/>
    </row>
    <row r="30" spans="1:17">
      <c r="A30" s="274" t="s">
        <v>2655</v>
      </c>
      <c r="B30" s="311" t="s">
        <v>2489</v>
      </c>
      <c r="C30" s="268" t="s">
        <v>2032</v>
      </c>
      <c r="D30" s="276" t="s">
        <v>2685</v>
      </c>
      <c r="E30" s="322"/>
      <c r="F30" s="269">
        <v>1000</v>
      </c>
      <c r="G30" s="268" t="s">
        <v>2686</v>
      </c>
      <c r="H30" s="270" t="s">
        <v>2687</v>
      </c>
      <c r="I30" s="280" t="s">
        <v>2667</v>
      </c>
      <c r="J30" s="323" t="s">
        <v>2688</v>
      </c>
      <c r="K30" s="280" t="s">
        <v>2689</v>
      </c>
      <c r="L30" s="285"/>
      <c r="M30" s="285" t="s">
        <v>1930</v>
      </c>
      <c r="N30" s="285"/>
      <c r="O30" s="280" t="s">
        <v>2690</v>
      </c>
      <c r="P30" s="324" t="s">
        <v>2679</v>
      </c>
      <c r="Q30" s="319"/>
    </row>
    <row r="31" spans="1:17" ht="168">
      <c r="A31" s="274"/>
      <c r="B31" s="56"/>
      <c r="C31" s="275"/>
      <c r="D31" s="276"/>
      <c r="E31" s="276"/>
      <c r="F31" s="276"/>
      <c r="G31" s="275"/>
      <c r="H31" s="284"/>
      <c r="I31" s="270" t="s">
        <v>2691</v>
      </c>
      <c r="J31" s="270" t="s">
        <v>2692</v>
      </c>
      <c r="K31" s="270" t="s">
        <v>1873</v>
      </c>
      <c r="L31" s="269" t="s">
        <v>2669</v>
      </c>
      <c r="M31" s="269" t="s">
        <v>515</v>
      </c>
      <c r="N31" s="269"/>
      <c r="O31" s="270" t="s">
        <v>692</v>
      </c>
      <c r="P31" s="320" t="s">
        <v>2693</v>
      </c>
      <c r="Q31" s="319"/>
    </row>
    <row r="32" spans="1:17">
      <c r="A32" s="274" t="s">
        <v>2655</v>
      </c>
      <c r="B32" s="311" t="s">
        <v>2694</v>
      </c>
      <c r="C32" s="268" t="s">
        <v>2695</v>
      </c>
      <c r="D32" s="276" t="s">
        <v>2669</v>
      </c>
      <c r="E32" s="322" t="s">
        <v>2696</v>
      </c>
      <c r="F32" s="269"/>
      <c r="G32" s="268" t="s">
        <v>2697</v>
      </c>
      <c r="H32" s="270" t="s">
        <v>2676</v>
      </c>
      <c r="I32" s="275" t="s">
        <v>2660</v>
      </c>
      <c r="J32" s="275" t="s">
        <v>2698</v>
      </c>
      <c r="K32" s="275" t="s">
        <v>2699</v>
      </c>
      <c r="L32" s="276"/>
      <c r="M32" s="276" t="s">
        <v>515</v>
      </c>
      <c r="N32" s="276"/>
      <c r="O32" s="275" t="s">
        <v>2700</v>
      </c>
      <c r="P32" s="277"/>
      <c r="Q32" s="319"/>
    </row>
    <row r="33" spans="1:23">
      <c r="A33" s="274" t="s">
        <v>2655</v>
      </c>
      <c r="B33" s="311" t="s">
        <v>2701</v>
      </c>
      <c r="C33" s="268" t="s">
        <v>2702</v>
      </c>
      <c r="D33" s="276" t="s">
        <v>2669</v>
      </c>
      <c r="E33" s="322" t="s">
        <v>1930</v>
      </c>
      <c r="F33" s="269"/>
      <c r="G33" s="268" t="s">
        <v>2703</v>
      </c>
      <c r="H33" s="270" t="s">
        <v>2704</v>
      </c>
      <c r="I33" s="280" t="s">
        <v>2705</v>
      </c>
      <c r="J33" s="280" t="s">
        <v>2706</v>
      </c>
      <c r="K33" s="280" t="s">
        <v>1652</v>
      </c>
      <c r="L33" s="285"/>
      <c r="M33" s="285"/>
      <c r="N33" s="285"/>
      <c r="O33" s="280" t="s">
        <v>2707</v>
      </c>
      <c r="P33" s="324" t="s">
        <v>2708</v>
      </c>
      <c r="Q33" s="319"/>
    </row>
    <row r="34" spans="1:23" ht="24">
      <c r="A34" s="274" t="s">
        <v>2655</v>
      </c>
      <c r="B34" s="311" t="s">
        <v>2709</v>
      </c>
      <c r="C34" s="268" t="s">
        <v>2695</v>
      </c>
      <c r="D34" s="276"/>
      <c r="E34" s="322"/>
      <c r="F34" s="269" t="s">
        <v>2710</v>
      </c>
      <c r="G34" s="268" t="s">
        <v>2711</v>
      </c>
      <c r="H34" s="281" t="s">
        <v>2712</v>
      </c>
      <c r="I34" s="280" t="s">
        <v>2705</v>
      </c>
      <c r="J34" s="280" t="s">
        <v>2335</v>
      </c>
      <c r="K34" s="280" t="s">
        <v>2336</v>
      </c>
      <c r="L34" s="285"/>
      <c r="M34" s="285"/>
      <c r="N34" s="285"/>
      <c r="O34" s="280" t="s">
        <v>2337</v>
      </c>
      <c r="P34" s="287" t="s">
        <v>2713</v>
      </c>
      <c r="Q34" s="319"/>
    </row>
    <row r="35" spans="1:23" ht="24">
      <c r="A35" s="274" t="s">
        <v>2655</v>
      </c>
      <c r="B35" s="311" t="s">
        <v>2714</v>
      </c>
      <c r="C35" s="268" t="s">
        <v>2715</v>
      </c>
      <c r="D35" s="276"/>
      <c r="E35" s="322"/>
      <c r="F35" s="269">
        <v>0</v>
      </c>
      <c r="G35" s="268" t="s">
        <v>2716</v>
      </c>
      <c r="H35" s="281" t="s">
        <v>2717</v>
      </c>
      <c r="I35" s="280" t="s">
        <v>2671</v>
      </c>
      <c r="J35" s="280" t="s">
        <v>2341</v>
      </c>
      <c r="K35" s="280" t="s">
        <v>2329</v>
      </c>
      <c r="L35" s="285"/>
      <c r="M35" s="285"/>
      <c r="N35" s="285"/>
      <c r="O35" s="280" t="s">
        <v>2342</v>
      </c>
      <c r="P35" s="287" t="s">
        <v>2713</v>
      </c>
      <c r="Q35" s="319"/>
    </row>
    <row r="36" spans="1:23" ht="24">
      <c r="A36" s="274"/>
      <c r="B36" s="311"/>
      <c r="C36" s="268"/>
      <c r="D36" s="276"/>
      <c r="E36" s="322"/>
      <c r="F36" s="269"/>
      <c r="G36" s="268"/>
      <c r="H36" s="281"/>
      <c r="I36" s="326" t="s">
        <v>2667</v>
      </c>
      <c r="J36" s="312" t="s">
        <v>1925</v>
      </c>
      <c r="K36" s="326" t="s">
        <v>1652</v>
      </c>
      <c r="L36" s="327"/>
      <c r="M36" s="327" t="s">
        <v>57</v>
      </c>
      <c r="N36" s="327"/>
      <c r="O36" s="326" t="s">
        <v>1926</v>
      </c>
      <c r="P36" s="328" t="s">
        <v>2718</v>
      </c>
      <c r="Q36" s="319"/>
    </row>
    <row r="37" spans="1:23" ht="24">
      <c r="A37" s="274" t="s">
        <v>2655</v>
      </c>
      <c r="B37" s="311" t="s">
        <v>2719</v>
      </c>
      <c r="C37" s="268" t="s">
        <v>1883</v>
      </c>
      <c r="D37" s="276"/>
      <c r="E37" s="322"/>
      <c r="F37" s="269"/>
      <c r="G37" s="268" t="s">
        <v>2720</v>
      </c>
      <c r="H37" s="281" t="s">
        <v>2721</v>
      </c>
      <c r="I37" s="270" t="s">
        <v>2667</v>
      </c>
      <c r="J37" s="270" t="s">
        <v>2722</v>
      </c>
      <c r="K37" s="275" t="s">
        <v>1873</v>
      </c>
      <c r="L37" s="276"/>
      <c r="M37" s="276" t="s">
        <v>1930</v>
      </c>
      <c r="N37" s="276"/>
      <c r="O37" s="275" t="s">
        <v>2723</v>
      </c>
      <c r="P37" s="277" t="s">
        <v>2724</v>
      </c>
      <c r="Q37" s="319"/>
    </row>
    <row r="38" spans="1:23" ht="36">
      <c r="A38" s="274" t="s">
        <v>2725</v>
      </c>
      <c r="B38" s="311" t="s">
        <v>2726</v>
      </c>
      <c r="C38" s="268" t="s">
        <v>2727</v>
      </c>
      <c r="D38" s="276"/>
      <c r="E38" s="322"/>
      <c r="F38" s="269" t="s">
        <v>2710</v>
      </c>
      <c r="G38" s="268" t="s">
        <v>2728</v>
      </c>
      <c r="H38" s="281" t="s">
        <v>2729</v>
      </c>
      <c r="I38" s="280" t="s">
        <v>2660</v>
      </c>
      <c r="J38" s="280" t="s">
        <v>2730</v>
      </c>
      <c r="K38" s="280" t="s">
        <v>1987</v>
      </c>
      <c r="L38" s="285"/>
      <c r="M38" s="285"/>
      <c r="N38" s="285"/>
      <c r="O38" s="280" t="s">
        <v>2731</v>
      </c>
      <c r="P38" s="324" t="s">
        <v>2732</v>
      </c>
      <c r="Q38" s="319"/>
    </row>
    <row r="39" spans="1:23" ht="24">
      <c r="A39" s="267" t="s">
        <v>2655</v>
      </c>
      <c r="B39" s="334" t="s">
        <v>2733</v>
      </c>
      <c r="C39" s="268" t="s">
        <v>1977</v>
      </c>
      <c r="D39" s="269"/>
      <c r="E39" s="322"/>
      <c r="F39" s="269"/>
      <c r="G39" s="268" t="s">
        <v>2734</v>
      </c>
      <c r="H39" s="281" t="s">
        <v>2735</v>
      </c>
      <c r="I39" s="280" t="s">
        <v>2660</v>
      </c>
      <c r="J39" s="331" t="s">
        <v>2736</v>
      </c>
      <c r="K39" s="280" t="s">
        <v>2737</v>
      </c>
      <c r="L39" s="285"/>
      <c r="M39" s="285"/>
      <c r="N39" s="285"/>
      <c r="O39" s="280" t="s">
        <v>2738</v>
      </c>
      <c r="P39" s="287" t="s">
        <v>1982</v>
      </c>
      <c r="Q39" s="319"/>
      <c r="S39" s="272">
        <v>1</v>
      </c>
      <c r="T39" s="48" t="s">
        <v>2739</v>
      </c>
      <c r="W39" s="272" t="s">
        <v>2740</v>
      </c>
    </row>
    <row r="40" spans="1:23" ht="24">
      <c r="A40" s="267" t="s">
        <v>2655</v>
      </c>
      <c r="B40" s="334" t="s">
        <v>2741</v>
      </c>
      <c r="C40" s="268" t="s">
        <v>1977</v>
      </c>
      <c r="D40" s="269"/>
      <c r="E40" s="322"/>
      <c r="F40" s="269"/>
      <c r="G40" s="268" t="s">
        <v>2742</v>
      </c>
      <c r="H40" s="281" t="s">
        <v>2743</v>
      </c>
      <c r="I40" s="280" t="s">
        <v>2660</v>
      </c>
      <c r="J40" s="331" t="s">
        <v>2744</v>
      </c>
      <c r="K40" s="280" t="s">
        <v>2737</v>
      </c>
      <c r="L40" s="285"/>
      <c r="M40" s="285"/>
      <c r="N40" s="285"/>
      <c r="O40" s="280" t="s">
        <v>2745</v>
      </c>
      <c r="P40" s="287" t="s">
        <v>1982</v>
      </c>
      <c r="Q40" s="319"/>
      <c r="S40" s="272">
        <v>2</v>
      </c>
      <c r="T40" s="48" t="s">
        <v>2746</v>
      </c>
      <c r="W40" s="272" t="s">
        <v>2747</v>
      </c>
    </row>
    <row r="41" spans="1:23" ht="36">
      <c r="A41" s="267" t="s">
        <v>2725</v>
      </c>
      <c r="B41" s="334" t="s">
        <v>2748</v>
      </c>
      <c r="C41" s="268" t="s">
        <v>1977</v>
      </c>
      <c r="D41" s="269"/>
      <c r="E41" s="322"/>
      <c r="F41" s="269" t="s">
        <v>2710</v>
      </c>
      <c r="G41" s="268" t="s">
        <v>2749</v>
      </c>
      <c r="H41" s="281" t="s">
        <v>2750</v>
      </c>
      <c r="I41" s="280" t="s">
        <v>2667</v>
      </c>
      <c r="J41" s="331" t="s">
        <v>2751</v>
      </c>
      <c r="K41" s="280" t="s">
        <v>1974</v>
      </c>
      <c r="L41" s="285"/>
      <c r="M41" s="285"/>
      <c r="N41" s="285"/>
      <c r="O41" s="280" t="s">
        <v>2752</v>
      </c>
      <c r="P41" s="287" t="s">
        <v>1982</v>
      </c>
      <c r="Q41" s="319"/>
      <c r="S41" s="272">
        <v>3</v>
      </c>
      <c r="T41" s="48" t="s">
        <v>2753</v>
      </c>
      <c r="W41" s="272" t="s">
        <v>2754</v>
      </c>
    </row>
    <row r="42" spans="1:23">
      <c r="A42" s="274" t="s">
        <v>2655</v>
      </c>
      <c r="B42" s="311" t="s">
        <v>2167</v>
      </c>
      <c r="C42" s="268" t="s">
        <v>2755</v>
      </c>
      <c r="D42" s="276"/>
      <c r="E42" s="322"/>
      <c r="F42" s="269"/>
      <c r="G42" s="268" t="s">
        <v>2756</v>
      </c>
      <c r="H42" s="270"/>
      <c r="I42" s="270"/>
      <c r="J42" s="273" t="s">
        <v>2757</v>
      </c>
      <c r="K42" s="270"/>
      <c r="L42" s="270"/>
      <c r="M42" s="270"/>
      <c r="N42" s="270"/>
      <c r="O42" s="270"/>
      <c r="P42" s="270" t="s">
        <v>2758</v>
      </c>
      <c r="Q42" s="319"/>
      <c r="S42" s="272">
        <v>4</v>
      </c>
      <c r="T42" s="48" t="s">
        <v>2759</v>
      </c>
      <c r="W42" s="272" t="s">
        <v>2760</v>
      </c>
    </row>
    <row r="43" spans="1:23">
      <c r="A43" s="274" t="s">
        <v>2655</v>
      </c>
      <c r="B43" s="311" t="s">
        <v>2170</v>
      </c>
      <c r="C43" s="268" t="s">
        <v>2755</v>
      </c>
      <c r="D43" s="276"/>
      <c r="E43" s="322"/>
      <c r="F43" s="269"/>
      <c r="G43" s="268" t="s">
        <v>2761</v>
      </c>
      <c r="H43" s="270"/>
      <c r="I43" s="275" t="s">
        <v>2660</v>
      </c>
      <c r="J43" s="275" t="s">
        <v>2762</v>
      </c>
      <c r="K43" s="275" t="s">
        <v>2763</v>
      </c>
      <c r="L43" s="276"/>
      <c r="M43" s="276" t="s">
        <v>515</v>
      </c>
      <c r="N43" s="276"/>
      <c r="O43" s="275" t="s">
        <v>2764</v>
      </c>
      <c r="P43" s="277" t="s">
        <v>2765</v>
      </c>
      <c r="Q43" s="319"/>
      <c r="S43" s="272">
        <v>5</v>
      </c>
      <c r="T43" s="48" t="s">
        <v>2766</v>
      </c>
      <c r="W43" s="272" t="s">
        <v>2767</v>
      </c>
    </row>
    <row r="44" spans="1:23">
      <c r="A44" s="274" t="s">
        <v>2655</v>
      </c>
      <c r="B44" s="311" t="s">
        <v>1618</v>
      </c>
      <c r="C44" s="268" t="s">
        <v>2768</v>
      </c>
      <c r="D44" s="276"/>
      <c r="E44" s="322"/>
      <c r="F44" s="269"/>
      <c r="G44" s="268" t="s">
        <v>2769</v>
      </c>
      <c r="H44" s="270" t="s">
        <v>2770</v>
      </c>
      <c r="I44" s="275"/>
      <c r="J44" s="348" t="s">
        <v>2757</v>
      </c>
      <c r="K44" s="275"/>
      <c r="L44" s="276"/>
      <c r="M44" s="276"/>
      <c r="N44" s="276"/>
      <c r="O44" s="275"/>
      <c r="P44" s="277" t="s">
        <v>2758</v>
      </c>
      <c r="Q44" s="319"/>
      <c r="S44" s="272">
        <v>6</v>
      </c>
      <c r="T44" s="48" t="s">
        <v>2771</v>
      </c>
      <c r="W44" s="272" t="s">
        <v>2772</v>
      </c>
    </row>
    <row r="45" spans="1:23">
      <c r="A45" s="274" t="s">
        <v>2655</v>
      </c>
      <c r="B45" s="56" t="s">
        <v>2773</v>
      </c>
      <c r="C45" s="268" t="s">
        <v>2774</v>
      </c>
      <c r="D45" s="276"/>
      <c r="E45" s="276"/>
      <c r="F45" s="276"/>
      <c r="G45" s="275" t="s">
        <v>2178</v>
      </c>
      <c r="H45" s="284"/>
      <c r="I45" s="275" t="s">
        <v>2660</v>
      </c>
      <c r="J45" s="275" t="s">
        <v>2775</v>
      </c>
      <c r="K45" s="275" t="s">
        <v>2776</v>
      </c>
      <c r="L45" s="276"/>
      <c r="M45" s="276"/>
      <c r="N45" s="276"/>
      <c r="O45" s="275" t="s">
        <v>2178</v>
      </c>
      <c r="P45" s="321"/>
      <c r="Q45" s="319"/>
      <c r="S45" s="272">
        <v>7</v>
      </c>
      <c r="T45" s="48" t="s">
        <v>2777</v>
      </c>
      <c r="W45" s="272" t="s">
        <v>2778</v>
      </c>
    </row>
    <row r="46" spans="1:23">
      <c r="A46" s="274" t="s">
        <v>2655</v>
      </c>
      <c r="B46" s="311" t="s">
        <v>1624</v>
      </c>
      <c r="C46" s="268" t="s">
        <v>2779</v>
      </c>
      <c r="D46" s="276"/>
      <c r="E46" s="322"/>
      <c r="F46" s="269"/>
      <c r="G46" s="268" t="s">
        <v>2780</v>
      </c>
      <c r="H46" s="270"/>
      <c r="I46" s="270"/>
      <c r="J46" s="270"/>
      <c r="K46" s="270"/>
      <c r="L46" s="270"/>
      <c r="M46" s="270"/>
      <c r="N46" s="270"/>
      <c r="O46" s="270"/>
      <c r="P46" s="270" t="s">
        <v>2758</v>
      </c>
      <c r="Q46" s="319"/>
      <c r="S46" s="349">
        <v>8</v>
      </c>
      <c r="T46" s="350" t="s">
        <v>2781</v>
      </c>
      <c r="U46" s="351"/>
      <c r="V46" s="351"/>
    </row>
    <row r="47" spans="1:23">
      <c r="A47" s="274" t="s">
        <v>2655</v>
      </c>
      <c r="B47" s="56" t="s">
        <v>2782</v>
      </c>
      <c r="C47" s="268" t="s">
        <v>2783</v>
      </c>
      <c r="D47" s="276"/>
      <c r="E47" s="276"/>
      <c r="F47" s="276"/>
      <c r="G47" s="275" t="s">
        <v>2784</v>
      </c>
      <c r="H47" s="275"/>
      <c r="I47" s="275" t="s">
        <v>2660</v>
      </c>
      <c r="J47" s="275" t="s">
        <v>2785</v>
      </c>
      <c r="K47" s="275" t="s">
        <v>2776</v>
      </c>
      <c r="L47" s="276"/>
      <c r="M47" s="276"/>
      <c r="N47" s="276"/>
      <c r="O47" s="275" t="s">
        <v>2784</v>
      </c>
      <c r="P47" s="277"/>
      <c r="Q47" s="319"/>
      <c r="S47" s="352">
        <v>9</v>
      </c>
      <c r="T47" s="353" t="s">
        <v>2786</v>
      </c>
      <c r="U47" s="351"/>
      <c r="V47" s="351"/>
    </row>
    <row r="48" spans="1:23">
      <c r="A48" s="274" t="s">
        <v>2655</v>
      </c>
      <c r="B48" s="311" t="s">
        <v>2183</v>
      </c>
      <c r="C48" s="268" t="s">
        <v>2695</v>
      </c>
      <c r="D48" s="276"/>
      <c r="E48" s="322"/>
      <c r="F48" s="269"/>
      <c r="G48" s="268" t="s">
        <v>2787</v>
      </c>
      <c r="H48" s="270"/>
      <c r="I48" s="275" t="s">
        <v>2705</v>
      </c>
      <c r="J48" s="275" t="s">
        <v>2185</v>
      </c>
      <c r="K48" s="275" t="s">
        <v>1873</v>
      </c>
      <c r="L48" s="276"/>
      <c r="M48" s="276" t="s">
        <v>515</v>
      </c>
      <c r="N48" s="276"/>
      <c r="O48" s="275" t="s">
        <v>2788</v>
      </c>
      <c r="P48" s="277"/>
      <c r="Q48" s="319"/>
      <c r="S48" s="349">
        <v>10</v>
      </c>
      <c r="T48" s="350" t="s">
        <v>2789</v>
      </c>
      <c r="U48" s="351"/>
      <c r="V48" s="351"/>
    </row>
    <row r="49" spans="1:23">
      <c r="A49" s="274" t="s">
        <v>2655</v>
      </c>
      <c r="B49" s="311" t="s">
        <v>2187</v>
      </c>
      <c r="C49" s="268" t="s">
        <v>2790</v>
      </c>
      <c r="D49" s="276"/>
      <c r="E49" s="322"/>
      <c r="F49" s="269"/>
      <c r="G49" s="268" t="s">
        <v>2791</v>
      </c>
      <c r="H49" s="270"/>
      <c r="I49" s="275" t="s">
        <v>2705</v>
      </c>
      <c r="J49" s="275" t="s">
        <v>2792</v>
      </c>
      <c r="K49" s="275" t="s">
        <v>1652</v>
      </c>
      <c r="L49" s="276"/>
      <c r="M49" s="276" t="s">
        <v>515</v>
      </c>
      <c r="N49" s="276"/>
      <c r="O49" s="275" t="s">
        <v>133</v>
      </c>
      <c r="P49" s="321"/>
      <c r="Q49" s="319"/>
      <c r="S49" s="272">
        <v>11</v>
      </c>
      <c r="T49" s="354" t="s">
        <v>2793</v>
      </c>
      <c r="U49" s="355"/>
      <c r="V49" s="355"/>
    </row>
    <row r="50" spans="1:23">
      <c r="A50" s="274" t="s">
        <v>2655</v>
      </c>
      <c r="B50" s="311" t="s">
        <v>2189</v>
      </c>
      <c r="C50" s="268" t="s">
        <v>1997</v>
      </c>
      <c r="D50" s="276"/>
      <c r="E50" s="322"/>
      <c r="F50" s="269"/>
      <c r="G50" s="268" t="s">
        <v>2794</v>
      </c>
      <c r="H50" s="270"/>
      <c r="I50" s="275" t="s">
        <v>2660</v>
      </c>
      <c r="J50" s="275" t="s">
        <v>2795</v>
      </c>
      <c r="K50" s="275" t="s">
        <v>1597</v>
      </c>
      <c r="L50" s="276"/>
      <c r="M50" s="276"/>
      <c r="N50" s="276"/>
      <c r="O50" s="275" t="s">
        <v>122</v>
      </c>
      <c r="P50" s="277"/>
      <c r="Q50" s="319"/>
      <c r="S50" s="272">
        <v>12</v>
      </c>
      <c r="T50" s="354" t="s">
        <v>2796</v>
      </c>
      <c r="U50" s="355"/>
      <c r="V50" s="355"/>
    </row>
    <row r="51" spans="1:23" ht="24">
      <c r="A51" s="274" t="s">
        <v>2655</v>
      </c>
      <c r="B51" s="311" t="s">
        <v>2192</v>
      </c>
      <c r="C51" s="268" t="s">
        <v>1720</v>
      </c>
      <c r="D51" s="276"/>
      <c r="E51" s="322"/>
      <c r="F51" s="269" t="s">
        <v>2797</v>
      </c>
      <c r="G51" s="268" t="s">
        <v>2798</v>
      </c>
      <c r="H51" s="281" t="s">
        <v>2799</v>
      </c>
      <c r="I51" s="280" t="s">
        <v>2705</v>
      </c>
      <c r="J51" s="331" t="s">
        <v>2800</v>
      </c>
      <c r="K51" s="280" t="s">
        <v>1805</v>
      </c>
      <c r="L51" s="285"/>
      <c r="M51" s="285"/>
      <c r="N51" s="285"/>
      <c r="O51" s="280" t="s">
        <v>2801</v>
      </c>
      <c r="P51" s="287" t="s">
        <v>1982</v>
      </c>
      <c r="Q51" s="319"/>
      <c r="S51" s="272">
        <v>13</v>
      </c>
      <c r="T51" s="354" t="s">
        <v>2802</v>
      </c>
      <c r="U51" s="355"/>
      <c r="V51" s="355"/>
    </row>
    <row r="52" spans="1:23">
      <c r="A52" s="267" t="s">
        <v>2655</v>
      </c>
      <c r="B52" s="334" t="s">
        <v>2198</v>
      </c>
      <c r="C52" s="268" t="s">
        <v>2032</v>
      </c>
      <c r="D52" s="269"/>
      <c r="E52" s="322"/>
      <c r="F52" s="269" t="s">
        <v>2710</v>
      </c>
      <c r="G52" s="268" t="s">
        <v>2803</v>
      </c>
      <c r="H52" s="270" t="s">
        <v>2676</v>
      </c>
      <c r="I52" s="280" t="s">
        <v>2660</v>
      </c>
      <c r="J52" s="331" t="s">
        <v>2804</v>
      </c>
      <c r="K52" s="280" t="s">
        <v>2201</v>
      </c>
      <c r="L52" s="285"/>
      <c r="M52" s="285" t="s">
        <v>1930</v>
      </c>
      <c r="N52" s="285"/>
      <c r="O52" s="280" t="s">
        <v>2805</v>
      </c>
      <c r="P52" s="287" t="s">
        <v>1982</v>
      </c>
      <c r="Q52" s="319"/>
      <c r="T52" s="48"/>
    </row>
    <row r="53" spans="1:23" ht="36">
      <c r="A53" s="341" t="s">
        <v>2655</v>
      </c>
      <c r="B53" s="341" t="s">
        <v>1989</v>
      </c>
      <c r="C53" s="270" t="s">
        <v>2695</v>
      </c>
      <c r="D53" s="269"/>
      <c r="E53" s="269"/>
      <c r="F53" s="269" t="s">
        <v>2710</v>
      </c>
      <c r="G53" s="270" t="s">
        <v>2806</v>
      </c>
      <c r="H53" s="281" t="s">
        <v>2676</v>
      </c>
      <c r="I53" s="270" t="s">
        <v>2660</v>
      </c>
      <c r="J53" s="270" t="s">
        <v>2807</v>
      </c>
      <c r="K53" s="270" t="s">
        <v>1652</v>
      </c>
      <c r="L53" s="269"/>
      <c r="M53" s="269"/>
      <c r="N53" s="269"/>
      <c r="O53" s="270" t="s">
        <v>2808</v>
      </c>
      <c r="P53" s="320" t="s">
        <v>2809</v>
      </c>
      <c r="Q53" s="319"/>
      <c r="S53" s="349">
        <v>14</v>
      </c>
      <c r="T53" s="350" t="s">
        <v>2810</v>
      </c>
      <c r="U53" s="351"/>
      <c r="V53" s="351"/>
    </row>
    <row r="54" spans="1:23">
      <c r="A54" s="274" t="s">
        <v>2655</v>
      </c>
      <c r="B54" s="311" t="s">
        <v>2001</v>
      </c>
      <c r="C54" s="268" t="s">
        <v>2811</v>
      </c>
      <c r="D54" s="276"/>
      <c r="E54" s="322"/>
      <c r="F54" s="269"/>
      <c r="G54" s="268" t="s">
        <v>2004</v>
      </c>
      <c r="H54" s="270" t="s">
        <v>2812</v>
      </c>
      <c r="I54" s="280" t="s">
        <v>2705</v>
      </c>
      <c r="J54" s="323" t="s">
        <v>2813</v>
      </c>
      <c r="K54" s="280" t="s">
        <v>2737</v>
      </c>
      <c r="L54" s="285"/>
      <c r="M54" s="285"/>
      <c r="N54" s="285"/>
      <c r="O54" s="280" t="s">
        <v>2814</v>
      </c>
      <c r="P54" s="287" t="s">
        <v>1982</v>
      </c>
      <c r="Q54" s="319"/>
      <c r="S54" s="349">
        <v>15</v>
      </c>
      <c r="T54" s="350" t="s">
        <v>2815</v>
      </c>
      <c r="U54" s="351"/>
      <c r="V54" s="351"/>
    </row>
    <row r="55" spans="1:23">
      <c r="A55" s="274" t="s">
        <v>2655</v>
      </c>
      <c r="B55" s="311" t="s">
        <v>2816</v>
      </c>
      <c r="C55" s="268" t="s">
        <v>2817</v>
      </c>
      <c r="D55" s="276"/>
      <c r="E55" s="322"/>
      <c r="F55" s="269"/>
      <c r="G55" s="268" t="s">
        <v>2013</v>
      </c>
      <c r="H55" s="270" t="s">
        <v>2812</v>
      </c>
      <c r="I55" s="280" t="s">
        <v>2705</v>
      </c>
      <c r="J55" s="323" t="s">
        <v>2818</v>
      </c>
      <c r="K55" s="280" t="s">
        <v>1652</v>
      </c>
      <c r="L55" s="285"/>
      <c r="M55" s="285"/>
      <c r="N55" s="285"/>
      <c r="O55" s="280" t="s">
        <v>2819</v>
      </c>
      <c r="P55" s="287" t="s">
        <v>1982</v>
      </c>
      <c r="Q55" s="319"/>
      <c r="S55" s="352">
        <v>16</v>
      </c>
      <c r="T55" s="353" t="s">
        <v>2820</v>
      </c>
      <c r="U55" s="351"/>
      <c r="V55" s="351"/>
    </row>
    <row r="56" spans="1:23" ht="16.5" customHeight="1">
      <c r="A56" s="274" t="s">
        <v>2655</v>
      </c>
      <c r="B56" s="268" t="s">
        <v>2017</v>
      </c>
      <c r="C56" s="268" t="s">
        <v>2018</v>
      </c>
      <c r="D56" s="269"/>
      <c r="E56" s="269" t="s">
        <v>2019</v>
      </c>
      <c r="F56" s="269">
        <v>0</v>
      </c>
      <c r="G56" s="268" t="s">
        <v>2020</v>
      </c>
      <c r="H56" s="270" t="s">
        <v>2812</v>
      </c>
      <c r="I56" s="280" t="s">
        <v>2705</v>
      </c>
      <c r="J56" s="323" t="s">
        <v>2821</v>
      </c>
      <c r="K56" s="280" t="s">
        <v>2222</v>
      </c>
      <c r="L56" s="285"/>
      <c r="M56" s="285"/>
      <c r="N56" s="285"/>
      <c r="O56" s="280" t="s">
        <v>2822</v>
      </c>
      <c r="P56" s="287" t="s">
        <v>1982</v>
      </c>
    </row>
    <row r="57" spans="1:23" ht="24">
      <c r="A57" s="274" t="s">
        <v>2655</v>
      </c>
      <c r="B57" s="268" t="s">
        <v>2024</v>
      </c>
      <c r="C57" s="268" t="s">
        <v>2018</v>
      </c>
      <c r="D57" s="269"/>
      <c r="E57" s="269" t="s">
        <v>2019</v>
      </c>
      <c r="F57" s="269">
        <v>0</v>
      </c>
      <c r="G57" s="268" t="s">
        <v>2025</v>
      </c>
      <c r="H57" s="281" t="s">
        <v>2823</v>
      </c>
      <c r="I57" s="280" t="s">
        <v>2705</v>
      </c>
      <c r="J57" s="323" t="s">
        <v>2824</v>
      </c>
      <c r="K57" s="280" t="s">
        <v>2222</v>
      </c>
      <c r="L57" s="285"/>
      <c r="M57" s="285"/>
      <c r="N57" s="285"/>
      <c r="O57" s="280" t="s">
        <v>2825</v>
      </c>
      <c r="P57" s="287" t="s">
        <v>1982</v>
      </c>
    </row>
    <row r="58" spans="1:23">
      <c r="A58" s="274" t="s">
        <v>2655</v>
      </c>
      <c r="B58" s="311" t="s">
        <v>2826</v>
      </c>
      <c r="C58" s="268" t="s">
        <v>2032</v>
      </c>
      <c r="D58" s="276"/>
      <c r="E58" s="322"/>
      <c r="F58" s="269"/>
      <c r="G58" s="268" t="s">
        <v>2827</v>
      </c>
      <c r="H58" s="270" t="s">
        <v>2812</v>
      </c>
      <c r="I58" s="280" t="s">
        <v>3346</v>
      </c>
      <c r="J58" s="323" t="s">
        <v>2035</v>
      </c>
      <c r="K58" s="280" t="s">
        <v>2201</v>
      </c>
      <c r="L58" s="285"/>
      <c r="M58" s="285"/>
      <c r="N58" s="285"/>
      <c r="O58" s="280" t="s">
        <v>2828</v>
      </c>
      <c r="P58" s="287" t="s">
        <v>1982</v>
      </c>
      <c r="Q58" s="319"/>
      <c r="S58" s="272">
        <v>17</v>
      </c>
      <c r="T58" s="48" t="s">
        <v>2829</v>
      </c>
      <c r="W58" s="272" t="s">
        <v>2830</v>
      </c>
    </row>
    <row r="59" spans="1:23">
      <c r="A59" s="274" t="s">
        <v>2655</v>
      </c>
      <c r="B59" s="311" t="s">
        <v>2831</v>
      </c>
      <c r="C59" s="268" t="s">
        <v>2832</v>
      </c>
      <c r="D59" s="276"/>
      <c r="E59" s="322"/>
      <c r="F59" s="269"/>
      <c r="G59" s="268" t="s">
        <v>2833</v>
      </c>
      <c r="H59" s="281" t="s">
        <v>2676</v>
      </c>
      <c r="I59" s="280" t="s">
        <v>2705</v>
      </c>
      <c r="J59" s="323" t="s">
        <v>2834</v>
      </c>
      <c r="K59" s="280" t="s">
        <v>2835</v>
      </c>
      <c r="L59" s="285"/>
      <c r="M59" s="285"/>
      <c r="N59" s="285"/>
      <c r="O59" s="280" t="s">
        <v>2836</v>
      </c>
      <c r="P59" s="287" t="s">
        <v>1982</v>
      </c>
      <c r="Q59" s="319"/>
      <c r="S59" s="272">
        <v>18</v>
      </c>
      <c r="T59" s="353" t="s">
        <v>2837</v>
      </c>
      <c r="U59" s="351"/>
      <c r="V59" s="351"/>
    </row>
    <row r="60" spans="1:23">
      <c r="A60" s="274"/>
      <c r="B60" s="311"/>
      <c r="C60" s="268"/>
      <c r="D60" s="276"/>
      <c r="E60" s="322"/>
      <c r="F60" s="269"/>
      <c r="G60" s="268"/>
      <c r="H60" s="281"/>
      <c r="I60" s="275"/>
      <c r="J60" s="348"/>
      <c r="K60" s="275"/>
      <c r="L60" s="276"/>
      <c r="M60" s="276"/>
      <c r="N60" s="276"/>
      <c r="O60" s="275"/>
      <c r="P60" s="277"/>
      <c r="Q60" s="319"/>
      <c r="W60" s="272" t="s">
        <v>2838</v>
      </c>
    </row>
    <row r="61" spans="1:23">
      <c r="A61" s="274"/>
      <c r="B61" s="311"/>
      <c r="C61" s="268"/>
      <c r="D61" s="276"/>
      <c r="E61" s="322"/>
      <c r="F61" s="269"/>
      <c r="G61" s="268"/>
      <c r="H61" s="281"/>
      <c r="I61" s="275"/>
      <c r="J61" s="348"/>
      <c r="K61" s="275"/>
      <c r="L61" s="276"/>
      <c r="M61" s="276"/>
      <c r="N61" s="276"/>
      <c r="O61" s="275"/>
      <c r="P61" s="277"/>
      <c r="Q61" s="319"/>
    </row>
    <row r="62" spans="1:23">
      <c r="A62" s="274"/>
      <c r="B62" s="311"/>
      <c r="C62" s="268"/>
      <c r="D62" s="276"/>
      <c r="E62" s="322"/>
      <c r="F62" s="269"/>
      <c r="G62" s="268"/>
      <c r="H62" s="281"/>
      <c r="I62" s="275"/>
      <c r="J62" s="348"/>
      <c r="K62" s="275"/>
      <c r="L62" s="276"/>
      <c r="M62" s="276"/>
      <c r="N62" s="276"/>
      <c r="O62" s="275"/>
      <c r="P62" s="277"/>
      <c r="Q62" s="319"/>
    </row>
    <row r="63" spans="1:23">
      <c r="A63" s="274"/>
      <c r="B63" s="56"/>
      <c r="C63" s="275"/>
      <c r="D63" s="276"/>
      <c r="E63" s="276"/>
      <c r="F63" s="276"/>
      <c r="G63" s="275"/>
      <c r="H63" s="275"/>
      <c r="I63" s="275"/>
      <c r="J63" s="275"/>
      <c r="K63" s="275"/>
      <c r="L63" s="276"/>
      <c r="M63" s="276"/>
      <c r="N63" s="276"/>
      <c r="O63" s="275"/>
      <c r="P63" s="277"/>
      <c r="Q63" s="319"/>
    </row>
    <row r="64" spans="1:23">
      <c r="A64" s="274"/>
      <c r="B64" s="56"/>
      <c r="C64" s="275"/>
      <c r="D64" s="276"/>
      <c r="E64" s="276"/>
      <c r="F64" s="276"/>
      <c r="G64" s="275"/>
      <c r="H64" s="284"/>
      <c r="I64" s="275"/>
      <c r="J64" s="275"/>
      <c r="K64" s="275"/>
      <c r="L64" s="276"/>
      <c r="M64" s="276"/>
      <c r="N64" s="276"/>
      <c r="O64" s="275"/>
      <c r="P64" s="321"/>
      <c r="Q64" s="319"/>
    </row>
    <row r="65" spans="1:16" ht="17.25" thickBot="1">
      <c r="A65" s="289" t="s">
        <v>1726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8"/>
    </row>
    <row r="66" spans="1:16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</row>
  </sheetData>
  <mergeCells count="17">
    <mergeCell ref="B2:P2"/>
    <mergeCell ref="B3:P3"/>
    <mergeCell ref="B4:P4"/>
    <mergeCell ref="A5:A8"/>
    <mergeCell ref="B5:P8"/>
    <mergeCell ref="B65:P65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61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62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63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64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65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66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59"/>
  <sheetViews>
    <sheetView zoomScaleNormal="100" workbookViewId="0">
      <selection activeCell="G40" sqref="G40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54.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2839</v>
      </c>
      <c r="B2" s="546" t="s">
        <v>2840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2841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 customHeight="1">
      <c r="A4" s="309" t="s">
        <v>1392</v>
      </c>
      <c r="B4" s="550" t="s">
        <v>2468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2842</v>
      </c>
      <c r="B5" s="554" t="s">
        <v>2843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2844</v>
      </c>
      <c r="B9" s="559"/>
      <c r="C9" s="559"/>
      <c r="D9" s="559"/>
      <c r="E9" s="559"/>
      <c r="F9" s="559"/>
      <c r="G9" s="559"/>
      <c r="H9" s="559"/>
      <c r="I9" s="250" t="s">
        <v>1397</v>
      </c>
      <c r="J9" s="559" t="s">
        <v>1516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1517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690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2845</v>
      </c>
      <c r="B12" s="566" t="s">
        <v>2846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2847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2848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2849</v>
      </c>
      <c r="B14" s="252" t="s">
        <v>1006</v>
      </c>
      <c r="C14" s="252" t="s">
        <v>43</v>
      </c>
      <c r="D14" s="253" t="s">
        <v>1412</v>
      </c>
      <c r="E14" s="252" t="s">
        <v>2850</v>
      </c>
      <c r="F14" s="252" t="s">
        <v>2851</v>
      </c>
      <c r="G14" s="252" t="s">
        <v>1414</v>
      </c>
      <c r="H14" s="252" t="s">
        <v>72</v>
      </c>
      <c r="I14" s="252" t="s">
        <v>1525</v>
      </c>
      <c r="J14" s="252" t="s">
        <v>1006</v>
      </c>
      <c r="K14" s="252" t="s">
        <v>43</v>
      </c>
      <c r="L14" s="253" t="s">
        <v>1412</v>
      </c>
      <c r="M14" s="253" t="s">
        <v>52</v>
      </c>
      <c r="N14" s="252" t="s">
        <v>1413</v>
      </c>
      <c r="O14" s="252" t="s">
        <v>2852</v>
      </c>
      <c r="P14" s="254" t="s">
        <v>2853</v>
      </c>
    </row>
    <row r="15" spans="1:17" s="262" customFormat="1" ht="16.5" customHeight="1">
      <c r="A15" s="255"/>
      <c r="B15" s="256"/>
      <c r="C15" s="256"/>
      <c r="D15" s="257"/>
      <c r="E15" s="257"/>
      <c r="F15" s="256"/>
      <c r="G15" s="256" t="s">
        <v>1422</v>
      </c>
      <c r="H15" s="256" t="s">
        <v>2854</v>
      </c>
      <c r="I15" s="256" t="s">
        <v>2294</v>
      </c>
      <c r="J15" s="256" t="s">
        <v>1535</v>
      </c>
      <c r="K15" s="256" t="s">
        <v>2265</v>
      </c>
      <c r="L15" s="257" t="s">
        <v>2266</v>
      </c>
      <c r="M15" s="257" t="s">
        <v>515</v>
      </c>
      <c r="N15" s="256"/>
      <c r="O15" s="256" t="s">
        <v>2267</v>
      </c>
      <c r="P15" s="256"/>
      <c r="Q15" s="261"/>
    </row>
    <row r="16" spans="1:17" s="262" customFormat="1" ht="24">
      <c r="A16" s="255"/>
      <c r="B16" s="256"/>
      <c r="C16" s="256"/>
      <c r="D16" s="257"/>
      <c r="E16" s="257"/>
      <c r="F16" s="257"/>
      <c r="G16" s="256" t="s">
        <v>1424</v>
      </c>
      <c r="H16" s="313" t="s">
        <v>2269</v>
      </c>
      <c r="I16" s="256" t="s">
        <v>2294</v>
      </c>
      <c r="J16" s="256" t="s">
        <v>3309</v>
      </c>
      <c r="K16" s="256" t="s">
        <v>2270</v>
      </c>
      <c r="L16" s="257"/>
      <c r="M16" s="257" t="s">
        <v>515</v>
      </c>
      <c r="N16" s="257"/>
      <c r="O16" s="256" t="s">
        <v>2271</v>
      </c>
      <c r="P16" s="256"/>
      <c r="Q16" s="261"/>
    </row>
    <row r="17" spans="1:17">
      <c r="A17" s="270" t="s">
        <v>2667</v>
      </c>
      <c r="B17" s="297" t="s">
        <v>2855</v>
      </c>
      <c r="C17" s="270" t="s">
        <v>1987</v>
      </c>
      <c r="D17" s="269"/>
      <c r="E17" s="269" t="s">
        <v>2856</v>
      </c>
      <c r="F17" s="269"/>
      <c r="G17" s="270" t="s">
        <v>2115</v>
      </c>
      <c r="H17" s="275" t="s">
        <v>2857</v>
      </c>
      <c r="I17" s="275" t="s">
        <v>2294</v>
      </c>
      <c r="J17" s="275" t="s">
        <v>2858</v>
      </c>
      <c r="K17" s="275" t="s">
        <v>1447</v>
      </c>
      <c r="L17" s="307" t="s">
        <v>2266</v>
      </c>
      <c r="M17" s="276" t="s">
        <v>515</v>
      </c>
      <c r="N17" s="276">
        <v>1000</v>
      </c>
      <c r="O17" s="275" t="s">
        <v>1448</v>
      </c>
      <c r="P17" s="277"/>
      <c r="Q17" s="319"/>
    </row>
    <row r="18" spans="1:17">
      <c r="A18" s="270" t="s">
        <v>2667</v>
      </c>
      <c r="B18" s="297" t="s">
        <v>2859</v>
      </c>
      <c r="C18" s="270" t="s">
        <v>1987</v>
      </c>
      <c r="D18" s="269"/>
      <c r="E18" s="269" t="s">
        <v>57</v>
      </c>
      <c r="F18" s="269"/>
      <c r="G18" s="270" t="s">
        <v>2860</v>
      </c>
      <c r="H18" s="275" t="s">
        <v>2857</v>
      </c>
      <c r="I18" s="275" t="s">
        <v>2294</v>
      </c>
      <c r="J18" s="275" t="s">
        <v>2861</v>
      </c>
      <c r="K18" s="275" t="s">
        <v>1447</v>
      </c>
      <c r="L18" s="307" t="s">
        <v>2266</v>
      </c>
      <c r="M18" s="276" t="s">
        <v>515</v>
      </c>
      <c r="N18" s="276">
        <v>1000</v>
      </c>
      <c r="O18" s="275" t="s">
        <v>2681</v>
      </c>
      <c r="P18" s="277" t="s">
        <v>2281</v>
      </c>
      <c r="Q18" s="319"/>
    </row>
    <row r="19" spans="1:17">
      <c r="A19" s="270" t="s">
        <v>2667</v>
      </c>
      <c r="B19" s="297" t="s">
        <v>2862</v>
      </c>
      <c r="C19" s="270" t="s">
        <v>1987</v>
      </c>
      <c r="D19" s="269"/>
      <c r="E19" s="269" t="s">
        <v>57</v>
      </c>
      <c r="F19" s="269"/>
      <c r="G19" s="270" t="s">
        <v>2863</v>
      </c>
      <c r="H19" s="275" t="s">
        <v>2864</v>
      </c>
      <c r="I19" s="275" t="s">
        <v>2294</v>
      </c>
      <c r="J19" s="275" t="s">
        <v>1451</v>
      </c>
      <c r="K19" s="275" t="s">
        <v>1447</v>
      </c>
      <c r="L19" s="307" t="s">
        <v>2266</v>
      </c>
      <c r="M19" s="276" t="s">
        <v>515</v>
      </c>
      <c r="N19" s="276">
        <v>1000</v>
      </c>
      <c r="O19" s="275" t="s">
        <v>2865</v>
      </c>
      <c r="P19" s="277"/>
      <c r="Q19" s="319"/>
    </row>
    <row r="20" spans="1:17">
      <c r="A20" s="270" t="s">
        <v>2667</v>
      </c>
      <c r="B20" s="338" t="s">
        <v>2866</v>
      </c>
      <c r="C20" s="268" t="s">
        <v>2867</v>
      </c>
      <c r="D20" s="276"/>
      <c r="E20" s="269" t="s">
        <v>2856</v>
      </c>
      <c r="F20" s="269"/>
      <c r="G20" s="268" t="s">
        <v>2868</v>
      </c>
      <c r="H20" s="270" t="s">
        <v>2869</v>
      </c>
      <c r="I20" s="275" t="s">
        <v>2294</v>
      </c>
      <c r="J20" s="275" t="s">
        <v>2870</v>
      </c>
      <c r="K20" s="275" t="s">
        <v>2290</v>
      </c>
      <c r="L20" s="307" t="s">
        <v>2266</v>
      </c>
      <c r="M20" s="276" t="s">
        <v>515</v>
      </c>
      <c r="N20" s="276"/>
      <c r="O20" s="275" t="s">
        <v>2871</v>
      </c>
      <c r="P20" s="277" t="s">
        <v>2292</v>
      </c>
      <c r="Q20" s="319"/>
    </row>
    <row r="21" spans="1:17">
      <c r="A21" s="275"/>
      <c r="B21" s="311"/>
      <c r="C21" s="268"/>
      <c r="D21" s="276"/>
      <c r="E21" s="322"/>
      <c r="F21" s="269"/>
      <c r="G21" s="268"/>
      <c r="H21" s="270" t="s">
        <v>2872</v>
      </c>
      <c r="I21" s="275" t="s">
        <v>2294</v>
      </c>
      <c r="J21" s="275" t="s">
        <v>2873</v>
      </c>
      <c r="K21" s="275" t="s">
        <v>2296</v>
      </c>
      <c r="L21" s="307" t="s">
        <v>2266</v>
      </c>
      <c r="M21" s="276" t="s">
        <v>515</v>
      </c>
      <c r="N21" s="276"/>
      <c r="O21" s="275" t="s">
        <v>2297</v>
      </c>
      <c r="P21" s="277" t="s">
        <v>2298</v>
      </c>
      <c r="Q21" s="319"/>
    </row>
    <row r="22" spans="1:17">
      <c r="A22" s="275" t="s">
        <v>2667</v>
      </c>
      <c r="B22" s="56" t="s">
        <v>2874</v>
      </c>
      <c r="C22" s="275" t="s">
        <v>1551</v>
      </c>
      <c r="D22" s="276"/>
      <c r="E22" s="276" t="s">
        <v>515</v>
      </c>
      <c r="F22" s="276"/>
      <c r="G22" s="275" t="s">
        <v>2875</v>
      </c>
      <c r="H22" s="275" t="s">
        <v>2857</v>
      </c>
      <c r="I22" s="275" t="s">
        <v>2294</v>
      </c>
      <c r="J22" s="275" t="s">
        <v>2876</v>
      </c>
      <c r="K22" s="275" t="s">
        <v>1447</v>
      </c>
      <c r="L22" s="276"/>
      <c r="M22" s="276" t="s">
        <v>515</v>
      </c>
      <c r="N22" s="276"/>
      <c r="O22" s="275" t="s">
        <v>2303</v>
      </c>
      <c r="P22" s="277" t="s">
        <v>2304</v>
      </c>
      <c r="Q22" s="319"/>
    </row>
    <row r="23" spans="1:17">
      <c r="A23" s="275"/>
      <c r="B23" s="56"/>
      <c r="C23" s="275"/>
      <c r="D23" s="276"/>
      <c r="E23" s="276"/>
      <c r="F23" s="276"/>
      <c r="G23" s="275"/>
      <c r="H23" s="275" t="s">
        <v>2598</v>
      </c>
      <c r="I23" s="275" t="s">
        <v>2294</v>
      </c>
      <c r="J23" s="275" t="s">
        <v>2877</v>
      </c>
      <c r="K23" s="275" t="s">
        <v>1464</v>
      </c>
      <c r="L23" s="276"/>
      <c r="M23" s="276" t="s">
        <v>2019</v>
      </c>
      <c r="N23" s="276" t="s">
        <v>2190</v>
      </c>
      <c r="O23" s="275" t="s">
        <v>2878</v>
      </c>
      <c r="P23" s="277" t="s">
        <v>2308</v>
      </c>
      <c r="Q23" s="319"/>
    </row>
    <row r="24" spans="1:17">
      <c r="A24" s="275"/>
      <c r="B24" s="56"/>
      <c r="C24" s="275"/>
      <c r="D24" s="276"/>
      <c r="E24" s="276"/>
      <c r="F24" s="276"/>
      <c r="G24" s="275"/>
      <c r="H24" s="275" t="s">
        <v>2879</v>
      </c>
      <c r="I24" s="275" t="s">
        <v>2294</v>
      </c>
      <c r="J24" s="275" t="s">
        <v>2880</v>
      </c>
      <c r="K24" s="275" t="s">
        <v>2296</v>
      </c>
      <c r="L24" s="276"/>
      <c r="M24" s="276" t="s">
        <v>2019</v>
      </c>
      <c r="N24" s="276">
        <v>0</v>
      </c>
      <c r="O24" s="275" t="s">
        <v>2881</v>
      </c>
      <c r="P24" s="277" t="s">
        <v>2312</v>
      </c>
      <c r="Q24" s="319"/>
    </row>
    <row r="25" spans="1:17">
      <c r="A25" s="275" t="s">
        <v>2882</v>
      </c>
      <c r="B25" s="56" t="s">
        <v>2587</v>
      </c>
      <c r="C25" s="275" t="s">
        <v>2883</v>
      </c>
      <c r="D25" s="276"/>
      <c r="E25" s="276"/>
      <c r="F25" s="276"/>
      <c r="G25" s="270" t="s">
        <v>2884</v>
      </c>
      <c r="H25" s="270" t="s">
        <v>2590</v>
      </c>
      <c r="I25" s="275" t="s">
        <v>2294</v>
      </c>
      <c r="J25" s="275" t="s">
        <v>2885</v>
      </c>
      <c r="K25" s="275" t="s">
        <v>2168</v>
      </c>
      <c r="L25" s="276"/>
      <c r="M25" s="276" t="s">
        <v>515</v>
      </c>
      <c r="N25" s="276"/>
      <c r="O25" s="275" t="s">
        <v>2886</v>
      </c>
      <c r="P25" s="277" t="s">
        <v>2320</v>
      </c>
      <c r="Q25" s="319"/>
    </row>
    <row r="26" spans="1:17">
      <c r="A26" s="275" t="s">
        <v>2887</v>
      </c>
      <c r="B26" s="56" t="s">
        <v>2321</v>
      </c>
      <c r="C26" s="275" t="s">
        <v>2322</v>
      </c>
      <c r="D26" s="276"/>
      <c r="E26" s="276" t="s">
        <v>515</v>
      </c>
      <c r="F26" s="276"/>
      <c r="G26" s="275" t="s">
        <v>2700</v>
      </c>
      <c r="H26" s="275"/>
      <c r="I26" s="275" t="s">
        <v>2294</v>
      </c>
      <c r="J26" s="275" t="s">
        <v>2888</v>
      </c>
      <c r="K26" s="275" t="s">
        <v>1464</v>
      </c>
      <c r="L26" s="276"/>
      <c r="M26" s="276" t="s">
        <v>2019</v>
      </c>
      <c r="N26" s="276" t="s">
        <v>2190</v>
      </c>
      <c r="O26" s="275" t="s">
        <v>2889</v>
      </c>
      <c r="P26" s="277" t="s">
        <v>2326</v>
      </c>
      <c r="Q26" s="319"/>
    </row>
    <row r="27" spans="1:17">
      <c r="A27" s="275" t="s">
        <v>2890</v>
      </c>
      <c r="B27" s="56" t="s">
        <v>2328</v>
      </c>
      <c r="C27" s="275" t="s">
        <v>2329</v>
      </c>
      <c r="D27" s="276"/>
      <c r="E27" s="276"/>
      <c r="F27" s="276"/>
      <c r="G27" s="275" t="s">
        <v>2891</v>
      </c>
      <c r="H27" s="275" t="s">
        <v>2892</v>
      </c>
      <c r="I27" s="275" t="s">
        <v>2294</v>
      </c>
      <c r="J27" s="275" t="s">
        <v>2893</v>
      </c>
      <c r="K27" s="275" t="s">
        <v>2296</v>
      </c>
      <c r="L27" s="276"/>
      <c r="M27" s="276" t="s">
        <v>2019</v>
      </c>
      <c r="N27" s="276">
        <v>0</v>
      </c>
      <c r="O27" s="275" t="s">
        <v>2894</v>
      </c>
      <c r="P27" s="277" t="s">
        <v>2334</v>
      </c>
      <c r="Q27" s="319"/>
    </row>
    <row r="28" spans="1:17">
      <c r="A28" s="275" t="s">
        <v>2895</v>
      </c>
      <c r="B28" s="56" t="s">
        <v>2335</v>
      </c>
      <c r="C28" s="275" t="s">
        <v>2336</v>
      </c>
      <c r="D28" s="276"/>
      <c r="E28" s="276"/>
      <c r="F28" s="276"/>
      <c r="G28" s="275" t="s">
        <v>2337</v>
      </c>
      <c r="H28" s="275" t="s">
        <v>2857</v>
      </c>
      <c r="I28" s="275" t="s">
        <v>2294</v>
      </c>
      <c r="J28" s="275" t="s">
        <v>2896</v>
      </c>
      <c r="K28" s="275" t="s">
        <v>1464</v>
      </c>
      <c r="L28" s="276"/>
      <c r="M28" s="276" t="s">
        <v>2019</v>
      </c>
      <c r="N28" s="276" t="s">
        <v>2190</v>
      </c>
      <c r="O28" s="275" t="s">
        <v>2897</v>
      </c>
      <c r="P28" s="277" t="s">
        <v>2340</v>
      </c>
      <c r="Q28" s="319"/>
    </row>
    <row r="29" spans="1:17">
      <c r="A29" s="275" t="s">
        <v>2890</v>
      </c>
      <c r="B29" s="56" t="s">
        <v>2341</v>
      </c>
      <c r="C29" s="275" t="s">
        <v>2329</v>
      </c>
      <c r="D29" s="276"/>
      <c r="E29" s="276"/>
      <c r="F29" s="276"/>
      <c r="G29" s="275" t="s">
        <v>2342</v>
      </c>
      <c r="H29" s="275" t="s">
        <v>2857</v>
      </c>
      <c r="I29" s="275" t="s">
        <v>2294</v>
      </c>
      <c r="J29" s="275" t="s">
        <v>2898</v>
      </c>
      <c r="K29" s="275" t="s">
        <v>2296</v>
      </c>
      <c r="L29" s="276"/>
      <c r="M29" s="276" t="s">
        <v>2019</v>
      </c>
      <c r="N29" s="276">
        <v>0</v>
      </c>
      <c r="O29" s="275" t="s">
        <v>2899</v>
      </c>
      <c r="P29" s="277" t="s">
        <v>2345</v>
      </c>
      <c r="Q29" s="319"/>
    </row>
    <row r="30" spans="1:17">
      <c r="A30" s="275"/>
      <c r="B30" s="56"/>
      <c r="C30" s="275"/>
      <c r="D30" s="276"/>
      <c r="E30" s="276"/>
      <c r="F30" s="276"/>
      <c r="G30" s="275"/>
      <c r="H30" s="326" t="s">
        <v>2900</v>
      </c>
      <c r="I30" s="275" t="s">
        <v>2294</v>
      </c>
      <c r="J30" s="275" t="s">
        <v>2901</v>
      </c>
      <c r="K30" s="275" t="s">
        <v>2193</v>
      </c>
      <c r="L30" s="276"/>
      <c r="M30" s="276" t="s">
        <v>515</v>
      </c>
      <c r="N30" s="276"/>
      <c r="O30" s="275" t="s">
        <v>2902</v>
      </c>
      <c r="P30" s="277" t="s">
        <v>2903</v>
      </c>
      <c r="Q30" s="319"/>
    </row>
    <row r="31" spans="1:17" ht="24">
      <c r="A31" s="275"/>
      <c r="B31" s="56"/>
      <c r="C31" s="275"/>
      <c r="D31" s="276"/>
      <c r="E31" s="276"/>
      <c r="F31" s="276"/>
      <c r="G31" s="275"/>
      <c r="H31" s="340" t="s">
        <v>2904</v>
      </c>
      <c r="I31" s="275" t="s">
        <v>2905</v>
      </c>
      <c r="J31" s="275" t="s">
        <v>2906</v>
      </c>
      <c r="K31" s="275" t="s">
        <v>2193</v>
      </c>
      <c r="L31" s="276"/>
      <c r="M31" s="276" t="s">
        <v>2019</v>
      </c>
      <c r="N31" s="276"/>
      <c r="O31" s="275" t="s">
        <v>2907</v>
      </c>
      <c r="P31" s="321" t="s">
        <v>2908</v>
      </c>
      <c r="Q31" s="319"/>
    </row>
    <row r="32" spans="1:17" s="265" customFormat="1">
      <c r="A32" s="270" t="s">
        <v>2667</v>
      </c>
      <c r="B32" s="341" t="s">
        <v>2354</v>
      </c>
      <c r="C32" s="270" t="s">
        <v>2274</v>
      </c>
      <c r="D32" s="269"/>
      <c r="E32" s="269" t="s">
        <v>515</v>
      </c>
      <c r="F32" s="269"/>
      <c r="G32" s="270" t="s">
        <v>2355</v>
      </c>
      <c r="H32" s="270" t="s">
        <v>2857</v>
      </c>
      <c r="I32" s="270" t="s">
        <v>2909</v>
      </c>
      <c r="J32" s="334" t="s">
        <v>2910</v>
      </c>
      <c r="K32" s="268" t="s">
        <v>2911</v>
      </c>
      <c r="L32" s="269"/>
      <c r="M32" s="322" t="s">
        <v>515</v>
      </c>
      <c r="N32" s="269"/>
      <c r="O32" s="268" t="s">
        <v>2912</v>
      </c>
      <c r="P32" s="271"/>
      <c r="Q32" s="264"/>
    </row>
    <row r="33" spans="1:17" s="265" customFormat="1">
      <c r="A33" s="292" t="s">
        <v>2667</v>
      </c>
      <c r="B33" s="356" t="s">
        <v>2913</v>
      </c>
      <c r="C33" s="292" t="s">
        <v>2360</v>
      </c>
      <c r="D33" s="293"/>
      <c r="E33" s="293" t="s">
        <v>515</v>
      </c>
      <c r="F33" s="293"/>
      <c r="G33" s="292" t="s">
        <v>2361</v>
      </c>
      <c r="H33" s="292" t="s">
        <v>2892</v>
      </c>
      <c r="I33" s="292" t="s">
        <v>2909</v>
      </c>
      <c r="J33" s="292" t="s">
        <v>2914</v>
      </c>
      <c r="K33" s="292" t="s">
        <v>2156</v>
      </c>
      <c r="L33" s="293"/>
      <c r="M33" s="293" t="s">
        <v>2019</v>
      </c>
      <c r="N33" s="293"/>
      <c r="O33" s="292" t="s">
        <v>2915</v>
      </c>
      <c r="P33" s="295" t="s">
        <v>2916</v>
      </c>
      <c r="Q33" s="264"/>
    </row>
    <row r="34" spans="1:17" s="265" customFormat="1">
      <c r="A34" s="270" t="s">
        <v>2667</v>
      </c>
      <c r="B34" s="341" t="s">
        <v>2364</v>
      </c>
      <c r="C34" s="270" t="s">
        <v>2360</v>
      </c>
      <c r="D34" s="269"/>
      <c r="E34" s="269"/>
      <c r="F34" s="269"/>
      <c r="G34" s="270" t="s">
        <v>2365</v>
      </c>
      <c r="H34" s="270" t="s">
        <v>2857</v>
      </c>
      <c r="I34" s="270" t="s">
        <v>2905</v>
      </c>
      <c r="J34" s="334" t="s">
        <v>2366</v>
      </c>
      <c r="K34" s="268" t="s">
        <v>2917</v>
      </c>
      <c r="L34" s="269"/>
      <c r="M34" s="322"/>
      <c r="N34" s="269"/>
      <c r="O34" s="268" t="s">
        <v>2368</v>
      </c>
      <c r="P34" s="271"/>
      <c r="Q34" s="264"/>
    </row>
    <row r="35" spans="1:17">
      <c r="A35" s="275" t="s">
        <v>2667</v>
      </c>
      <c r="B35" s="56" t="s">
        <v>2918</v>
      </c>
      <c r="C35" s="275" t="s">
        <v>2360</v>
      </c>
      <c r="D35" s="276"/>
      <c r="E35" s="276"/>
      <c r="F35" s="276"/>
      <c r="G35" s="275" t="s">
        <v>2919</v>
      </c>
      <c r="H35" s="275" t="s">
        <v>2892</v>
      </c>
      <c r="I35" s="275" t="s">
        <v>2294</v>
      </c>
      <c r="J35" s="275" t="s">
        <v>2920</v>
      </c>
      <c r="K35" s="275" t="s">
        <v>1459</v>
      </c>
      <c r="L35" s="276"/>
      <c r="M35" s="276" t="s">
        <v>2019</v>
      </c>
      <c r="N35" s="276" t="s">
        <v>2190</v>
      </c>
      <c r="O35" s="275" t="s">
        <v>2921</v>
      </c>
      <c r="P35" s="277" t="s">
        <v>2372</v>
      </c>
      <c r="Q35" s="319"/>
    </row>
    <row r="36" spans="1:17">
      <c r="A36" s="275" t="s">
        <v>2890</v>
      </c>
      <c r="B36" s="56" t="s">
        <v>2550</v>
      </c>
      <c r="C36" s="275" t="s">
        <v>2513</v>
      </c>
      <c r="D36" s="276"/>
      <c r="E36" s="276"/>
      <c r="F36" s="276"/>
      <c r="G36" s="275" t="s">
        <v>2922</v>
      </c>
      <c r="H36" s="275" t="s">
        <v>2552</v>
      </c>
      <c r="I36" s="275" t="s">
        <v>2905</v>
      </c>
      <c r="J36" s="275" t="s">
        <v>1672</v>
      </c>
      <c r="K36" s="275" t="s">
        <v>1464</v>
      </c>
      <c r="L36" s="276"/>
      <c r="M36" s="276" t="s">
        <v>2019</v>
      </c>
      <c r="N36" s="276"/>
      <c r="O36" s="275" t="s">
        <v>822</v>
      </c>
      <c r="P36" s="277"/>
      <c r="Q36" s="319"/>
    </row>
    <row r="37" spans="1:17">
      <c r="A37" s="275" t="s">
        <v>2890</v>
      </c>
      <c r="B37" s="56" t="s">
        <v>2923</v>
      </c>
      <c r="C37" s="275" t="s">
        <v>2380</v>
      </c>
      <c r="D37" s="276"/>
      <c r="E37" s="276"/>
      <c r="F37" s="276"/>
      <c r="G37" s="275" t="s">
        <v>2924</v>
      </c>
      <c r="H37" s="275"/>
      <c r="I37" s="275" t="s">
        <v>2294</v>
      </c>
      <c r="J37" s="275" t="s">
        <v>2925</v>
      </c>
      <c r="K37" s="275" t="s">
        <v>2383</v>
      </c>
      <c r="L37" s="276"/>
      <c r="M37" s="276" t="s">
        <v>515</v>
      </c>
      <c r="N37" s="276"/>
      <c r="O37" s="275" t="s">
        <v>2926</v>
      </c>
      <c r="P37" s="277" t="s">
        <v>2385</v>
      </c>
      <c r="Q37" s="319"/>
    </row>
    <row r="38" spans="1:17">
      <c r="A38" s="275" t="s">
        <v>2667</v>
      </c>
      <c r="B38" s="56" t="s">
        <v>2927</v>
      </c>
      <c r="C38" s="275" t="s">
        <v>2513</v>
      </c>
      <c r="D38" s="276"/>
      <c r="E38" s="276"/>
      <c r="F38" s="276"/>
      <c r="G38" s="275" t="s">
        <v>2928</v>
      </c>
      <c r="H38" s="275" t="s">
        <v>2929</v>
      </c>
      <c r="I38" s="275" t="s">
        <v>2909</v>
      </c>
      <c r="J38" s="275" t="s">
        <v>2930</v>
      </c>
      <c r="K38" s="275" t="s">
        <v>1464</v>
      </c>
      <c r="L38" s="276"/>
      <c r="M38" s="276" t="s">
        <v>2019</v>
      </c>
      <c r="N38" s="276" t="s">
        <v>2190</v>
      </c>
      <c r="O38" s="275" t="s">
        <v>2931</v>
      </c>
      <c r="P38" s="277" t="s">
        <v>2389</v>
      </c>
      <c r="Q38" s="319"/>
    </row>
    <row r="39" spans="1:17" ht="24">
      <c r="A39" s="275" t="s">
        <v>2882</v>
      </c>
      <c r="B39" s="56" t="s">
        <v>2932</v>
      </c>
      <c r="C39" s="275" t="s">
        <v>2933</v>
      </c>
      <c r="D39" s="276"/>
      <c r="E39" s="276"/>
      <c r="F39" s="276"/>
      <c r="G39" s="343" t="s">
        <v>2934</v>
      </c>
      <c r="H39" s="344" t="s">
        <v>2393</v>
      </c>
      <c r="I39" s="275" t="s">
        <v>2294</v>
      </c>
      <c r="J39" s="275" t="s">
        <v>2935</v>
      </c>
      <c r="K39" s="275" t="s">
        <v>2174</v>
      </c>
      <c r="L39" s="276"/>
      <c r="M39" s="276" t="s">
        <v>2019</v>
      </c>
      <c r="N39" s="276"/>
      <c r="O39" s="275" t="s">
        <v>1773</v>
      </c>
      <c r="P39" s="277" t="s">
        <v>2396</v>
      </c>
      <c r="Q39" s="319"/>
    </row>
    <row r="40" spans="1:17">
      <c r="A40" s="326" t="s">
        <v>2890</v>
      </c>
      <c r="B40" s="339" t="s">
        <v>3348</v>
      </c>
      <c r="C40" s="326" t="s">
        <v>2274</v>
      </c>
      <c r="D40" s="327"/>
      <c r="E40" s="327"/>
      <c r="F40" s="327"/>
      <c r="G40" s="326" t="s">
        <v>3349</v>
      </c>
      <c r="H40" s="418" t="s">
        <v>3347</v>
      </c>
      <c r="I40" s="275" t="s">
        <v>2905</v>
      </c>
      <c r="J40" s="275" t="s">
        <v>2936</v>
      </c>
      <c r="K40" s="275" t="s">
        <v>1447</v>
      </c>
      <c r="L40" s="276"/>
      <c r="M40" s="276" t="s">
        <v>2019</v>
      </c>
      <c r="N40" s="276" t="s">
        <v>2190</v>
      </c>
      <c r="O40" s="275" t="s">
        <v>2937</v>
      </c>
      <c r="P40" s="277" t="s">
        <v>2401</v>
      </c>
      <c r="Q40" s="319"/>
    </row>
    <row r="41" spans="1:17" ht="36">
      <c r="A41" s="270" t="s">
        <v>2887</v>
      </c>
      <c r="B41" s="341" t="s">
        <v>2938</v>
      </c>
      <c r="C41" s="270" t="s">
        <v>2274</v>
      </c>
      <c r="D41" s="269"/>
      <c r="E41" s="269"/>
      <c r="F41" s="269"/>
      <c r="G41" s="270" t="s">
        <v>2939</v>
      </c>
      <c r="H41" s="281" t="s">
        <v>2940</v>
      </c>
      <c r="I41" s="270" t="s">
        <v>2909</v>
      </c>
      <c r="J41" s="270" t="s">
        <v>2405</v>
      </c>
      <c r="K41" s="270" t="s">
        <v>1447</v>
      </c>
      <c r="L41" s="269"/>
      <c r="M41" s="269" t="s">
        <v>2019</v>
      </c>
      <c r="N41" s="269" t="s">
        <v>2190</v>
      </c>
      <c r="O41" s="270" t="s">
        <v>2941</v>
      </c>
      <c r="P41" s="271" t="s">
        <v>2407</v>
      </c>
      <c r="Q41" s="319"/>
    </row>
    <row r="42" spans="1:17">
      <c r="A42" s="275" t="s">
        <v>2667</v>
      </c>
      <c r="B42" s="56" t="s">
        <v>255</v>
      </c>
      <c r="C42" s="275" t="s">
        <v>2942</v>
      </c>
      <c r="D42" s="276"/>
      <c r="E42" s="276"/>
      <c r="F42" s="276"/>
      <c r="G42" s="275" t="s">
        <v>72</v>
      </c>
      <c r="H42" s="275"/>
      <c r="I42" s="275" t="s">
        <v>2909</v>
      </c>
      <c r="J42" s="275" t="s">
        <v>1503</v>
      </c>
      <c r="K42" s="275" t="s">
        <v>2411</v>
      </c>
      <c r="L42" s="276"/>
      <c r="M42" s="276" t="s">
        <v>2019</v>
      </c>
      <c r="N42" s="276" t="s">
        <v>2190</v>
      </c>
      <c r="O42" s="275" t="s">
        <v>72</v>
      </c>
      <c r="P42" s="277" t="s">
        <v>2412</v>
      </c>
      <c r="Q42" s="319"/>
    </row>
    <row r="43" spans="1:17">
      <c r="A43" s="275" t="s">
        <v>2890</v>
      </c>
      <c r="B43" s="56" t="s">
        <v>2413</v>
      </c>
      <c r="C43" s="275" t="s">
        <v>2360</v>
      </c>
      <c r="D43" s="276"/>
      <c r="E43" s="276"/>
      <c r="F43" s="276"/>
      <c r="G43" s="275" t="s">
        <v>2414</v>
      </c>
      <c r="H43" s="275" t="s">
        <v>2864</v>
      </c>
      <c r="I43" s="275" t="s">
        <v>2294</v>
      </c>
      <c r="J43" s="275" t="s">
        <v>2943</v>
      </c>
      <c r="K43" s="275" t="s">
        <v>1459</v>
      </c>
      <c r="L43" s="276"/>
      <c r="M43" s="276" t="s">
        <v>2019</v>
      </c>
      <c r="N43" s="276" t="s">
        <v>2208</v>
      </c>
      <c r="O43" s="275" t="s">
        <v>2416</v>
      </c>
      <c r="P43" s="277" t="s">
        <v>2417</v>
      </c>
      <c r="Q43" s="319"/>
    </row>
    <row r="44" spans="1:17">
      <c r="A44" s="275" t="s">
        <v>2890</v>
      </c>
      <c r="B44" s="56" t="s">
        <v>2418</v>
      </c>
      <c r="C44" s="275" t="s">
        <v>2329</v>
      </c>
      <c r="D44" s="276"/>
      <c r="E44" s="276"/>
      <c r="F44" s="276"/>
      <c r="G44" s="275" t="s">
        <v>2419</v>
      </c>
      <c r="H44" s="275" t="s">
        <v>2864</v>
      </c>
      <c r="I44" s="275" t="s">
        <v>2294</v>
      </c>
      <c r="J44" s="275" t="s">
        <v>2944</v>
      </c>
      <c r="K44" s="275" t="s">
        <v>2214</v>
      </c>
      <c r="L44" s="276"/>
      <c r="M44" s="276" t="s">
        <v>2019</v>
      </c>
      <c r="N44" s="276" t="s">
        <v>2215</v>
      </c>
      <c r="O44" s="275" t="s">
        <v>2945</v>
      </c>
      <c r="P44" s="277" t="s">
        <v>2422</v>
      </c>
      <c r="Q44" s="319"/>
    </row>
    <row r="45" spans="1:17">
      <c r="A45" s="270" t="s">
        <v>2946</v>
      </c>
      <c r="B45" s="341" t="s">
        <v>2423</v>
      </c>
      <c r="C45" s="270" t="s">
        <v>2424</v>
      </c>
      <c r="D45" s="269"/>
      <c r="E45" s="269"/>
      <c r="F45" s="269"/>
      <c r="G45" s="270" t="s">
        <v>2425</v>
      </c>
      <c r="H45" s="270" t="s">
        <v>2857</v>
      </c>
      <c r="I45" s="270" t="s">
        <v>2294</v>
      </c>
      <c r="J45" s="270" t="s">
        <v>2426</v>
      </c>
      <c r="K45" s="270" t="s">
        <v>2018</v>
      </c>
      <c r="L45" s="269"/>
      <c r="M45" s="269" t="s">
        <v>2019</v>
      </c>
      <c r="N45" s="269">
        <v>0</v>
      </c>
      <c r="O45" s="270" t="s">
        <v>2947</v>
      </c>
      <c r="P45" s="271"/>
      <c r="Q45" s="319"/>
    </row>
    <row r="46" spans="1:17">
      <c r="A46" s="270" t="s">
        <v>2890</v>
      </c>
      <c r="B46" s="341" t="s">
        <v>2428</v>
      </c>
      <c r="C46" s="270" t="s">
        <v>2424</v>
      </c>
      <c r="D46" s="269"/>
      <c r="E46" s="269"/>
      <c r="F46" s="269"/>
      <c r="G46" s="270" t="s">
        <v>2429</v>
      </c>
      <c r="H46" s="270" t="s">
        <v>2857</v>
      </c>
      <c r="I46" s="270" t="s">
        <v>2905</v>
      </c>
      <c r="J46" s="270" t="s">
        <v>2948</v>
      </c>
      <c r="K46" s="270" t="s">
        <v>2018</v>
      </c>
      <c r="L46" s="269"/>
      <c r="M46" s="269" t="s">
        <v>2019</v>
      </c>
      <c r="N46" s="269">
        <v>0</v>
      </c>
      <c r="O46" s="270" t="s">
        <v>2431</v>
      </c>
      <c r="P46" s="271" t="s">
        <v>2432</v>
      </c>
      <c r="Q46" s="319"/>
    </row>
    <row r="47" spans="1:17">
      <c r="A47" s="275" t="s">
        <v>2890</v>
      </c>
      <c r="B47" s="56" t="s">
        <v>2433</v>
      </c>
      <c r="C47" s="275" t="s">
        <v>2434</v>
      </c>
      <c r="D47" s="276"/>
      <c r="E47" s="276"/>
      <c r="F47" s="276"/>
      <c r="G47" s="275" t="s">
        <v>2435</v>
      </c>
      <c r="H47" s="275" t="s">
        <v>2949</v>
      </c>
      <c r="I47" s="275" t="s">
        <v>2294</v>
      </c>
      <c r="J47" s="275" t="s">
        <v>2950</v>
      </c>
      <c r="K47" s="275" t="s">
        <v>2233</v>
      </c>
      <c r="L47" s="276"/>
      <c r="M47" s="276" t="s">
        <v>2019</v>
      </c>
      <c r="N47" s="276" t="s">
        <v>2190</v>
      </c>
      <c r="O47" s="275" t="s">
        <v>2951</v>
      </c>
      <c r="P47" s="277" t="s">
        <v>2438</v>
      </c>
      <c r="Q47" s="319"/>
    </row>
    <row r="48" spans="1:17">
      <c r="A48" s="275"/>
      <c r="B48" s="275"/>
      <c r="C48" s="275"/>
      <c r="D48" s="276"/>
      <c r="E48" s="276"/>
      <c r="F48" s="276"/>
      <c r="G48" s="275"/>
      <c r="H48" s="275" t="s">
        <v>2952</v>
      </c>
      <c r="I48" s="275" t="s">
        <v>2909</v>
      </c>
      <c r="J48" s="275" t="s">
        <v>2953</v>
      </c>
      <c r="K48" s="275" t="s">
        <v>2441</v>
      </c>
      <c r="L48" s="276"/>
      <c r="M48" s="276" t="s">
        <v>2019</v>
      </c>
      <c r="N48" s="276"/>
      <c r="O48" s="275" t="s">
        <v>2954</v>
      </c>
      <c r="P48" s="277" t="s">
        <v>2443</v>
      </c>
      <c r="Q48" s="319"/>
    </row>
    <row r="49" spans="1:17">
      <c r="A49" s="275"/>
      <c r="B49" s="275"/>
      <c r="C49" s="275"/>
      <c r="D49" s="276"/>
      <c r="E49" s="276"/>
      <c r="F49" s="276"/>
      <c r="G49" s="275"/>
      <c r="H49" s="275" t="s">
        <v>2955</v>
      </c>
      <c r="I49" s="275" t="s">
        <v>2294</v>
      </c>
      <c r="J49" s="275" t="s">
        <v>2956</v>
      </c>
      <c r="K49" s="275" t="s">
        <v>1580</v>
      </c>
      <c r="L49" s="276"/>
      <c r="M49" s="276" t="s">
        <v>2019</v>
      </c>
      <c r="N49" s="276"/>
      <c r="O49" s="275" t="s">
        <v>2957</v>
      </c>
      <c r="P49" s="277" t="s">
        <v>2447</v>
      </c>
      <c r="Q49" s="319"/>
    </row>
    <row r="50" spans="1:17">
      <c r="A50" s="275"/>
      <c r="B50" s="56"/>
      <c r="C50" s="275"/>
      <c r="D50" s="276"/>
      <c r="E50" s="276"/>
      <c r="F50" s="276"/>
      <c r="G50" s="275"/>
      <c r="H50" s="275" t="s">
        <v>2594</v>
      </c>
      <c r="I50" s="275" t="s">
        <v>2294</v>
      </c>
      <c r="J50" s="275" t="s">
        <v>2958</v>
      </c>
      <c r="K50" s="275" t="s">
        <v>1459</v>
      </c>
      <c r="L50" s="276"/>
      <c r="M50" s="276" t="s">
        <v>515</v>
      </c>
      <c r="N50" s="276" t="s">
        <v>1615</v>
      </c>
      <c r="O50" s="275" t="s">
        <v>2959</v>
      </c>
      <c r="P50" s="277" t="s">
        <v>2451</v>
      </c>
      <c r="Q50" s="319"/>
    </row>
    <row r="51" spans="1:17">
      <c r="A51" s="275"/>
      <c r="B51" s="56"/>
      <c r="C51" s="275"/>
      <c r="D51" s="276"/>
      <c r="E51" s="276"/>
      <c r="F51" s="276"/>
      <c r="G51" s="275"/>
      <c r="H51" s="275" t="s">
        <v>2960</v>
      </c>
      <c r="I51" s="275" t="s">
        <v>2905</v>
      </c>
      <c r="J51" s="275" t="s">
        <v>2961</v>
      </c>
      <c r="K51" s="275" t="s">
        <v>2453</v>
      </c>
      <c r="L51" s="276"/>
      <c r="M51" s="276" t="s">
        <v>2019</v>
      </c>
      <c r="N51" s="276" t="s">
        <v>2190</v>
      </c>
      <c r="O51" s="275" t="s">
        <v>76</v>
      </c>
      <c r="P51" s="277" t="s">
        <v>2455</v>
      </c>
      <c r="Q51" s="319"/>
    </row>
    <row r="52" spans="1:17">
      <c r="A52" s="275" t="s">
        <v>2890</v>
      </c>
      <c r="B52" s="56" t="s">
        <v>2456</v>
      </c>
      <c r="C52" s="275" t="s">
        <v>2270</v>
      </c>
      <c r="D52" s="276"/>
      <c r="E52" s="276"/>
      <c r="F52" s="276"/>
      <c r="G52" s="275" t="s">
        <v>2457</v>
      </c>
      <c r="H52" s="275" t="s">
        <v>2857</v>
      </c>
      <c r="I52" s="275" t="s">
        <v>2294</v>
      </c>
      <c r="J52" s="275" t="s">
        <v>2962</v>
      </c>
      <c r="K52" s="275" t="s">
        <v>1459</v>
      </c>
      <c r="L52" s="276"/>
      <c r="M52" s="276" t="s">
        <v>515</v>
      </c>
      <c r="N52" s="276"/>
      <c r="O52" s="275" t="s">
        <v>998</v>
      </c>
      <c r="P52" s="277" t="s">
        <v>2460</v>
      </c>
      <c r="Q52" s="319"/>
    </row>
    <row r="53" spans="1:17">
      <c r="A53" s="275"/>
      <c r="B53" s="275"/>
      <c r="C53" s="275"/>
      <c r="D53" s="276"/>
      <c r="E53" s="276"/>
      <c r="F53" s="276"/>
      <c r="G53" s="275"/>
      <c r="H53" s="275" t="s">
        <v>2963</v>
      </c>
      <c r="I53" s="275" t="s">
        <v>2294</v>
      </c>
      <c r="J53" s="275" t="s">
        <v>2964</v>
      </c>
      <c r="K53" s="275" t="s">
        <v>2193</v>
      </c>
      <c r="L53" s="276"/>
      <c r="M53" s="276" t="s">
        <v>515</v>
      </c>
      <c r="N53" s="276" t="s">
        <v>2194</v>
      </c>
      <c r="O53" s="275" t="s">
        <v>2965</v>
      </c>
      <c r="P53" s="277" t="s">
        <v>2463</v>
      </c>
      <c r="Q53" s="319"/>
    </row>
    <row r="54" spans="1:17">
      <c r="A54" s="275"/>
      <c r="B54" s="56"/>
      <c r="C54" s="275"/>
      <c r="D54" s="276"/>
      <c r="E54" s="276"/>
      <c r="F54" s="276"/>
      <c r="G54" s="275"/>
      <c r="H54" s="275"/>
      <c r="I54" s="345"/>
      <c r="J54" s="275"/>
      <c r="K54" s="275"/>
      <c r="L54" s="276"/>
      <c r="M54" s="276"/>
      <c r="N54" s="276"/>
      <c r="O54" s="275"/>
      <c r="P54" s="277"/>
      <c r="Q54" s="319"/>
    </row>
    <row r="55" spans="1:17">
      <c r="A55" s="275"/>
      <c r="B55" s="56"/>
      <c r="C55" s="275"/>
      <c r="D55" s="276"/>
      <c r="E55" s="276"/>
      <c r="F55" s="276"/>
      <c r="G55" s="275"/>
      <c r="H55" s="275"/>
      <c r="I55" s="345"/>
      <c r="J55" s="275"/>
      <c r="K55" s="275"/>
      <c r="L55" s="276"/>
      <c r="M55" s="276"/>
      <c r="N55" s="276"/>
      <c r="O55" s="275"/>
      <c r="P55" s="277"/>
      <c r="Q55" s="319"/>
    </row>
    <row r="56" spans="1:17">
      <c r="A56" s="275"/>
      <c r="B56" s="56"/>
      <c r="C56" s="275"/>
      <c r="D56" s="276"/>
      <c r="E56" s="276"/>
      <c r="F56" s="276"/>
      <c r="G56" s="275"/>
      <c r="H56" s="275"/>
      <c r="I56" s="345"/>
      <c r="J56" s="275"/>
      <c r="K56" s="275"/>
      <c r="L56" s="276"/>
      <c r="M56" s="276"/>
      <c r="N56" s="276"/>
      <c r="O56" s="275"/>
      <c r="P56" s="277"/>
      <c r="Q56" s="319"/>
    </row>
    <row r="57" spans="1:17">
      <c r="A57" s="274"/>
      <c r="B57" s="56"/>
      <c r="C57" s="275"/>
      <c r="D57" s="276"/>
      <c r="E57" s="276"/>
      <c r="F57" s="276"/>
      <c r="G57" s="275"/>
      <c r="H57" s="284"/>
      <c r="I57" s="275"/>
      <c r="J57" s="275"/>
      <c r="K57" s="275"/>
      <c r="L57" s="276"/>
      <c r="M57" s="276"/>
      <c r="N57" s="276"/>
      <c r="O57" s="275"/>
      <c r="P57" s="277"/>
      <c r="Q57" s="319"/>
    </row>
    <row r="58" spans="1:17" ht="17.25" thickBot="1">
      <c r="A58" s="289" t="s">
        <v>2966</v>
      </c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7"/>
      <c r="P58" s="558"/>
    </row>
    <row r="59" spans="1:17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</row>
  </sheetData>
  <mergeCells count="17">
    <mergeCell ref="B2:P2"/>
    <mergeCell ref="B3:P3"/>
    <mergeCell ref="B4:P4"/>
    <mergeCell ref="A5:A8"/>
    <mergeCell ref="B5:P8"/>
    <mergeCell ref="B58:P58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6785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86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87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88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89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790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FFE699"/>
    <pageSetUpPr fitToPage="1"/>
  </sheetPr>
  <dimension ref="A1:AC50"/>
  <sheetViews>
    <sheetView topLeftCell="A13" zoomScaleNormal="100" zoomScaleSheetLayoutView="100" zoomScalePageLayoutView="55" workbookViewId="0">
      <selection activeCell="B48" sqref="B48:AC49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667</v>
      </c>
    </row>
    <row r="2" spans="1:29" ht="20.25" customHeight="1">
      <c r="B2" s="514" t="s">
        <v>436</v>
      </c>
      <c r="C2" s="514"/>
      <c r="D2" s="514"/>
      <c r="E2" s="515" t="str">
        <f xml:space="preserve"> ERP_인터페이스목록!C15</f>
        <v>출하예정 등록(판매출하)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ERP_인터페이스목록!G15</f>
        <v>O2W_OB_SO_REG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437</v>
      </c>
      <c r="C3" s="514"/>
      <c r="D3" s="514"/>
      <c r="E3" s="515" t="str">
        <f>ERP_인터페이스목록!J15</f>
        <v>/{bizSeq}/sif/obrq01/regs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438</v>
      </c>
      <c r="C4" s="516"/>
      <c r="D4" s="516"/>
      <c r="E4" s="515" t="str">
        <f>ERP_인터페이스목록!L15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439</v>
      </c>
      <c r="P4" s="516"/>
      <c r="Q4" s="516"/>
      <c r="R4" s="515" t="s">
        <v>440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ERP_인터페이스목록!D15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ERP_인터페이스목록!E15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441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442</v>
      </c>
      <c r="C8" s="500" t="s">
        <v>443</v>
      </c>
      <c r="D8" s="500"/>
      <c r="E8" s="500"/>
      <c r="F8" s="500"/>
      <c r="G8" s="500"/>
      <c r="H8" s="500"/>
      <c r="I8" s="500"/>
      <c r="J8" s="500"/>
      <c r="K8" s="500" t="s">
        <v>444</v>
      </c>
      <c r="L8" s="500"/>
      <c r="M8" s="500"/>
      <c r="N8" s="500"/>
      <c r="O8" s="500" t="s">
        <v>445</v>
      </c>
      <c r="P8" s="500"/>
      <c r="Q8" s="500" t="s">
        <v>446</v>
      </c>
      <c r="R8" s="500"/>
      <c r="S8" s="500" t="s">
        <v>447</v>
      </c>
      <c r="T8" s="500"/>
      <c r="U8" s="500" t="s">
        <v>448</v>
      </c>
      <c r="V8" s="500"/>
      <c r="W8" s="500" t="s">
        <v>449</v>
      </c>
      <c r="X8" s="500"/>
      <c r="Y8" s="500"/>
      <c r="Z8" s="500"/>
      <c r="AA8" s="500"/>
      <c r="AB8" s="500"/>
      <c r="AC8" s="500"/>
    </row>
    <row r="9" spans="1:29">
      <c r="B9" s="49">
        <v>1</v>
      </c>
      <c r="C9" s="50" t="s">
        <v>450</v>
      </c>
      <c r="D9" s="51"/>
      <c r="E9" s="51"/>
      <c r="F9" s="51"/>
      <c r="G9" s="51"/>
      <c r="H9" s="51"/>
      <c r="I9" s="51"/>
      <c r="J9" s="52"/>
      <c r="K9" s="509" t="s">
        <v>451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452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58">
        <v>1</v>
      </c>
      <c r="C11" s="59" t="s">
        <v>129</v>
      </c>
      <c r="D11" s="59"/>
      <c r="E11" s="59"/>
      <c r="F11" s="59"/>
      <c r="G11" s="59"/>
      <c r="H11" s="59"/>
      <c r="I11" s="59"/>
      <c r="J11" s="60"/>
      <c r="K11" s="634" t="s">
        <v>266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>
      <c r="B12" s="49">
        <v>2</v>
      </c>
      <c r="C12" s="51"/>
      <c r="D12" s="51" t="s">
        <v>130</v>
      </c>
      <c r="E12" s="51"/>
      <c r="F12" s="51"/>
      <c r="G12" s="51"/>
      <c r="H12" s="51"/>
      <c r="I12" s="51"/>
      <c r="J12" s="52"/>
      <c r="K12" s="501" t="s">
        <v>453</v>
      </c>
      <c r="L12" s="501"/>
      <c r="M12" s="501"/>
      <c r="N12" s="501"/>
      <c r="O12" s="494" t="s">
        <v>454</v>
      </c>
      <c r="P12" s="496"/>
      <c r="Q12" s="502">
        <v>20</v>
      </c>
      <c r="R12" s="502"/>
      <c r="S12" s="502" t="s">
        <v>214</v>
      </c>
      <c r="T12" s="502"/>
      <c r="U12" s="502" t="s">
        <v>455</v>
      </c>
      <c r="V12" s="502"/>
      <c r="W12" s="643" t="s">
        <v>456</v>
      </c>
      <c r="X12" s="644"/>
      <c r="Y12" s="644"/>
      <c r="Z12" s="644"/>
      <c r="AA12" s="644"/>
      <c r="AB12" s="644"/>
      <c r="AC12" s="645"/>
    </row>
    <row r="13" spans="1:29">
      <c r="B13" s="49">
        <v>2</v>
      </c>
      <c r="C13" s="51"/>
      <c r="D13" s="51" t="s">
        <v>124</v>
      </c>
      <c r="E13" s="51"/>
      <c r="F13" s="51"/>
      <c r="G13" s="51"/>
      <c r="H13" s="51"/>
      <c r="I13" s="51"/>
      <c r="J13" s="52"/>
      <c r="K13" s="483" t="s">
        <v>463</v>
      </c>
      <c r="L13" s="484"/>
      <c r="M13" s="484"/>
      <c r="N13" s="485"/>
      <c r="O13" s="494" t="s">
        <v>454</v>
      </c>
      <c r="P13" s="496"/>
      <c r="Q13" s="467">
        <v>50</v>
      </c>
      <c r="R13" s="468"/>
      <c r="S13" s="467"/>
      <c r="T13" s="468"/>
      <c r="U13" s="467" t="s">
        <v>57</v>
      </c>
      <c r="V13" s="468"/>
      <c r="W13" s="641" t="s">
        <v>464</v>
      </c>
      <c r="X13" s="642"/>
      <c r="Y13" s="642"/>
      <c r="Z13" s="642"/>
      <c r="AA13" s="642"/>
      <c r="AB13" s="642"/>
      <c r="AC13" s="642"/>
    </row>
    <row r="14" spans="1:29">
      <c r="B14" s="49">
        <v>2</v>
      </c>
      <c r="C14" s="50"/>
      <c r="D14" s="51" t="s">
        <v>691</v>
      </c>
      <c r="E14" s="51"/>
      <c r="F14" s="51"/>
      <c r="G14" s="51"/>
      <c r="H14" s="51"/>
      <c r="I14" s="51"/>
      <c r="J14" s="52"/>
      <c r="K14" s="483" t="s">
        <v>692</v>
      </c>
      <c r="L14" s="484"/>
      <c r="M14" s="484"/>
      <c r="N14" s="485"/>
      <c r="O14" s="467" t="s">
        <v>62</v>
      </c>
      <c r="P14" s="468"/>
      <c r="Q14" s="467">
        <v>50</v>
      </c>
      <c r="R14" s="468"/>
      <c r="S14" s="502" t="s">
        <v>63</v>
      </c>
      <c r="T14" s="502"/>
      <c r="U14" s="467" t="s">
        <v>455</v>
      </c>
      <c r="V14" s="468"/>
      <c r="W14" s="494" t="s">
        <v>674</v>
      </c>
      <c r="X14" s="495"/>
      <c r="Y14" s="495"/>
      <c r="Z14" s="495"/>
      <c r="AA14" s="495"/>
      <c r="AB14" s="495"/>
      <c r="AC14" s="496"/>
    </row>
    <row r="15" spans="1:29">
      <c r="B15" s="112">
        <v>2</v>
      </c>
      <c r="C15" s="51"/>
      <c r="D15" s="51" t="s">
        <v>457</v>
      </c>
      <c r="E15" s="51"/>
      <c r="F15" s="51"/>
      <c r="G15" s="51"/>
      <c r="H15" s="51"/>
      <c r="I15" s="51"/>
      <c r="J15" s="52"/>
      <c r="K15" s="483" t="s">
        <v>432</v>
      </c>
      <c r="L15" s="484"/>
      <c r="M15" s="484"/>
      <c r="N15" s="485"/>
      <c r="O15" s="66" t="s">
        <v>403</v>
      </c>
      <c r="P15" s="66"/>
      <c r="Q15" s="467">
        <v>8</v>
      </c>
      <c r="R15" s="468"/>
      <c r="S15" s="467"/>
      <c r="T15" s="468"/>
      <c r="U15" s="467" t="s">
        <v>455</v>
      </c>
      <c r="V15" s="468"/>
      <c r="W15" s="494" t="s">
        <v>458</v>
      </c>
      <c r="X15" s="495"/>
      <c r="Y15" s="495"/>
      <c r="Z15" s="495"/>
      <c r="AA15" s="495"/>
      <c r="AB15" s="495"/>
      <c r="AC15" s="496"/>
    </row>
    <row r="16" spans="1:29">
      <c r="B16" s="112">
        <v>2</v>
      </c>
      <c r="C16" s="51"/>
      <c r="D16" s="51" t="s">
        <v>460</v>
      </c>
      <c r="E16" s="51"/>
      <c r="F16" s="51"/>
      <c r="G16" s="51"/>
      <c r="H16" s="51"/>
      <c r="I16" s="51"/>
      <c r="J16" s="52"/>
      <c r="K16" s="483" t="s">
        <v>433</v>
      </c>
      <c r="L16" s="484"/>
      <c r="M16" s="484"/>
      <c r="N16" s="485"/>
      <c r="O16" s="66" t="s">
        <v>454</v>
      </c>
      <c r="P16" s="66"/>
      <c r="Q16" s="467">
        <v>100</v>
      </c>
      <c r="R16" s="468"/>
      <c r="S16" s="467"/>
      <c r="T16" s="468"/>
      <c r="U16" s="467"/>
      <c r="V16" s="468"/>
      <c r="W16" s="469"/>
      <c r="X16" s="470"/>
      <c r="Y16" s="470"/>
      <c r="Z16" s="470"/>
      <c r="AA16" s="470"/>
      <c r="AB16" s="470"/>
      <c r="AC16" s="471"/>
    </row>
    <row r="17" spans="2:29">
      <c r="B17" s="112">
        <v>2</v>
      </c>
      <c r="C17" s="51"/>
      <c r="D17" s="51" t="s">
        <v>461</v>
      </c>
      <c r="E17" s="51"/>
      <c r="F17" s="51"/>
      <c r="G17" s="51"/>
      <c r="H17" s="51"/>
      <c r="I17" s="51"/>
      <c r="J17" s="52"/>
      <c r="K17" s="483" t="s">
        <v>434</v>
      </c>
      <c r="L17" s="484"/>
      <c r="M17" s="484"/>
      <c r="N17" s="485"/>
      <c r="O17" s="66" t="s">
        <v>459</v>
      </c>
      <c r="P17" s="66"/>
      <c r="Q17" s="502" t="s">
        <v>462</v>
      </c>
      <c r="R17" s="502"/>
      <c r="S17" s="502"/>
      <c r="T17" s="502"/>
      <c r="U17" s="502"/>
      <c r="V17" s="502"/>
      <c r="W17" s="641" t="s">
        <v>668</v>
      </c>
      <c r="X17" s="642"/>
      <c r="Y17" s="642"/>
      <c r="Z17" s="642"/>
      <c r="AA17" s="642"/>
      <c r="AB17" s="642"/>
      <c r="AC17" s="642"/>
    </row>
    <row r="18" spans="2:29">
      <c r="B18" s="240">
        <v>2</v>
      </c>
      <c r="C18" s="238"/>
      <c r="D18" s="56" t="s">
        <v>1374</v>
      </c>
      <c r="E18" s="56"/>
      <c r="F18" s="56"/>
      <c r="G18" s="56"/>
      <c r="H18" s="56"/>
      <c r="I18" s="56"/>
      <c r="J18" s="57"/>
      <c r="K18" s="533" t="s">
        <v>1377</v>
      </c>
      <c r="L18" s="534"/>
      <c r="M18" s="534"/>
      <c r="N18" s="535"/>
      <c r="O18" s="338" t="s">
        <v>1378</v>
      </c>
      <c r="P18" s="338"/>
      <c r="Q18" s="527">
        <v>10</v>
      </c>
      <c r="R18" s="527"/>
      <c r="S18" s="527"/>
      <c r="T18" s="527"/>
      <c r="U18" s="527" t="s">
        <v>57</v>
      </c>
      <c r="V18" s="527"/>
      <c r="W18" s="626"/>
      <c r="X18" s="627"/>
      <c r="Y18" s="627"/>
      <c r="Z18" s="627"/>
      <c r="AA18" s="627"/>
      <c r="AB18" s="627"/>
      <c r="AC18" s="627"/>
    </row>
    <row r="19" spans="2:29">
      <c r="B19" s="240">
        <v>2</v>
      </c>
      <c r="C19" s="238"/>
      <c r="D19" s="56" t="s">
        <v>1375</v>
      </c>
      <c r="E19" s="56"/>
      <c r="F19" s="56"/>
      <c r="G19" s="56"/>
      <c r="H19" s="56"/>
      <c r="I19" s="56"/>
      <c r="J19" s="57"/>
      <c r="K19" s="533" t="s">
        <v>1376</v>
      </c>
      <c r="L19" s="534"/>
      <c r="M19" s="534"/>
      <c r="N19" s="535"/>
      <c r="O19" s="338" t="s">
        <v>62</v>
      </c>
      <c r="P19" s="338"/>
      <c r="Q19" s="527">
        <v>50</v>
      </c>
      <c r="R19" s="527"/>
      <c r="S19" s="527"/>
      <c r="T19" s="527"/>
      <c r="U19" s="527" t="s">
        <v>1379</v>
      </c>
      <c r="V19" s="527"/>
      <c r="W19" s="626"/>
      <c r="X19" s="627"/>
      <c r="Y19" s="627"/>
      <c r="Z19" s="627"/>
      <c r="AA19" s="627"/>
      <c r="AB19" s="627"/>
      <c r="AC19" s="627"/>
    </row>
    <row r="20" spans="2:29">
      <c r="B20" s="49">
        <v>2</v>
      </c>
      <c r="C20" s="51"/>
      <c r="D20" s="56" t="s">
        <v>465</v>
      </c>
      <c r="E20" s="56"/>
      <c r="F20" s="56"/>
      <c r="G20" s="56"/>
      <c r="H20" s="56"/>
      <c r="I20" s="56"/>
      <c r="J20" s="57"/>
      <c r="K20" s="533" t="s">
        <v>466</v>
      </c>
      <c r="L20" s="534"/>
      <c r="M20" s="534"/>
      <c r="N20" s="535"/>
      <c r="O20" s="109" t="s">
        <v>403</v>
      </c>
      <c r="P20" s="57"/>
      <c r="Q20" s="531">
        <v>1000</v>
      </c>
      <c r="R20" s="532"/>
      <c r="S20" s="531"/>
      <c r="T20" s="532"/>
      <c r="U20" s="531"/>
      <c r="V20" s="532"/>
      <c r="W20" s="599"/>
      <c r="X20" s="600"/>
      <c r="Y20" s="600"/>
      <c r="Z20" s="600"/>
      <c r="AA20" s="600"/>
      <c r="AB20" s="600"/>
      <c r="AC20" s="601"/>
    </row>
    <row r="21" spans="2:29">
      <c r="B21" s="382">
        <v>2</v>
      </c>
      <c r="C21" s="378"/>
      <c r="D21" s="56" t="s">
        <v>3290</v>
      </c>
      <c r="E21" s="56"/>
      <c r="F21" s="56"/>
      <c r="G21" s="56"/>
      <c r="H21" s="56"/>
      <c r="I21" s="56"/>
      <c r="J21" s="57"/>
      <c r="K21" s="533" t="s">
        <v>3291</v>
      </c>
      <c r="L21" s="534"/>
      <c r="M21" s="534"/>
      <c r="N21" s="535"/>
      <c r="O21" s="109" t="s">
        <v>62</v>
      </c>
      <c r="P21" s="57"/>
      <c r="Q21" s="531">
        <v>7</v>
      </c>
      <c r="R21" s="532"/>
      <c r="S21" s="531"/>
      <c r="T21" s="532"/>
      <c r="U21" s="606" t="s">
        <v>57</v>
      </c>
      <c r="V21" s="607"/>
      <c r="W21" s="599"/>
      <c r="X21" s="600"/>
      <c r="Y21" s="600"/>
      <c r="Z21" s="600"/>
      <c r="AA21" s="600"/>
      <c r="AB21" s="600"/>
      <c r="AC21" s="601"/>
    </row>
    <row r="22" spans="2:29">
      <c r="B22" s="382">
        <v>2</v>
      </c>
      <c r="C22" s="378"/>
      <c r="D22" s="56" t="s">
        <v>3283</v>
      </c>
      <c r="E22" s="56"/>
      <c r="F22" s="56"/>
      <c r="G22" s="56"/>
      <c r="H22" s="56"/>
      <c r="I22" s="56"/>
      <c r="J22" s="57"/>
      <c r="K22" s="533" t="s">
        <v>3292</v>
      </c>
      <c r="L22" s="534"/>
      <c r="M22" s="534"/>
      <c r="N22" s="535"/>
      <c r="O22" s="109" t="s">
        <v>62</v>
      </c>
      <c r="P22" s="57"/>
      <c r="Q22" s="531">
        <v>10</v>
      </c>
      <c r="R22" s="532"/>
      <c r="S22" s="531"/>
      <c r="T22" s="532"/>
      <c r="U22" s="606" t="s">
        <v>57</v>
      </c>
      <c r="V22" s="607"/>
      <c r="W22" s="599" t="s">
        <v>3328</v>
      </c>
      <c r="X22" s="600"/>
      <c r="Y22" s="600"/>
      <c r="Z22" s="600"/>
      <c r="AA22" s="600"/>
      <c r="AB22" s="600"/>
      <c r="AC22" s="601"/>
    </row>
    <row r="23" spans="2:29">
      <c r="B23" s="382">
        <v>2</v>
      </c>
      <c r="C23" s="378"/>
      <c r="D23" s="56" t="s">
        <v>3293</v>
      </c>
      <c r="E23" s="56"/>
      <c r="F23" s="56"/>
      <c r="G23" s="56"/>
      <c r="H23" s="56"/>
      <c r="I23" s="56"/>
      <c r="J23" s="57"/>
      <c r="K23" s="533" t="s">
        <v>3294</v>
      </c>
      <c r="L23" s="534"/>
      <c r="M23" s="534"/>
      <c r="N23" s="535"/>
      <c r="O23" s="109" t="s">
        <v>62</v>
      </c>
      <c r="P23" s="57"/>
      <c r="Q23" s="531">
        <v>4</v>
      </c>
      <c r="R23" s="532"/>
      <c r="S23" s="531"/>
      <c r="T23" s="532"/>
      <c r="U23" s="606" t="s">
        <v>57</v>
      </c>
      <c r="V23" s="607"/>
      <c r="W23" s="599"/>
      <c r="X23" s="600"/>
      <c r="Y23" s="600"/>
      <c r="Z23" s="600"/>
      <c r="AA23" s="600"/>
      <c r="AB23" s="600"/>
      <c r="AC23" s="601"/>
    </row>
    <row r="24" spans="2:29">
      <c r="B24" s="406">
        <v>2</v>
      </c>
      <c r="C24" s="405"/>
      <c r="D24" s="431" t="s">
        <v>3337</v>
      </c>
      <c r="E24" s="431"/>
      <c r="F24" s="431"/>
      <c r="G24" s="431"/>
      <c r="H24" s="431"/>
      <c r="I24" s="431"/>
      <c r="J24" s="432"/>
      <c r="K24" s="428" t="s">
        <v>3338</v>
      </c>
      <c r="L24" s="429"/>
      <c r="M24" s="429"/>
      <c r="N24" s="430"/>
      <c r="O24" s="436" t="s">
        <v>95</v>
      </c>
      <c r="P24" s="432"/>
      <c r="Q24" s="467">
        <v>8</v>
      </c>
      <c r="R24" s="468"/>
      <c r="S24" s="467"/>
      <c r="T24" s="468"/>
      <c r="U24" s="467" t="s">
        <v>57</v>
      </c>
      <c r="V24" s="468"/>
      <c r="W24" s="494" t="s">
        <v>350</v>
      </c>
      <c r="X24" s="495"/>
      <c r="Y24" s="495"/>
      <c r="Z24" s="495"/>
      <c r="AA24" s="495"/>
      <c r="AB24" s="495"/>
      <c r="AC24" s="496"/>
    </row>
    <row r="25" spans="2:29">
      <c r="B25" s="58">
        <v>2</v>
      </c>
      <c r="C25" s="106"/>
      <c r="D25" s="106" t="s">
        <v>135</v>
      </c>
      <c r="E25" s="59"/>
      <c r="F25" s="59"/>
      <c r="G25" s="106"/>
      <c r="H25" s="106"/>
      <c r="I25" s="106"/>
      <c r="J25" s="107"/>
      <c r="K25" s="593" t="s">
        <v>59</v>
      </c>
      <c r="L25" s="594"/>
      <c r="M25" s="594"/>
      <c r="N25" s="595"/>
      <c r="O25" s="611"/>
      <c r="P25" s="611"/>
      <c r="Q25" s="611"/>
      <c r="R25" s="611"/>
      <c r="S25" s="611"/>
      <c r="T25" s="611"/>
      <c r="U25" s="611"/>
      <c r="V25" s="611"/>
      <c r="W25" s="634"/>
      <c r="X25" s="634"/>
      <c r="Y25" s="634"/>
      <c r="Z25" s="634"/>
      <c r="AA25" s="634"/>
      <c r="AB25" s="634"/>
      <c r="AC25" s="634"/>
    </row>
    <row r="26" spans="2:29">
      <c r="B26" s="49">
        <v>3</v>
      </c>
      <c r="C26" s="61"/>
      <c r="D26" s="62"/>
      <c r="E26" s="51" t="s">
        <v>131</v>
      </c>
      <c r="F26" s="51"/>
      <c r="G26" s="62"/>
      <c r="H26" s="62"/>
      <c r="I26" s="62"/>
      <c r="J26" s="63"/>
      <c r="K26" s="483" t="s">
        <v>467</v>
      </c>
      <c r="L26" s="484"/>
      <c r="M26" s="484"/>
      <c r="N26" s="485"/>
      <c r="O26" s="467" t="s">
        <v>454</v>
      </c>
      <c r="P26" s="468"/>
      <c r="Q26" s="502">
        <v>20</v>
      </c>
      <c r="R26" s="502"/>
      <c r="S26" s="502" t="s">
        <v>214</v>
      </c>
      <c r="T26" s="502"/>
      <c r="U26" s="502" t="s">
        <v>401</v>
      </c>
      <c r="V26" s="502"/>
      <c r="W26" s="464" t="s">
        <v>468</v>
      </c>
      <c r="X26" s="465"/>
      <c r="Y26" s="465"/>
      <c r="Z26" s="465"/>
      <c r="AA26" s="465"/>
      <c r="AB26" s="465"/>
      <c r="AC26" s="466"/>
    </row>
    <row r="27" spans="2:29">
      <c r="B27" s="49">
        <v>3</v>
      </c>
      <c r="C27" s="61"/>
      <c r="D27" s="62"/>
      <c r="E27" s="51" t="s">
        <v>334</v>
      </c>
      <c r="F27" s="51"/>
      <c r="G27" s="62"/>
      <c r="H27" s="62"/>
      <c r="I27" s="62"/>
      <c r="J27" s="63"/>
      <c r="K27" s="483" t="s">
        <v>431</v>
      </c>
      <c r="L27" s="484"/>
      <c r="M27" s="484"/>
      <c r="N27" s="485"/>
      <c r="O27" s="502" t="s">
        <v>62</v>
      </c>
      <c r="P27" s="502"/>
      <c r="Q27" s="527">
        <v>50</v>
      </c>
      <c r="R27" s="527"/>
      <c r="S27" s="467"/>
      <c r="T27" s="468"/>
      <c r="U27" s="502" t="s">
        <v>455</v>
      </c>
      <c r="V27" s="502"/>
      <c r="W27" s="483"/>
      <c r="X27" s="484"/>
      <c r="Y27" s="484"/>
      <c r="Z27" s="484"/>
      <c r="AA27" s="484"/>
      <c r="AB27" s="484"/>
      <c r="AC27" s="485"/>
    </row>
    <row r="28" spans="2:29">
      <c r="B28" s="49">
        <v>3</v>
      </c>
      <c r="C28" s="61"/>
      <c r="D28" s="62"/>
      <c r="E28" s="62" t="s">
        <v>132</v>
      </c>
      <c r="F28" s="62"/>
      <c r="G28" s="62"/>
      <c r="H28" s="62"/>
      <c r="I28" s="62"/>
      <c r="J28" s="63"/>
      <c r="K28" s="608" t="s">
        <v>133</v>
      </c>
      <c r="L28" s="609"/>
      <c r="M28" s="609"/>
      <c r="N28" s="610"/>
      <c r="O28" s="502" t="s">
        <v>56</v>
      </c>
      <c r="P28" s="502"/>
      <c r="Q28" s="467">
        <v>10</v>
      </c>
      <c r="R28" s="468"/>
      <c r="S28" s="502"/>
      <c r="T28" s="502"/>
      <c r="U28" s="502" t="s">
        <v>57</v>
      </c>
      <c r="V28" s="502"/>
      <c r="W28" s="483" t="s">
        <v>469</v>
      </c>
      <c r="X28" s="484"/>
      <c r="Y28" s="484"/>
      <c r="Z28" s="484"/>
      <c r="AA28" s="484"/>
      <c r="AB28" s="484"/>
      <c r="AC28" s="485"/>
    </row>
    <row r="29" spans="2:29">
      <c r="B29" s="49">
        <v>3</v>
      </c>
      <c r="C29" s="61"/>
      <c r="D29" s="62"/>
      <c r="E29" s="62" t="s">
        <v>672</v>
      </c>
      <c r="F29" s="62"/>
      <c r="G29" s="62"/>
      <c r="H29" s="62"/>
      <c r="I29" s="62"/>
      <c r="J29" s="63"/>
      <c r="K29" s="608" t="s">
        <v>670</v>
      </c>
      <c r="L29" s="609"/>
      <c r="M29" s="609"/>
      <c r="N29" s="610"/>
      <c r="O29" s="502" t="s">
        <v>56</v>
      </c>
      <c r="P29" s="502"/>
      <c r="Q29" s="467">
        <v>10</v>
      </c>
      <c r="R29" s="468"/>
      <c r="S29" s="502"/>
      <c r="T29" s="502"/>
      <c r="U29" s="502"/>
      <c r="V29" s="502"/>
      <c r="W29" s="483"/>
      <c r="X29" s="484"/>
      <c r="Y29" s="484"/>
      <c r="Z29" s="484"/>
      <c r="AA29" s="484"/>
      <c r="AB29" s="484"/>
      <c r="AC29" s="485"/>
    </row>
    <row r="30" spans="2:29">
      <c r="B30" s="49">
        <v>3</v>
      </c>
      <c r="C30" s="61"/>
      <c r="D30" s="62"/>
      <c r="E30" s="62" t="s">
        <v>673</v>
      </c>
      <c r="F30" s="62"/>
      <c r="G30" s="62"/>
      <c r="H30" s="62"/>
      <c r="I30" s="62"/>
      <c r="J30" s="63"/>
      <c r="K30" s="608" t="s">
        <v>671</v>
      </c>
      <c r="L30" s="609"/>
      <c r="M30" s="609"/>
      <c r="N30" s="610"/>
      <c r="O30" s="502" t="s">
        <v>56</v>
      </c>
      <c r="P30" s="502"/>
      <c r="Q30" s="467">
        <v>10</v>
      </c>
      <c r="R30" s="468"/>
      <c r="S30" s="502"/>
      <c r="T30" s="502"/>
      <c r="U30" s="502"/>
      <c r="V30" s="502"/>
      <c r="W30" s="483"/>
      <c r="X30" s="484"/>
      <c r="Y30" s="484"/>
      <c r="Z30" s="484"/>
      <c r="AA30" s="484"/>
      <c r="AB30" s="484"/>
      <c r="AC30" s="485"/>
    </row>
    <row r="31" spans="2:29">
      <c r="B31" s="379">
        <v>3</v>
      </c>
      <c r="C31" s="378"/>
      <c r="D31" s="108"/>
      <c r="E31" s="56" t="s">
        <v>3286</v>
      </c>
      <c r="F31" s="56"/>
      <c r="G31" s="56"/>
      <c r="H31" s="56"/>
      <c r="I31" s="56"/>
      <c r="J31" s="57"/>
      <c r="K31" s="602" t="s">
        <v>3295</v>
      </c>
      <c r="L31" s="603"/>
      <c r="M31" s="603"/>
      <c r="N31" s="604"/>
      <c r="O31" s="109" t="s">
        <v>62</v>
      </c>
      <c r="P31" s="57"/>
      <c r="Q31" s="531">
        <v>3</v>
      </c>
      <c r="R31" s="532"/>
      <c r="S31" s="531"/>
      <c r="T31" s="532"/>
      <c r="U31" s="527" t="s">
        <v>57</v>
      </c>
      <c r="V31" s="527"/>
      <c r="W31" s="640" t="s">
        <v>2003</v>
      </c>
      <c r="X31" s="534"/>
      <c r="Y31" s="534"/>
      <c r="Z31" s="534"/>
      <c r="AA31" s="534"/>
      <c r="AB31" s="534"/>
      <c r="AC31" s="535"/>
    </row>
    <row r="32" spans="2:29">
      <c r="B32" s="379">
        <v>3</v>
      </c>
      <c r="C32" s="378"/>
      <c r="D32" s="108"/>
      <c r="E32" s="56" t="s">
        <v>3287</v>
      </c>
      <c r="F32" s="56"/>
      <c r="G32" s="56"/>
      <c r="H32" s="56"/>
      <c r="I32" s="56"/>
      <c r="J32" s="57"/>
      <c r="K32" s="602" t="s">
        <v>3296</v>
      </c>
      <c r="L32" s="603"/>
      <c r="M32" s="603"/>
      <c r="N32" s="604"/>
      <c r="O32" s="527" t="s">
        <v>56</v>
      </c>
      <c r="P32" s="527"/>
      <c r="Q32" s="531">
        <v>5</v>
      </c>
      <c r="R32" s="532"/>
      <c r="S32" s="531"/>
      <c r="T32" s="532"/>
      <c r="U32" s="527" t="s">
        <v>57</v>
      </c>
      <c r="V32" s="527"/>
      <c r="W32" s="533">
        <v>1</v>
      </c>
      <c r="X32" s="534"/>
      <c r="Y32" s="534"/>
      <c r="Z32" s="534"/>
      <c r="AA32" s="534"/>
      <c r="AB32" s="534"/>
      <c r="AC32" s="535"/>
    </row>
    <row r="33" spans="2:29">
      <c r="B33" s="379">
        <v>3</v>
      </c>
      <c r="C33" s="376"/>
      <c r="D33" s="377"/>
      <c r="E33" s="407" t="s">
        <v>3288</v>
      </c>
      <c r="F33" s="407"/>
      <c r="G33" s="407"/>
      <c r="H33" s="407"/>
      <c r="I33" s="407"/>
      <c r="J33" s="408"/>
      <c r="K33" s="602" t="s">
        <v>3289</v>
      </c>
      <c r="L33" s="603"/>
      <c r="M33" s="603"/>
      <c r="N33" s="604"/>
      <c r="O33" s="109" t="s">
        <v>62</v>
      </c>
      <c r="P33" s="57"/>
      <c r="Q33" s="531">
        <v>3</v>
      </c>
      <c r="R33" s="532"/>
      <c r="S33" s="527"/>
      <c r="T33" s="527"/>
      <c r="U33" s="527" t="s">
        <v>3297</v>
      </c>
      <c r="V33" s="527"/>
      <c r="W33" s="533"/>
      <c r="X33" s="534"/>
      <c r="Y33" s="534"/>
      <c r="Z33" s="534"/>
      <c r="AA33" s="534"/>
      <c r="AB33" s="534"/>
      <c r="AC33" s="535"/>
    </row>
    <row r="34" spans="2:29">
      <c r="B34" s="379">
        <v>3</v>
      </c>
      <c r="C34" s="376"/>
      <c r="D34" s="377"/>
      <c r="E34" s="407" t="s">
        <v>3329</v>
      </c>
      <c r="F34" s="407"/>
      <c r="G34" s="407"/>
      <c r="H34" s="407"/>
      <c r="I34" s="407"/>
      <c r="J34" s="408"/>
      <c r="K34" s="602" t="s">
        <v>3298</v>
      </c>
      <c r="L34" s="603"/>
      <c r="M34" s="603"/>
      <c r="N34" s="604"/>
      <c r="O34" s="109" t="s">
        <v>62</v>
      </c>
      <c r="P34" s="57"/>
      <c r="Q34" s="531">
        <v>3</v>
      </c>
      <c r="R34" s="532"/>
      <c r="S34" s="527"/>
      <c r="T34" s="527"/>
      <c r="U34" s="527" t="s">
        <v>57</v>
      </c>
      <c r="V34" s="527"/>
      <c r="W34" s="533"/>
      <c r="X34" s="534"/>
      <c r="Y34" s="534"/>
      <c r="Z34" s="534"/>
      <c r="AA34" s="534"/>
      <c r="AB34" s="534"/>
      <c r="AC34" s="535"/>
    </row>
    <row r="35" spans="2:29">
      <c r="B35" s="433">
        <v>3</v>
      </c>
      <c r="C35" s="428"/>
      <c r="D35" s="429"/>
      <c r="E35" s="434" t="s">
        <v>3388</v>
      </c>
      <c r="F35" s="434"/>
      <c r="G35" s="434"/>
      <c r="H35" s="434"/>
      <c r="I35" s="434"/>
      <c r="J35" s="435"/>
      <c r="K35" s="637" t="s">
        <v>3389</v>
      </c>
      <c r="L35" s="638"/>
      <c r="M35" s="638"/>
      <c r="N35" s="639"/>
      <c r="O35" s="531" t="s">
        <v>833</v>
      </c>
      <c r="P35" s="532"/>
      <c r="Q35" s="631">
        <v>2</v>
      </c>
      <c r="R35" s="632"/>
      <c r="S35" s="633"/>
      <c r="T35" s="633"/>
      <c r="U35" s="633" t="s">
        <v>57</v>
      </c>
      <c r="V35" s="633"/>
      <c r="W35" s="628" t="s">
        <v>3390</v>
      </c>
      <c r="X35" s="629"/>
      <c r="Y35" s="629"/>
      <c r="Z35" s="629"/>
      <c r="AA35" s="629"/>
      <c r="AB35" s="629"/>
      <c r="AC35" s="630"/>
    </row>
    <row r="36" spans="2:29">
      <c r="B36" s="486"/>
      <c r="C36" s="486"/>
      <c r="D36" s="486"/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</row>
    <row r="37" spans="2:29" ht="16.5">
      <c r="B37" s="586" t="s">
        <v>407</v>
      </c>
      <c r="C37" s="587"/>
      <c r="D37" s="587"/>
      <c r="E37" s="588"/>
      <c r="F37" s="589"/>
      <c r="G37" s="590"/>
      <c r="H37" s="590"/>
      <c r="I37" s="590"/>
      <c r="J37" s="590"/>
      <c r="K37" s="590"/>
      <c r="L37" s="590"/>
      <c r="M37" s="590"/>
      <c r="N37" s="590"/>
      <c r="O37" s="590"/>
      <c r="P37" s="590"/>
      <c r="Q37" s="590"/>
      <c r="R37" s="590"/>
      <c r="S37" s="590"/>
      <c r="T37" s="590"/>
      <c r="U37" s="590"/>
      <c r="V37" s="590"/>
      <c r="W37" s="590"/>
      <c r="X37" s="590"/>
      <c r="Y37" s="590"/>
      <c r="Z37" s="590"/>
      <c r="AA37" s="590"/>
      <c r="AB37" s="590"/>
      <c r="AC37" s="591"/>
    </row>
    <row r="38" spans="2:29">
      <c r="B38" s="4" t="s">
        <v>408</v>
      </c>
      <c r="C38" s="512" t="s">
        <v>413</v>
      </c>
      <c r="D38" s="592"/>
      <c r="E38" s="592"/>
      <c r="F38" s="592"/>
      <c r="G38" s="592"/>
      <c r="H38" s="592"/>
      <c r="I38" s="592"/>
      <c r="J38" s="513"/>
      <c r="K38" s="512" t="s">
        <v>444</v>
      </c>
      <c r="L38" s="592"/>
      <c r="M38" s="592"/>
      <c r="N38" s="513"/>
      <c r="O38" s="512" t="s">
        <v>445</v>
      </c>
      <c r="P38" s="513"/>
      <c r="Q38" s="512" t="s">
        <v>414</v>
      </c>
      <c r="R38" s="513"/>
      <c r="S38" s="512" t="s">
        <v>447</v>
      </c>
      <c r="T38" s="513"/>
      <c r="U38" s="512" t="s">
        <v>448</v>
      </c>
      <c r="V38" s="513"/>
      <c r="W38" s="512" t="s">
        <v>449</v>
      </c>
      <c r="X38" s="592"/>
      <c r="Y38" s="592"/>
      <c r="Z38" s="592"/>
      <c r="AA38" s="592"/>
      <c r="AB38" s="592"/>
      <c r="AC38" s="513"/>
    </row>
    <row r="39" spans="2:29" ht="13.5" customHeight="1">
      <c r="B39" s="49">
        <v>1</v>
      </c>
      <c r="C39" s="50" t="s">
        <v>86</v>
      </c>
      <c r="D39" s="51"/>
      <c r="E39" s="51"/>
      <c r="F39" s="51"/>
      <c r="G39" s="51"/>
      <c r="H39" s="51"/>
      <c r="I39" s="51"/>
      <c r="J39" s="52"/>
      <c r="K39" s="490" t="s">
        <v>87</v>
      </c>
      <c r="L39" s="491"/>
      <c r="M39" s="491"/>
      <c r="N39" s="492"/>
      <c r="O39" s="467" t="s">
        <v>62</v>
      </c>
      <c r="P39" s="468"/>
      <c r="Q39" s="467">
        <v>20</v>
      </c>
      <c r="R39" s="468"/>
      <c r="S39" s="467"/>
      <c r="T39" s="468"/>
      <c r="U39" s="467" t="s">
        <v>452</v>
      </c>
      <c r="V39" s="468"/>
      <c r="W39" s="493" t="s">
        <v>352</v>
      </c>
      <c r="X39" s="484"/>
      <c r="Y39" s="484"/>
      <c r="Z39" s="484"/>
      <c r="AA39" s="484"/>
      <c r="AB39" s="484"/>
      <c r="AC39" s="485"/>
    </row>
    <row r="40" spans="2:29">
      <c r="B40" s="49">
        <v>1</v>
      </c>
      <c r="C40" s="50" t="s">
        <v>89</v>
      </c>
      <c r="D40" s="51"/>
      <c r="E40" s="51"/>
      <c r="F40" s="51"/>
      <c r="G40" s="51"/>
      <c r="H40" s="51"/>
      <c r="I40" s="51"/>
      <c r="J40" s="52"/>
      <c r="K40" s="494" t="s">
        <v>470</v>
      </c>
      <c r="L40" s="495"/>
      <c r="M40" s="495"/>
      <c r="N40" s="496"/>
      <c r="O40" s="467" t="s">
        <v>454</v>
      </c>
      <c r="P40" s="468"/>
      <c r="Q40" s="467">
        <v>4000</v>
      </c>
      <c r="R40" s="468"/>
      <c r="S40" s="467"/>
      <c r="T40" s="468"/>
      <c r="U40" s="467" t="s">
        <v>455</v>
      </c>
      <c r="V40" s="468"/>
      <c r="W40" s="483" t="s">
        <v>471</v>
      </c>
      <c r="X40" s="484"/>
      <c r="Y40" s="484"/>
      <c r="Z40" s="484"/>
      <c r="AA40" s="484"/>
      <c r="AB40" s="484"/>
      <c r="AC40" s="485"/>
    </row>
    <row r="41" spans="2:29">
      <c r="B41" s="58">
        <v>1</v>
      </c>
      <c r="C41" s="59" t="s">
        <v>90</v>
      </c>
      <c r="D41" s="59"/>
      <c r="E41" s="59"/>
      <c r="F41" s="59"/>
      <c r="G41" s="59"/>
      <c r="H41" s="59"/>
      <c r="I41" s="59"/>
      <c r="J41" s="60"/>
      <c r="K41" s="497" t="s">
        <v>472</v>
      </c>
      <c r="L41" s="498"/>
      <c r="M41" s="498"/>
      <c r="N41" s="499"/>
      <c r="O41" s="472"/>
      <c r="P41" s="473"/>
      <c r="Q41" s="472"/>
      <c r="R41" s="473"/>
      <c r="S41" s="472"/>
      <c r="T41" s="473"/>
      <c r="U41" s="472"/>
      <c r="V41" s="473"/>
      <c r="W41" s="487"/>
      <c r="X41" s="488"/>
      <c r="Y41" s="488"/>
      <c r="Z41" s="488"/>
      <c r="AA41" s="488"/>
      <c r="AB41" s="488"/>
      <c r="AC41" s="489"/>
    </row>
    <row r="42" spans="2:29">
      <c r="B42" s="49">
        <v>2</v>
      </c>
      <c r="C42" s="50"/>
      <c r="D42" s="51" t="s">
        <v>130</v>
      </c>
      <c r="E42" s="51"/>
      <c r="F42" s="51"/>
      <c r="G42" s="51"/>
      <c r="H42" s="51"/>
      <c r="I42" s="51"/>
      <c r="J42" s="52"/>
      <c r="K42" s="494" t="s">
        <v>473</v>
      </c>
      <c r="L42" s="495"/>
      <c r="M42" s="495"/>
      <c r="N42" s="496"/>
      <c r="O42" s="467" t="s">
        <v>403</v>
      </c>
      <c r="P42" s="468"/>
      <c r="Q42" s="467">
        <v>20</v>
      </c>
      <c r="R42" s="468"/>
      <c r="S42" s="467" t="s">
        <v>411</v>
      </c>
      <c r="T42" s="468"/>
      <c r="U42" s="467" t="s">
        <v>401</v>
      </c>
      <c r="V42" s="468"/>
      <c r="W42" s="464" t="s">
        <v>435</v>
      </c>
      <c r="X42" s="465"/>
      <c r="Y42" s="465"/>
      <c r="Z42" s="465"/>
      <c r="AA42" s="465"/>
      <c r="AB42" s="465"/>
      <c r="AC42" s="466"/>
    </row>
    <row r="43" spans="2:29">
      <c r="B43" s="49">
        <v>2</v>
      </c>
      <c r="C43" s="50"/>
      <c r="D43" s="51" t="s">
        <v>691</v>
      </c>
      <c r="E43" s="51"/>
      <c r="F43" s="51"/>
      <c r="G43" s="51"/>
      <c r="H43" s="51"/>
      <c r="I43" s="51"/>
      <c r="J43" s="52"/>
      <c r="K43" s="483" t="s">
        <v>692</v>
      </c>
      <c r="L43" s="484"/>
      <c r="M43" s="484"/>
      <c r="N43" s="485"/>
      <c r="O43" s="467" t="s">
        <v>62</v>
      </c>
      <c r="P43" s="468"/>
      <c r="Q43" s="467">
        <v>50</v>
      </c>
      <c r="R43" s="468"/>
      <c r="S43" s="467"/>
      <c r="T43" s="468"/>
      <c r="U43" s="467" t="s">
        <v>57</v>
      </c>
      <c r="V43" s="468"/>
      <c r="W43" s="494" t="s">
        <v>674</v>
      </c>
      <c r="X43" s="495"/>
      <c r="Y43" s="495"/>
      <c r="Z43" s="495"/>
      <c r="AA43" s="495"/>
      <c r="AB43" s="495"/>
      <c r="AC43" s="496"/>
    </row>
    <row r="44" spans="2:29" ht="13.5" customHeight="1">
      <c r="B44" s="49">
        <v>2</v>
      </c>
      <c r="C44" s="61"/>
      <c r="D44" s="62" t="s">
        <v>474</v>
      </c>
      <c r="E44" s="51"/>
      <c r="F44" s="51"/>
      <c r="G44" s="62"/>
      <c r="H44" s="62"/>
      <c r="I44" s="62"/>
      <c r="J44" s="63"/>
      <c r="K44" s="469" t="s">
        <v>475</v>
      </c>
      <c r="L44" s="470"/>
      <c r="M44" s="470"/>
      <c r="N44" s="471"/>
      <c r="O44" s="467" t="s">
        <v>459</v>
      </c>
      <c r="P44" s="468"/>
      <c r="Q44" s="467">
        <v>1</v>
      </c>
      <c r="R44" s="468"/>
      <c r="S44" s="467"/>
      <c r="T44" s="468"/>
      <c r="U44" s="467" t="s">
        <v>64</v>
      </c>
      <c r="V44" s="468"/>
      <c r="W44" s="493" t="s">
        <v>352</v>
      </c>
      <c r="X44" s="484"/>
      <c r="Y44" s="484"/>
      <c r="Z44" s="484"/>
      <c r="AA44" s="484"/>
      <c r="AB44" s="484"/>
      <c r="AC44" s="485"/>
    </row>
    <row r="45" spans="2:29">
      <c r="B45" s="49">
        <v>2</v>
      </c>
      <c r="C45" s="61"/>
      <c r="D45" s="62" t="s">
        <v>405</v>
      </c>
      <c r="E45" s="51"/>
      <c r="F45" s="51"/>
      <c r="G45" s="62"/>
      <c r="H45" s="62"/>
      <c r="I45" s="62"/>
      <c r="J45" s="63"/>
      <c r="K45" s="469" t="s">
        <v>418</v>
      </c>
      <c r="L45" s="470"/>
      <c r="M45" s="470"/>
      <c r="N45" s="471"/>
      <c r="O45" s="467" t="s">
        <v>454</v>
      </c>
      <c r="P45" s="468"/>
      <c r="Q45" s="467">
        <v>100</v>
      </c>
      <c r="R45" s="468"/>
      <c r="S45" s="467"/>
      <c r="T45" s="468"/>
      <c r="U45" s="467"/>
      <c r="V45" s="468"/>
      <c r="W45" s="464" t="s">
        <v>409</v>
      </c>
      <c r="X45" s="465"/>
      <c r="Y45" s="465"/>
      <c r="Z45" s="465"/>
      <c r="AA45" s="465"/>
      <c r="AB45" s="465"/>
      <c r="AC45" s="466"/>
    </row>
    <row r="46" spans="2:29" ht="16.5">
      <c r="B46" s="625"/>
      <c r="C46" s="625"/>
      <c r="D46" s="625"/>
      <c r="E46" s="625"/>
      <c r="F46" s="625"/>
      <c r="G46" s="625"/>
      <c r="H46" s="625"/>
      <c r="I46" s="625"/>
      <c r="J46" s="625"/>
      <c r="K46" s="625"/>
      <c r="L46" s="625"/>
      <c r="M46" s="625"/>
      <c r="N46" s="625"/>
      <c r="O46" s="625"/>
      <c r="P46" s="625"/>
      <c r="Q46" s="625"/>
      <c r="R46" s="625"/>
      <c r="S46" s="625"/>
      <c r="T46" s="625"/>
      <c r="U46" s="625"/>
      <c r="V46" s="625"/>
      <c r="W46" s="625"/>
      <c r="X46" s="625"/>
      <c r="Y46" s="625"/>
      <c r="Z46" s="625"/>
      <c r="AA46" s="625"/>
      <c r="AB46" s="625"/>
      <c r="AC46" s="625"/>
    </row>
    <row r="47" spans="2:29">
      <c r="B47" s="474" t="s">
        <v>406</v>
      </c>
      <c r="C47" s="475"/>
      <c r="D47" s="475"/>
      <c r="E47" s="475"/>
      <c r="F47" s="475"/>
      <c r="G47" s="475"/>
      <c r="H47" s="475"/>
      <c r="I47" s="475"/>
      <c r="J47" s="475"/>
      <c r="K47" s="475"/>
      <c r="L47" s="475"/>
      <c r="M47" s="475"/>
      <c r="N47" s="475"/>
      <c r="O47" s="475"/>
      <c r="P47" s="475"/>
      <c r="Q47" s="475"/>
      <c r="R47" s="475"/>
      <c r="S47" s="475"/>
      <c r="T47" s="475"/>
      <c r="U47" s="475"/>
      <c r="V47" s="475"/>
      <c r="W47" s="475"/>
      <c r="X47" s="475"/>
      <c r="Y47" s="475"/>
      <c r="Z47" s="475"/>
      <c r="AA47" s="475"/>
      <c r="AB47" s="475"/>
      <c r="AC47" s="476"/>
    </row>
    <row r="48" spans="2:29">
      <c r="B48" s="568" t="s">
        <v>693</v>
      </c>
      <c r="C48" s="478"/>
      <c r="D48" s="478"/>
      <c r="E48" s="478"/>
      <c r="F48" s="478"/>
      <c r="G48" s="478"/>
      <c r="H48" s="478"/>
      <c r="I48" s="478"/>
      <c r="J48" s="478"/>
      <c r="K48" s="478"/>
      <c r="L48" s="478"/>
      <c r="M48" s="478"/>
      <c r="N48" s="478"/>
      <c r="O48" s="478"/>
      <c r="P48" s="478"/>
      <c r="Q48" s="478"/>
      <c r="R48" s="478"/>
      <c r="S48" s="478"/>
      <c r="T48" s="478"/>
      <c r="U48" s="478"/>
      <c r="V48" s="478"/>
      <c r="W48" s="478"/>
      <c r="X48" s="478"/>
      <c r="Y48" s="478"/>
      <c r="Z48" s="478"/>
      <c r="AA48" s="478"/>
      <c r="AB48" s="478"/>
      <c r="AC48" s="479"/>
    </row>
    <row r="49" spans="2:29">
      <c r="B49" s="480"/>
      <c r="C49" s="481"/>
      <c r="D49" s="481"/>
      <c r="E49" s="481"/>
      <c r="F49" s="481"/>
      <c r="G49" s="481"/>
      <c r="H49" s="481"/>
      <c r="I49" s="481"/>
      <c r="J49" s="481"/>
      <c r="K49" s="481"/>
      <c r="L49" s="481"/>
      <c r="M49" s="481"/>
      <c r="N49" s="481"/>
      <c r="O49" s="481"/>
      <c r="P49" s="481"/>
      <c r="Q49" s="481"/>
      <c r="R49" s="481"/>
      <c r="S49" s="481"/>
      <c r="T49" s="481"/>
      <c r="U49" s="481"/>
      <c r="V49" s="481"/>
      <c r="W49" s="481"/>
      <c r="X49" s="481"/>
      <c r="Y49" s="481"/>
      <c r="Z49" s="481"/>
      <c r="AA49" s="481"/>
      <c r="AB49" s="481"/>
      <c r="AC49" s="482"/>
    </row>
    <row r="50" spans="2:29" ht="16.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</sheetData>
  <mergeCells count="227">
    <mergeCell ref="W21:AC21"/>
    <mergeCell ref="W22:AC22"/>
    <mergeCell ref="W23:AC23"/>
    <mergeCell ref="K21:N21"/>
    <mergeCell ref="K22:N22"/>
    <mergeCell ref="K23:N23"/>
    <mergeCell ref="W27:AC27"/>
    <mergeCell ref="K30:N30"/>
    <mergeCell ref="O30:P30"/>
    <mergeCell ref="Q30:R30"/>
    <mergeCell ref="S30:T30"/>
    <mergeCell ref="U30:V30"/>
    <mergeCell ref="W30:AC30"/>
    <mergeCell ref="K28:N28"/>
    <mergeCell ref="O28:P28"/>
    <mergeCell ref="Q28:R28"/>
    <mergeCell ref="S28:T28"/>
    <mergeCell ref="U28:V28"/>
    <mergeCell ref="W28:AC28"/>
    <mergeCell ref="Q21:R21"/>
    <mergeCell ref="U21:V21"/>
    <mergeCell ref="Q22:R22"/>
    <mergeCell ref="U22:V22"/>
    <mergeCell ref="Q23:R23"/>
    <mergeCell ref="K43:N43"/>
    <mergeCell ref="O43:P43"/>
    <mergeCell ref="Q43:R43"/>
    <mergeCell ref="S43:T43"/>
    <mergeCell ref="U43:V43"/>
    <mergeCell ref="W43:AC43"/>
    <mergeCell ref="B2:D2"/>
    <mergeCell ref="E2:N2"/>
    <mergeCell ref="O2:Q2"/>
    <mergeCell ref="R2:AC2"/>
    <mergeCell ref="B3:D3"/>
    <mergeCell ref="E3:AC3"/>
    <mergeCell ref="B5:D5"/>
    <mergeCell ref="E5:N5"/>
    <mergeCell ref="O5:Q5"/>
    <mergeCell ref="R5:AC5"/>
    <mergeCell ref="C8:J8"/>
    <mergeCell ref="K8:N8"/>
    <mergeCell ref="O8:P8"/>
    <mergeCell ref="Q8:R8"/>
    <mergeCell ref="S8:T8"/>
    <mergeCell ref="U8:V8"/>
    <mergeCell ref="B4:D4"/>
    <mergeCell ref="E4:N4"/>
    <mergeCell ref="O4:Q4"/>
    <mergeCell ref="R4:AC4"/>
    <mergeCell ref="B6:AB6"/>
    <mergeCell ref="B7:E7"/>
    <mergeCell ref="F7:AC7"/>
    <mergeCell ref="K11:N11"/>
    <mergeCell ref="O11:P11"/>
    <mergeCell ref="Q11:R11"/>
    <mergeCell ref="S11:T11"/>
    <mergeCell ref="U11:V11"/>
    <mergeCell ref="W11:AC11"/>
    <mergeCell ref="W8:AC8"/>
    <mergeCell ref="K9:N9"/>
    <mergeCell ref="O9:P9"/>
    <mergeCell ref="Q9:R9"/>
    <mergeCell ref="S9:T9"/>
    <mergeCell ref="U9:V9"/>
    <mergeCell ref="W9:AC9"/>
    <mergeCell ref="K10:N10"/>
    <mergeCell ref="O10:P10"/>
    <mergeCell ref="Q10:R10"/>
    <mergeCell ref="S10:T10"/>
    <mergeCell ref="U10:V10"/>
    <mergeCell ref="W10:AC10"/>
    <mergeCell ref="K13:N13"/>
    <mergeCell ref="O13:P13"/>
    <mergeCell ref="Q13:R13"/>
    <mergeCell ref="S13:T13"/>
    <mergeCell ref="U13:V13"/>
    <mergeCell ref="W13:AC13"/>
    <mergeCell ref="K12:N12"/>
    <mergeCell ref="O12:P12"/>
    <mergeCell ref="Q12:R12"/>
    <mergeCell ref="S12:T12"/>
    <mergeCell ref="U12:V12"/>
    <mergeCell ref="W12:AC12"/>
    <mergeCell ref="K17:N17"/>
    <mergeCell ref="Q17:R17"/>
    <mergeCell ref="S17:T17"/>
    <mergeCell ref="U17:V17"/>
    <mergeCell ref="W17:AC17"/>
    <mergeCell ref="K15:N15"/>
    <mergeCell ref="Q15:R15"/>
    <mergeCell ref="S15:T15"/>
    <mergeCell ref="U15:V15"/>
    <mergeCell ref="W15:AC15"/>
    <mergeCell ref="W16:AC16"/>
    <mergeCell ref="U16:V16"/>
    <mergeCell ref="S16:T16"/>
    <mergeCell ref="Q16:R16"/>
    <mergeCell ref="K16:N16"/>
    <mergeCell ref="K20:N20"/>
    <mergeCell ref="Q20:R20"/>
    <mergeCell ref="S20:T20"/>
    <mergeCell ref="U20:V20"/>
    <mergeCell ref="W20:AC20"/>
    <mergeCell ref="K29:N29"/>
    <mergeCell ref="O29:P29"/>
    <mergeCell ref="Q29:R29"/>
    <mergeCell ref="S29:T29"/>
    <mergeCell ref="U29:V29"/>
    <mergeCell ref="W29:AC29"/>
    <mergeCell ref="K26:N26"/>
    <mergeCell ref="O26:P26"/>
    <mergeCell ref="Q26:R26"/>
    <mergeCell ref="S26:T26"/>
    <mergeCell ref="U26:V26"/>
    <mergeCell ref="W26:AC26"/>
    <mergeCell ref="K25:N25"/>
    <mergeCell ref="O25:P25"/>
    <mergeCell ref="Q25:R25"/>
    <mergeCell ref="S25:T25"/>
    <mergeCell ref="U25:V25"/>
    <mergeCell ref="W25:AC25"/>
    <mergeCell ref="K27:N27"/>
    <mergeCell ref="B36:AC36"/>
    <mergeCell ref="B37:E37"/>
    <mergeCell ref="F37:AC37"/>
    <mergeCell ref="C38:J38"/>
    <mergeCell ref="K38:N38"/>
    <mergeCell ref="O38:P38"/>
    <mergeCell ref="Q38:R38"/>
    <mergeCell ref="S38:T38"/>
    <mergeCell ref="U38:V38"/>
    <mergeCell ref="W38:AC38"/>
    <mergeCell ref="K40:N40"/>
    <mergeCell ref="O40:P40"/>
    <mergeCell ref="Q40:R40"/>
    <mergeCell ref="S40:T40"/>
    <mergeCell ref="U40:V40"/>
    <mergeCell ref="W40:AC40"/>
    <mergeCell ref="K39:N39"/>
    <mergeCell ref="O39:P39"/>
    <mergeCell ref="Q39:R39"/>
    <mergeCell ref="S39:T39"/>
    <mergeCell ref="U39:V39"/>
    <mergeCell ref="W39:AC39"/>
    <mergeCell ref="S42:T42"/>
    <mergeCell ref="U42:V42"/>
    <mergeCell ref="W42:AC42"/>
    <mergeCell ref="K41:N41"/>
    <mergeCell ref="O41:P41"/>
    <mergeCell ref="Q41:R41"/>
    <mergeCell ref="S41:T41"/>
    <mergeCell ref="U41:V41"/>
    <mergeCell ref="W41:AC41"/>
    <mergeCell ref="O14:P14"/>
    <mergeCell ref="K14:N14"/>
    <mergeCell ref="Q14:R14"/>
    <mergeCell ref="S14:T14"/>
    <mergeCell ref="U14:V14"/>
    <mergeCell ref="W14:AC14"/>
    <mergeCell ref="B46:AC46"/>
    <mergeCell ref="B47:AC47"/>
    <mergeCell ref="B48:AC49"/>
    <mergeCell ref="K45:N45"/>
    <mergeCell ref="O45:P45"/>
    <mergeCell ref="Q45:R45"/>
    <mergeCell ref="S45:T45"/>
    <mergeCell ref="U45:V45"/>
    <mergeCell ref="W45:AC45"/>
    <mergeCell ref="K44:N44"/>
    <mergeCell ref="O44:P44"/>
    <mergeCell ref="Q44:R44"/>
    <mergeCell ref="S44:T44"/>
    <mergeCell ref="U44:V44"/>
    <mergeCell ref="W44:AC44"/>
    <mergeCell ref="K42:N42"/>
    <mergeCell ref="O42:P42"/>
    <mergeCell ref="Q42:R42"/>
    <mergeCell ref="K18:N18"/>
    <mergeCell ref="Q18:R18"/>
    <mergeCell ref="S18:T18"/>
    <mergeCell ref="U18:V18"/>
    <mergeCell ref="W18:AC18"/>
    <mergeCell ref="K19:N19"/>
    <mergeCell ref="Q19:R19"/>
    <mergeCell ref="S19:T19"/>
    <mergeCell ref="U19:V19"/>
    <mergeCell ref="W19:AC19"/>
    <mergeCell ref="S21:T21"/>
    <mergeCell ref="S22:T22"/>
    <mergeCell ref="S23:T23"/>
    <mergeCell ref="S31:T31"/>
    <mergeCell ref="S32:T32"/>
    <mergeCell ref="Q24:R24"/>
    <mergeCell ref="S24:T24"/>
    <mergeCell ref="U24:V24"/>
    <mergeCell ref="U31:V31"/>
    <mergeCell ref="U23:V23"/>
    <mergeCell ref="Q31:R31"/>
    <mergeCell ref="Q32:R32"/>
    <mergeCell ref="U32:V32"/>
    <mergeCell ref="Q27:R27"/>
    <mergeCell ref="S27:T27"/>
    <mergeCell ref="U27:V27"/>
    <mergeCell ref="K35:N35"/>
    <mergeCell ref="Q35:R35"/>
    <mergeCell ref="S35:T35"/>
    <mergeCell ref="U35:V35"/>
    <mergeCell ref="W35:AC35"/>
    <mergeCell ref="O35:P35"/>
    <mergeCell ref="W24:AC24"/>
    <mergeCell ref="K34:N34"/>
    <mergeCell ref="Q34:R34"/>
    <mergeCell ref="S34:T34"/>
    <mergeCell ref="U34:V34"/>
    <mergeCell ref="W34:AC34"/>
    <mergeCell ref="K33:N33"/>
    <mergeCell ref="Q33:R33"/>
    <mergeCell ref="S33:T33"/>
    <mergeCell ref="U33:V33"/>
    <mergeCell ref="W33:AC33"/>
    <mergeCell ref="K31:N31"/>
    <mergeCell ref="K32:N32"/>
    <mergeCell ref="W31:AC31"/>
    <mergeCell ref="W32:AC32"/>
    <mergeCell ref="O32:P32"/>
    <mergeCell ref="O27:P27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FFE699"/>
    <pageSetUpPr fitToPage="1"/>
  </sheetPr>
  <dimension ref="A1:AC49"/>
  <sheetViews>
    <sheetView topLeftCell="A13" zoomScaleSheetLayoutView="100" zoomScalePageLayoutView="55" workbookViewId="0">
      <selection activeCell="AP40" sqref="AP40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ERP_인터페이스목록!C16</f>
        <v>출하예정 등록(마감후출하)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ERP_인터페이스목록!G16</f>
        <v>W2O_OB_CLO_REG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str">
        <f>ERP_인터페이스목록!J16</f>
        <v>/{bizSeq}/sif/w2o/add/so/pull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278</v>
      </c>
      <c r="C4" s="516"/>
      <c r="D4" s="516"/>
      <c r="E4" s="515" t="str">
        <f>ERP_인터페이스목록!L16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279</v>
      </c>
      <c r="P4" s="516"/>
      <c r="Q4" s="516"/>
      <c r="R4" s="515" t="s">
        <v>669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ERP_인터페이스목록!D16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ERP_인터페이스목록!E16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282</v>
      </c>
      <c r="C8" s="500" t="s">
        <v>47</v>
      </c>
      <c r="D8" s="500"/>
      <c r="E8" s="500"/>
      <c r="F8" s="500"/>
      <c r="G8" s="500"/>
      <c r="H8" s="500"/>
      <c r="I8" s="500"/>
      <c r="J8" s="500"/>
      <c r="K8" s="500" t="s">
        <v>93</v>
      </c>
      <c r="L8" s="500"/>
      <c r="M8" s="500"/>
      <c r="N8" s="500"/>
      <c r="O8" s="500" t="s">
        <v>49</v>
      </c>
      <c r="P8" s="500"/>
      <c r="Q8" s="500" t="s">
        <v>50</v>
      </c>
      <c r="R8" s="500"/>
      <c r="S8" s="500" t="s">
        <v>51</v>
      </c>
      <c r="T8" s="500"/>
      <c r="U8" s="500" t="s">
        <v>74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55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57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3.5" customHeight="1">
      <c r="B10" s="214">
        <v>1</v>
      </c>
      <c r="C10" s="216" t="s">
        <v>81</v>
      </c>
      <c r="D10" s="216"/>
      <c r="E10" s="217"/>
      <c r="F10" s="217"/>
      <c r="G10" s="217"/>
      <c r="H10" s="217"/>
      <c r="I10" s="217"/>
      <c r="J10" s="218"/>
      <c r="K10" s="501" t="s">
        <v>170</v>
      </c>
      <c r="L10" s="501"/>
      <c r="M10" s="501"/>
      <c r="N10" s="501"/>
      <c r="O10" s="467" t="s">
        <v>62</v>
      </c>
      <c r="P10" s="468"/>
      <c r="Q10" s="502">
        <v>20</v>
      </c>
      <c r="R10" s="502"/>
      <c r="S10" s="502"/>
      <c r="T10" s="502"/>
      <c r="U10" s="502" t="s">
        <v>57</v>
      </c>
      <c r="V10" s="502"/>
      <c r="W10" s="503" t="s">
        <v>353</v>
      </c>
      <c r="X10" s="501"/>
      <c r="Y10" s="501"/>
      <c r="Z10" s="501"/>
      <c r="AA10" s="501"/>
      <c r="AB10" s="501"/>
      <c r="AC10" s="501"/>
    </row>
    <row r="11" spans="1:29" ht="13.5" customHeight="1">
      <c r="B11" s="214">
        <v>1</v>
      </c>
      <c r="C11" s="226" t="s">
        <v>84</v>
      </c>
      <c r="D11" s="216"/>
      <c r="E11" s="217"/>
      <c r="F11" s="217"/>
      <c r="G11" s="217"/>
      <c r="H11" s="217"/>
      <c r="I11" s="217"/>
      <c r="J11" s="218"/>
      <c r="K11" s="483" t="s">
        <v>354</v>
      </c>
      <c r="L11" s="484"/>
      <c r="M11" s="484"/>
      <c r="N11" s="485"/>
      <c r="O11" s="467" t="s">
        <v>62</v>
      </c>
      <c r="P11" s="468"/>
      <c r="Q11" s="467">
        <v>100</v>
      </c>
      <c r="R11" s="468"/>
      <c r="S11" s="467"/>
      <c r="T11" s="468"/>
      <c r="U11" s="467" t="s">
        <v>57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234">
        <v>1</v>
      </c>
      <c r="C12" s="239" t="s">
        <v>1357</v>
      </c>
      <c r="D12" s="239"/>
      <c r="E12" s="232"/>
      <c r="F12" s="232"/>
      <c r="G12" s="232"/>
      <c r="H12" s="232"/>
      <c r="I12" s="232"/>
      <c r="J12" s="233"/>
      <c r="K12" s="497" t="s">
        <v>141</v>
      </c>
      <c r="L12" s="498"/>
      <c r="M12" s="498"/>
      <c r="N12" s="499"/>
      <c r="O12" s="472"/>
      <c r="P12" s="473"/>
      <c r="Q12" s="472"/>
      <c r="R12" s="473"/>
      <c r="S12" s="472"/>
      <c r="T12" s="473"/>
      <c r="U12" s="472"/>
      <c r="V12" s="473"/>
      <c r="W12" s="487"/>
      <c r="X12" s="488"/>
      <c r="Y12" s="488"/>
      <c r="Z12" s="488"/>
      <c r="AA12" s="488"/>
      <c r="AB12" s="488"/>
      <c r="AC12" s="489"/>
    </row>
    <row r="13" spans="1:29" ht="13.5" customHeight="1">
      <c r="B13" s="229">
        <v>2</v>
      </c>
      <c r="C13" s="238"/>
      <c r="D13" s="238" t="s">
        <v>130</v>
      </c>
      <c r="E13" s="230"/>
      <c r="F13" s="230"/>
      <c r="G13" s="230"/>
      <c r="H13" s="230"/>
      <c r="I13" s="230"/>
      <c r="J13" s="231"/>
      <c r="K13" s="501" t="s">
        <v>329</v>
      </c>
      <c r="L13" s="501"/>
      <c r="M13" s="501"/>
      <c r="N13" s="501"/>
      <c r="O13" s="494" t="s">
        <v>62</v>
      </c>
      <c r="P13" s="496"/>
      <c r="Q13" s="502">
        <v>20</v>
      </c>
      <c r="R13" s="502"/>
      <c r="S13" s="502" t="s">
        <v>63</v>
      </c>
      <c r="T13" s="502"/>
      <c r="U13" s="502" t="s">
        <v>57</v>
      </c>
      <c r="V13" s="502"/>
      <c r="W13" s="643" t="s">
        <v>344</v>
      </c>
      <c r="X13" s="644"/>
      <c r="Y13" s="644"/>
      <c r="Z13" s="644"/>
      <c r="AA13" s="644"/>
      <c r="AB13" s="644"/>
      <c r="AC13" s="645"/>
    </row>
    <row r="14" spans="1:29" ht="13.5" customHeight="1">
      <c r="B14" s="229">
        <v>2</v>
      </c>
      <c r="C14" s="237"/>
      <c r="D14" s="238" t="s">
        <v>691</v>
      </c>
      <c r="E14" s="230"/>
      <c r="F14" s="230"/>
      <c r="G14" s="230"/>
      <c r="H14" s="230"/>
      <c r="I14" s="230"/>
      <c r="J14" s="231"/>
      <c r="K14" s="483" t="s">
        <v>692</v>
      </c>
      <c r="L14" s="484"/>
      <c r="M14" s="484"/>
      <c r="N14" s="485"/>
      <c r="O14" s="467" t="s">
        <v>62</v>
      </c>
      <c r="P14" s="468"/>
      <c r="Q14" s="467">
        <v>50</v>
      </c>
      <c r="R14" s="468"/>
      <c r="S14" s="502" t="s">
        <v>63</v>
      </c>
      <c r="T14" s="502"/>
      <c r="U14" s="467" t="s">
        <v>57</v>
      </c>
      <c r="V14" s="468"/>
      <c r="W14" s="494" t="s">
        <v>674</v>
      </c>
      <c r="X14" s="495"/>
      <c r="Y14" s="495"/>
      <c r="Z14" s="495"/>
      <c r="AA14" s="495"/>
      <c r="AB14" s="495"/>
      <c r="AC14" s="496"/>
    </row>
    <row r="15" spans="1:29">
      <c r="B15" s="486"/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</row>
    <row r="16" spans="1:29" ht="16.5">
      <c r="B16" s="586" t="s">
        <v>125</v>
      </c>
      <c r="C16" s="587"/>
      <c r="D16" s="587"/>
      <c r="E16" s="588"/>
      <c r="F16" s="589"/>
      <c r="G16" s="590"/>
      <c r="H16" s="590"/>
      <c r="I16" s="590"/>
      <c r="J16" s="590"/>
      <c r="K16" s="590"/>
      <c r="L16" s="590"/>
      <c r="M16" s="590"/>
      <c r="N16" s="590"/>
      <c r="O16" s="590"/>
      <c r="P16" s="590"/>
      <c r="Q16" s="590"/>
      <c r="R16" s="590"/>
      <c r="S16" s="590"/>
      <c r="T16" s="590"/>
      <c r="U16" s="590"/>
      <c r="V16" s="590"/>
      <c r="W16" s="590"/>
      <c r="X16" s="590"/>
      <c r="Y16" s="590"/>
      <c r="Z16" s="590"/>
      <c r="AA16" s="590"/>
      <c r="AB16" s="590"/>
      <c r="AC16" s="591"/>
    </row>
    <row r="17" spans="2:29">
      <c r="B17" s="4" t="s">
        <v>282</v>
      </c>
      <c r="C17" s="512" t="s">
        <v>47</v>
      </c>
      <c r="D17" s="592"/>
      <c r="E17" s="592"/>
      <c r="F17" s="592"/>
      <c r="G17" s="592"/>
      <c r="H17" s="592"/>
      <c r="I17" s="592"/>
      <c r="J17" s="513"/>
      <c r="K17" s="512" t="s">
        <v>93</v>
      </c>
      <c r="L17" s="592"/>
      <c r="M17" s="592"/>
      <c r="N17" s="513"/>
      <c r="O17" s="512" t="s">
        <v>49</v>
      </c>
      <c r="P17" s="513"/>
      <c r="Q17" s="512" t="s">
        <v>50</v>
      </c>
      <c r="R17" s="513"/>
      <c r="S17" s="512" t="s">
        <v>51</v>
      </c>
      <c r="T17" s="513"/>
      <c r="U17" s="512" t="s">
        <v>74</v>
      </c>
      <c r="V17" s="513"/>
      <c r="W17" s="512" t="s">
        <v>53</v>
      </c>
      <c r="X17" s="592"/>
      <c r="Y17" s="592"/>
      <c r="Z17" s="592"/>
      <c r="AA17" s="592"/>
      <c r="AB17" s="592"/>
      <c r="AC17" s="513"/>
    </row>
    <row r="18" spans="2:29" ht="13.5" customHeight="1">
      <c r="B18" s="49">
        <v>1</v>
      </c>
      <c r="C18" s="50" t="s">
        <v>86</v>
      </c>
      <c r="D18" s="51"/>
      <c r="E18" s="51"/>
      <c r="F18" s="51"/>
      <c r="G18" s="51"/>
      <c r="H18" s="51"/>
      <c r="I18" s="51"/>
      <c r="J18" s="52"/>
      <c r="K18" s="490" t="s">
        <v>87</v>
      </c>
      <c r="L18" s="491"/>
      <c r="M18" s="491"/>
      <c r="N18" s="492"/>
      <c r="O18" s="467" t="s">
        <v>62</v>
      </c>
      <c r="P18" s="468"/>
      <c r="Q18" s="467">
        <v>20</v>
      </c>
      <c r="R18" s="468"/>
      <c r="S18" s="467"/>
      <c r="T18" s="468"/>
      <c r="U18" s="467" t="s">
        <v>57</v>
      </c>
      <c r="V18" s="468"/>
      <c r="W18" s="493" t="s">
        <v>352</v>
      </c>
      <c r="X18" s="484"/>
      <c r="Y18" s="484"/>
      <c r="Z18" s="484"/>
      <c r="AA18" s="484"/>
      <c r="AB18" s="484"/>
      <c r="AC18" s="485"/>
    </row>
    <row r="19" spans="2:29">
      <c r="B19" s="49">
        <v>1</v>
      </c>
      <c r="C19" s="50" t="s">
        <v>89</v>
      </c>
      <c r="D19" s="51"/>
      <c r="E19" s="51"/>
      <c r="F19" s="51"/>
      <c r="G19" s="51"/>
      <c r="H19" s="51"/>
      <c r="I19" s="51"/>
      <c r="J19" s="52"/>
      <c r="K19" s="494" t="s">
        <v>75</v>
      </c>
      <c r="L19" s="495"/>
      <c r="M19" s="495"/>
      <c r="N19" s="496"/>
      <c r="O19" s="467" t="s">
        <v>62</v>
      </c>
      <c r="P19" s="468"/>
      <c r="Q19" s="467">
        <v>4000</v>
      </c>
      <c r="R19" s="468"/>
      <c r="S19" s="467"/>
      <c r="T19" s="468"/>
      <c r="U19" s="467" t="s">
        <v>57</v>
      </c>
      <c r="V19" s="468"/>
      <c r="W19" s="483" t="s">
        <v>199</v>
      </c>
      <c r="X19" s="484"/>
      <c r="Y19" s="484"/>
      <c r="Z19" s="484"/>
      <c r="AA19" s="484"/>
      <c r="AB19" s="484"/>
      <c r="AC19" s="485"/>
    </row>
    <row r="20" spans="2:29">
      <c r="B20" s="58">
        <v>1</v>
      </c>
      <c r="C20" s="59" t="s">
        <v>90</v>
      </c>
      <c r="D20" s="59"/>
      <c r="E20" s="59"/>
      <c r="F20" s="59"/>
      <c r="G20" s="59"/>
      <c r="H20" s="59"/>
      <c r="I20" s="59"/>
      <c r="J20" s="60"/>
      <c r="K20" s="497" t="s">
        <v>141</v>
      </c>
      <c r="L20" s="498"/>
      <c r="M20" s="498"/>
      <c r="N20" s="499"/>
      <c r="O20" s="472"/>
      <c r="P20" s="473"/>
      <c r="Q20" s="472"/>
      <c r="R20" s="473"/>
      <c r="S20" s="472"/>
      <c r="T20" s="473"/>
      <c r="U20" s="472"/>
      <c r="V20" s="473"/>
      <c r="W20" s="487"/>
      <c r="X20" s="488"/>
      <c r="Y20" s="488"/>
      <c r="Z20" s="488"/>
      <c r="AA20" s="488"/>
      <c r="AB20" s="488"/>
      <c r="AC20" s="489"/>
    </row>
    <row r="21" spans="2:29">
      <c r="B21" s="178">
        <v>2</v>
      </c>
      <c r="C21" s="181"/>
      <c r="D21" s="181" t="s">
        <v>130</v>
      </c>
      <c r="E21" s="181"/>
      <c r="F21" s="181"/>
      <c r="G21" s="181"/>
      <c r="H21" s="181"/>
      <c r="I21" s="181"/>
      <c r="J21" s="182"/>
      <c r="K21" s="501" t="s">
        <v>329</v>
      </c>
      <c r="L21" s="501"/>
      <c r="M21" s="501"/>
      <c r="N21" s="501"/>
      <c r="O21" s="494" t="s">
        <v>62</v>
      </c>
      <c r="P21" s="496"/>
      <c r="Q21" s="502">
        <v>20</v>
      </c>
      <c r="R21" s="502"/>
      <c r="S21" s="502" t="s">
        <v>63</v>
      </c>
      <c r="T21" s="502"/>
      <c r="U21" s="502" t="s">
        <v>57</v>
      </c>
      <c r="V21" s="502"/>
      <c r="W21" s="643" t="s">
        <v>428</v>
      </c>
      <c r="X21" s="644"/>
      <c r="Y21" s="644"/>
      <c r="Z21" s="644"/>
      <c r="AA21" s="644"/>
      <c r="AB21" s="644"/>
      <c r="AC21" s="645"/>
    </row>
    <row r="22" spans="2:29">
      <c r="B22" s="178">
        <v>2</v>
      </c>
      <c r="C22" s="181"/>
      <c r="D22" s="181" t="s">
        <v>124</v>
      </c>
      <c r="E22" s="181"/>
      <c r="F22" s="181"/>
      <c r="G22" s="181"/>
      <c r="H22" s="181"/>
      <c r="I22" s="181"/>
      <c r="J22" s="182"/>
      <c r="K22" s="483" t="s">
        <v>463</v>
      </c>
      <c r="L22" s="484"/>
      <c r="M22" s="484"/>
      <c r="N22" s="485"/>
      <c r="O22" s="494" t="s">
        <v>62</v>
      </c>
      <c r="P22" s="496"/>
      <c r="Q22" s="467">
        <v>50</v>
      </c>
      <c r="R22" s="468"/>
      <c r="S22" s="467"/>
      <c r="T22" s="468"/>
      <c r="U22" s="467" t="s">
        <v>57</v>
      </c>
      <c r="V22" s="468"/>
      <c r="W22" s="641" t="s">
        <v>464</v>
      </c>
      <c r="X22" s="642"/>
      <c r="Y22" s="642"/>
      <c r="Z22" s="642"/>
      <c r="AA22" s="642"/>
      <c r="AB22" s="642"/>
      <c r="AC22" s="642"/>
    </row>
    <row r="23" spans="2:29">
      <c r="B23" s="178">
        <v>2</v>
      </c>
      <c r="C23" s="180"/>
      <c r="D23" s="181" t="s">
        <v>691</v>
      </c>
      <c r="E23" s="181"/>
      <c r="F23" s="181"/>
      <c r="G23" s="181"/>
      <c r="H23" s="181"/>
      <c r="I23" s="181"/>
      <c r="J23" s="182"/>
      <c r="K23" s="483" t="s">
        <v>692</v>
      </c>
      <c r="L23" s="484"/>
      <c r="M23" s="484"/>
      <c r="N23" s="485"/>
      <c r="O23" s="467" t="s">
        <v>62</v>
      </c>
      <c r="P23" s="468"/>
      <c r="Q23" s="467">
        <v>50</v>
      </c>
      <c r="R23" s="468"/>
      <c r="S23" s="502" t="s">
        <v>63</v>
      </c>
      <c r="T23" s="502"/>
      <c r="U23" s="467" t="s">
        <v>455</v>
      </c>
      <c r="V23" s="468"/>
      <c r="W23" s="494" t="s">
        <v>674</v>
      </c>
      <c r="X23" s="495"/>
      <c r="Y23" s="495"/>
      <c r="Z23" s="495"/>
      <c r="AA23" s="495"/>
      <c r="AB23" s="495"/>
      <c r="AC23" s="496"/>
    </row>
    <row r="24" spans="2:29">
      <c r="B24" s="184">
        <v>2</v>
      </c>
      <c r="C24" s="181"/>
      <c r="D24" s="181" t="s">
        <v>349</v>
      </c>
      <c r="E24" s="181"/>
      <c r="F24" s="181"/>
      <c r="G24" s="181"/>
      <c r="H24" s="181"/>
      <c r="I24" s="181"/>
      <c r="J24" s="182"/>
      <c r="K24" s="483" t="s">
        <v>432</v>
      </c>
      <c r="L24" s="484"/>
      <c r="M24" s="484"/>
      <c r="N24" s="485"/>
      <c r="O24" s="188" t="s">
        <v>62</v>
      </c>
      <c r="P24" s="188"/>
      <c r="Q24" s="467">
        <v>8</v>
      </c>
      <c r="R24" s="468"/>
      <c r="S24" s="467"/>
      <c r="T24" s="468"/>
      <c r="U24" s="467" t="s">
        <v>57</v>
      </c>
      <c r="V24" s="468"/>
      <c r="W24" s="494" t="s">
        <v>350</v>
      </c>
      <c r="X24" s="495"/>
      <c r="Y24" s="495"/>
      <c r="Z24" s="495"/>
      <c r="AA24" s="495"/>
      <c r="AB24" s="495"/>
      <c r="AC24" s="496"/>
    </row>
    <row r="25" spans="2:29">
      <c r="B25" s="184">
        <v>2</v>
      </c>
      <c r="C25" s="181"/>
      <c r="D25" s="181" t="s">
        <v>351</v>
      </c>
      <c r="E25" s="181"/>
      <c r="F25" s="181"/>
      <c r="G25" s="181"/>
      <c r="H25" s="181"/>
      <c r="I25" s="181"/>
      <c r="J25" s="182"/>
      <c r="K25" s="483" t="s">
        <v>433</v>
      </c>
      <c r="L25" s="484"/>
      <c r="M25" s="484"/>
      <c r="N25" s="485"/>
      <c r="O25" s="188" t="s">
        <v>62</v>
      </c>
      <c r="P25" s="188"/>
      <c r="Q25" s="502">
        <v>100</v>
      </c>
      <c r="R25" s="502"/>
      <c r="S25" s="502"/>
      <c r="T25" s="502"/>
      <c r="U25" s="502"/>
      <c r="V25" s="502"/>
      <c r="W25" s="641"/>
      <c r="X25" s="642"/>
      <c r="Y25" s="642"/>
      <c r="Z25" s="642"/>
      <c r="AA25" s="642"/>
      <c r="AB25" s="642"/>
      <c r="AC25" s="642"/>
    </row>
    <row r="26" spans="2:29">
      <c r="B26" s="184">
        <v>2</v>
      </c>
      <c r="C26" s="181"/>
      <c r="D26" s="181" t="s">
        <v>461</v>
      </c>
      <c r="E26" s="181"/>
      <c r="F26" s="181"/>
      <c r="G26" s="181"/>
      <c r="H26" s="181"/>
      <c r="I26" s="181"/>
      <c r="J26" s="182"/>
      <c r="K26" s="483" t="s">
        <v>434</v>
      </c>
      <c r="L26" s="484"/>
      <c r="M26" s="484"/>
      <c r="N26" s="485"/>
      <c r="O26" s="188" t="s">
        <v>62</v>
      </c>
      <c r="P26" s="188"/>
      <c r="Q26" s="502" t="s">
        <v>462</v>
      </c>
      <c r="R26" s="502"/>
      <c r="S26" s="502"/>
      <c r="T26" s="502"/>
      <c r="U26" s="502"/>
      <c r="V26" s="502"/>
      <c r="W26" s="641" t="s">
        <v>668</v>
      </c>
      <c r="X26" s="642"/>
      <c r="Y26" s="642"/>
      <c r="Z26" s="642"/>
      <c r="AA26" s="642"/>
      <c r="AB26" s="642"/>
      <c r="AC26" s="642"/>
    </row>
    <row r="27" spans="2:29">
      <c r="B27" s="240">
        <v>2</v>
      </c>
      <c r="C27" s="56"/>
      <c r="D27" s="56" t="s">
        <v>1374</v>
      </c>
      <c r="E27" s="56"/>
      <c r="F27" s="56"/>
      <c r="G27" s="56"/>
      <c r="H27" s="56"/>
      <c r="I27" s="56"/>
      <c r="J27" s="57"/>
      <c r="K27" s="533" t="s">
        <v>1377</v>
      </c>
      <c r="L27" s="534"/>
      <c r="M27" s="534"/>
      <c r="N27" s="535"/>
      <c r="O27" s="338" t="s">
        <v>1378</v>
      </c>
      <c r="P27" s="338"/>
      <c r="Q27" s="527">
        <v>10</v>
      </c>
      <c r="R27" s="527"/>
      <c r="S27" s="527"/>
      <c r="T27" s="527"/>
      <c r="U27" s="527" t="s">
        <v>57</v>
      </c>
      <c r="V27" s="527"/>
      <c r="W27" s="626"/>
      <c r="X27" s="627"/>
      <c r="Y27" s="627"/>
      <c r="Z27" s="627"/>
      <c r="AA27" s="627"/>
      <c r="AB27" s="627"/>
      <c r="AC27" s="627"/>
    </row>
    <row r="28" spans="2:29">
      <c r="B28" s="240">
        <v>2</v>
      </c>
      <c r="C28" s="56"/>
      <c r="D28" s="56" t="s">
        <v>1375</v>
      </c>
      <c r="E28" s="56"/>
      <c r="F28" s="56"/>
      <c r="G28" s="56"/>
      <c r="H28" s="56"/>
      <c r="I28" s="56"/>
      <c r="J28" s="57"/>
      <c r="K28" s="533" t="s">
        <v>1376</v>
      </c>
      <c r="L28" s="534"/>
      <c r="M28" s="534"/>
      <c r="N28" s="535"/>
      <c r="O28" s="338" t="s">
        <v>62</v>
      </c>
      <c r="P28" s="338"/>
      <c r="Q28" s="527">
        <v>50</v>
      </c>
      <c r="R28" s="527"/>
      <c r="S28" s="527"/>
      <c r="T28" s="527"/>
      <c r="U28" s="527" t="s">
        <v>1379</v>
      </c>
      <c r="V28" s="527"/>
      <c r="W28" s="626"/>
      <c r="X28" s="627"/>
      <c r="Y28" s="627"/>
      <c r="Z28" s="627"/>
      <c r="AA28" s="627"/>
      <c r="AB28" s="627"/>
      <c r="AC28" s="627"/>
    </row>
    <row r="29" spans="2:29">
      <c r="B29" s="178">
        <v>2</v>
      </c>
      <c r="C29" s="56"/>
      <c r="D29" s="56" t="s">
        <v>255</v>
      </c>
      <c r="E29" s="56"/>
      <c r="F29" s="56"/>
      <c r="G29" s="56"/>
      <c r="H29" s="56"/>
      <c r="I29" s="56"/>
      <c r="J29" s="57"/>
      <c r="K29" s="533" t="s">
        <v>72</v>
      </c>
      <c r="L29" s="534"/>
      <c r="M29" s="534"/>
      <c r="N29" s="535"/>
      <c r="O29" s="109" t="s">
        <v>62</v>
      </c>
      <c r="P29" s="57"/>
      <c r="Q29" s="531">
        <v>1000</v>
      </c>
      <c r="R29" s="532"/>
      <c r="S29" s="531"/>
      <c r="T29" s="532"/>
      <c r="U29" s="531"/>
      <c r="V29" s="532"/>
      <c r="W29" s="599"/>
      <c r="X29" s="600"/>
      <c r="Y29" s="600"/>
      <c r="Z29" s="600"/>
      <c r="AA29" s="600"/>
      <c r="AB29" s="600"/>
      <c r="AC29" s="601"/>
    </row>
    <row r="30" spans="2:29">
      <c r="B30" s="382">
        <v>2</v>
      </c>
      <c r="C30" s="56"/>
      <c r="D30" s="56" t="s">
        <v>3290</v>
      </c>
      <c r="E30" s="56"/>
      <c r="F30" s="56"/>
      <c r="G30" s="56"/>
      <c r="H30" s="56"/>
      <c r="I30" s="56"/>
      <c r="J30" s="57"/>
      <c r="K30" s="533" t="s">
        <v>3291</v>
      </c>
      <c r="L30" s="534"/>
      <c r="M30" s="534"/>
      <c r="N30" s="535"/>
      <c r="O30" s="109" t="s">
        <v>62</v>
      </c>
      <c r="P30" s="57"/>
      <c r="Q30" s="531">
        <v>7</v>
      </c>
      <c r="R30" s="532"/>
      <c r="S30" s="531"/>
      <c r="T30" s="532"/>
      <c r="U30" s="606" t="s">
        <v>57</v>
      </c>
      <c r="V30" s="607"/>
      <c r="W30" s="599"/>
      <c r="X30" s="600"/>
      <c r="Y30" s="600"/>
      <c r="Z30" s="600"/>
      <c r="AA30" s="600"/>
      <c r="AB30" s="600"/>
      <c r="AC30" s="601"/>
    </row>
    <row r="31" spans="2:29">
      <c r="B31" s="382">
        <v>2</v>
      </c>
      <c r="C31" s="56"/>
      <c r="D31" s="56" t="s">
        <v>3283</v>
      </c>
      <c r="E31" s="56"/>
      <c r="F31" s="56"/>
      <c r="G31" s="56"/>
      <c r="H31" s="56"/>
      <c r="I31" s="56"/>
      <c r="J31" s="57"/>
      <c r="K31" s="533" t="s">
        <v>3292</v>
      </c>
      <c r="L31" s="534"/>
      <c r="M31" s="534"/>
      <c r="N31" s="535"/>
      <c r="O31" s="109" t="s">
        <v>62</v>
      </c>
      <c r="P31" s="57"/>
      <c r="Q31" s="531">
        <v>10</v>
      </c>
      <c r="R31" s="532"/>
      <c r="S31" s="531"/>
      <c r="T31" s="532"/>
      <c r="U31" s="606" t="s">
        <v>57</v>
      </c>
      <c r="V31" s="607"/>
      <c r="W31" s="599" t="s">
        <v>3328</v>
      </c>
      <c r="X31" s="600"/>
      <c r="Y31" s="600"/>
      <c r="Z31" s="600"/>
      <c r="AA31" s="600"/>
      <c r="AB31" s="600"/>
      <c r="AC31" s="601"/>
    </row>
    <row r="32" spans="2:29">
      <c r="B32" s="382">
        <v>2</v>
      </c>
      <c r="C32" s="56"/>
      <c r="D32" s="56" t="s">
        <v>3293</v>
      </c>
      <c r="E32" s="56"/>
      <c r="F32" s="56"/>
      <c r="G32" s="56"/>
      <c r="H32" s="56"/>
      <c r="I32" s="56"/>
      <c r="J32" s="57"/>
      <c r="K32" s="533" t="s">
        <v>3294</v>
      </c>
      <c r="L32" s="534"/>
      <c r="M32" s="534"/>
      <c r="N32" s="535"/>
      <c r="O32" s="109" t="s">
        <v>62</v>
      </c>
      <c r="P32" s="57"/>
      <c r="Q32" s="531">
        <v>4</v>
      </c>
      <c r="R32" s="532"/>
      <c r="S32" s="531"/>
      <c r="T32" s="532"/>
      <c r="U32" s="606" t="s">
        <v>57</v>
      </c>
      <c r="V32" s="607"/>
      <c r="W32" s="599"/>
      <c r="X32" s="600"/>
      <c r="Y32" s="600"/>
      <c r="Z32" s="600"/>
      <c r="AA32" s="600"/>
      <c r="AB32" s="600"/>
      <c r="AC32" s="601"/>
    </row>
    <row r="33" spans="2:29">
      <c r="B33" s="406">
        <v>2</v>
      </c>
      <c r="C33" s="405"/>
      <c r="D33" s="431" t="s">
        <v>3337</v>
      </c>
      <c r="E33" s="431"/>
      <c r="F33" s="431"/>
      <c r="G33" s="431"/>
      <c r="H33" s="431"/>
      <c r="I33" s="431"/>
      <c r="J33" s="432"/>
      <c r="K33" s="428" t="s">
        <v>3338</v>
      </c>
      <c r="L33" s="429"/>
      <c r="M33" s="429"/>
      <c r="N33" s="430"/>
      <c r="O33" s="436" t="s">
        <v>95</v>
      </c>
      <c r="P33" s="432"/>
      <c r="Q33" s="467">
        <v>8</v>
      </c>
      <c r="R33" s="468"/>
      <c r="S33" s="467"/>
      <c r="T33" s="468"/>
      <c r="U33" s="467" t="s">
        <v>57</v>
      </c>
      <c r="V33" s="468"/>
      <c r="W33" s="494" t="s">
        <v>350</v>
      </c>
      <c r="X33" s="495"/>
      <c r="Y33" s="495"/>
      <c r="Z33" s="495"/>
      <c r="AA33" s="495"/>
      <c r="AB33" s="495"/>
      <c r="AC33" s="496"/>
    </row>
    <row r="34" spans="2:29">
      <c r="B34" s="187">
        <v>2</v>
      </c>
      <c r="C34" s="185"/>
      <c r="D34" s="185" t="s">
        <v>135</v>
      </c>
      <c r="E34" s="183"/>
      <c r="F34" s="183"/>
      <c r="G34" s="185"/>
      <c r="H34" s="185"/>
      <c r="I34" s="185"/>
      <c r="J34" s="186"/>
      <c r="K34" s="593" t="s">
        <v>59</v>
      </c>
      <c r="L34" s="594"/>
      <c r="M34" s="594"/>
      <c r="N34" s="595"/>
      <c r="O34" s="611"/>
      <c r="P34" s="611"/>
      <c r="Q34" s="611"/>
      <c r="R34" s="611"/>
      <c r="S34" s="611"/>
      <c r="T34" s="611"/>
      <c r="U34" s="611"/>
      <c r="V34" s="611"/>
      <c r="W34" s="634"/>
      <c r="X34" s="634"/>
      <c r="Y34" s="634"/>
      <c r="Z34" s="634"/>
      <c r="AA34" s="634"/>
      <c r="AB34" s="634"/>
      <c r="AC34" s="634"/>
    </row>
    <row r="35" spans="2:29">
      <c r="B35" s="178">
        <v>3</v>
      </c>
      <c r="C35" s="179"/>
      <c r="D35" s="176"/>
      <c r="E35" s="181" t="s">
        <v>131</v>
      </c>
      <c r="F35" s="181"/>
      <c r="G35" s="176"/>
      <c r="H35" s="176"/>
      <c r="I35" s="176"/>
      <c r="J35" s="177"/>
      <c r="K35" s="483" t="s">
        <v>332</v>
      </c>
      <c r="L35" s="484"/>
      <c r="M35" s="484"/>
      <c r="N35" s="485"/>
      <c r="O35" s="467" t="s">
        <v>62</v>
      </c>
      <c r="P35" s="468"/>
      <c r="Q35" s="502">
        <v>20</v>
      </c>
      <c r="R35" s="502"/>
      <c r="S35" s="502" t="s">
        <v>63</v>
      </c>
      <c r="T35" s="502"/>
      <c r="U35" s="502" t="s">
        <v>57</v>
      </c>
      <c r="V35" s="502"/>
      <c r="W35" s="464" t="s">
        <v>333</v>
      </c>
      <c r="X35" s="465"/>
      <c r="Y35" s="465"/>
      <c r="Z35" s="465"/>
      <c r="AA35" s="465"/>
      <c r="AB35" s="465"/>
      <c r="AC35" s="466"/>
    </row>
    <row r="36" spans="2:29">
      <c r="B36" s="178">
        <v>3</v>
      </c>
      <c r="C36" s="179"/>
      <c r="D36" s="176"/>
      <c r="E36" s="181" t="s">
        <v>60</v>
      </c>
      <c r="F36" s="181"/>
      <c r="G36" s="176"/>
      <c r="H36" s="176"/>
      <c r="I36" s="176"/>
      <c r="J36" s="177"/>
      <c r="K36" s="483" t="s">
        <v>65</v>
      </c>
      <c r="L36" s="484"/>
      <c r="M36" s="484"/>
      <c r="N36" s="485"/>
      <c r="O36" s="502" t="s">
        <v>62</v>
      </c>
      <c r="P36" s="502"/>
      <c r="Q36" s="527">
        <v>50</v>
      </c>
      <c r="R36" s="527"/>
      <c r="S36" s="467"/>
      <c r="T36" s="468"/>
      <c r="U36" s="502" t="s">
        <v>57</v>
      </c>
      <c r="V36" s="502"/>
      <c r="W36" s="483"/>
      <c r="X36" s="484"/>
      <c r="Y36" s="484"/>
      <c r="Z36" s="484"/>
      <c r="AA36" s="484"/>
      <c r="AB36" s="484"/>
      <c r="AC36" s="485"/>
    </row>
    <row r="37" spans="2:29">
      <c r="B37" s="178">
        <v>3</v>
      </c>
      <c r="C37" s="179"/>
      <c r="D37" s="176"/>
      <c r="E37" s="176" t="s">
        <v>132</v>
      </c>
      <c r="F37" s="176"/>
      <c r="G37" s="176"/>
      <c r="H37" s="176"/>
      <c r="I37" s="176"/>
      <c r="J37" s="177"/>
      <c r="K37" s="608" t="s">
        <v>133</v>
      </c>
      <c r="L37" s="609"/>
      <c r="M37" s="609"/>
      <c r="N37" s="610"/>
      <c r="O37" s="502" t="s">
        <v>56</v>
      </c>
      <c r="P37" s="502"/>
      <c r="Q37" s="467">
        <v>10</v>
      </c>
      <c r="R37" s="468"/>
      <c r="S37" s="502"/>
      <c r="T37" s="502"/>
      <c r="U37" s="502" t="s">
        <v>57</v>
      </c>
      <c r="V37" s="502"/>
      <c r="W37" s="483" t="s">
        <v>469</v>
      </c>
      <c r="X37" s="484"/>
      <c r="Y37" s="484"/>
      <c r="Z37" s="484"/>
      <c r="AA37" s="484"/>
      <c r="AB37" s="484"/>
      <c r="AC37" s="485"/>
    </row>
    <row r="38" spans="2:29">
      <c r="B38" s="178">
        <v>3</v>
      </c>
      <c r="C38" s="179"/>
      <c r="D38" s="176"/>
      <c r="E38" s="176" t="s">
        <v>654</v>
      </c>
      <c r="F38" s="176"/>
      <c r="G38" s="176"/>
      <c r="H38" s="176"/>
      <c r="I38" s="176"/>
      <c r="J38" s="177"/>
      <c r="K38" s="608" t="s">
        <v>652</v>
      </c>
      <c r="L38" s="609"/>
      <c r="M38" s="609"/>
      <c r="N38" s="610"/>
      <c r="O38" s="502" t="s">
        <v>56</v>
      </c>
      <c r="P38" s="502"/>
      <c r="Q38" s="467">
        <v>10</v>
      </c>
      <c r="R38" s="468"/>
      <c r="S38" s="502"/>
      <c r="T38" s="502"/>
      <c r="U38" s="502"/>
      <c r="V38" s="502"/>
      <c r="W38" s="483"/>
      <c r="X38" s="484"/>
      <c r="Y38" s="484"/>
      <c r="Z38" s="484"/>
      <c r="AA38" s="484"/>
      <c r="AB38" s="484"/>
      <c r="AC38" s="485"/>
    </row>
    <row r="39" spans="2:29">
      <c r="B39" s="178">
        <v>3</v>
      </c>
      <c r="C39" s="179"/>
      <c r="D39" s="176"/>
      <c r="E39" s="407" t="s">
        <v>673</v>
      </c>
      <c r="F39" s="407"/>
      <c r="G39" s="407"/>
      <c r="H39" s="407"/>
      <c r="I39" s="407"/>
      <c r="J39" s="408"/>
      <c r="K39" s="602" t="s">
        <v>671</v>
      </c>
      <c r="L39" s="603"/>
      <c r="M39" s="603"/>
      <c r="N39" s="604"/>
      <c r="O39" s="527" t="s">
        <v>56</v>
      </c>
      <c r="P39" s="527"/>
      <c r="Q39" s="531">
        <v>10</v>
      </c>
      <c r="R39" s="532"/>
      <c r="S39" s="527"/>
      <c r="T39" s="527"/>
      <c r="U39" s="527"/>
      <c r="V39" s="527"/>
      <c r="W39" s="533"/>
      <c r="X39" s="534"/>
      <c r="Y39" s="534"/>
      <c r="Z39" s="534"/>
      <c r="AA39" s="534"/>
      <c r="AB39" s="534"/>
      <c r="AC39" s="535"/>
    </row>
    <row r="40" spans="2:29">
      <c r="B40" s="382">
        <v>3</v>
      </c>
      <c r="C40" s="384"/>
      <c r="D40" s="108"/>
      <c r="E40" s="56" t="s">
        <v>3286</v>
      </c>
      <c r="F40" s="56"/>
      <c r="G40" s="56"/>
      <c r="H40" s="56"/>
      <c r="I40" s="56"/>
      <c r="J40" s="57"/>
      <c r="K40" s="602" t="s">
        <v>2004</v>
      </c>
      <c r="L40" s="603"/>
      <c r="M40" s="603"/>
      <c r="N40" s="604"/>
      <c r="O40" s="109" t="s">
        <v>62</v>
      </c>
      <c r="P40" s="57"/>
      <c r="Q40" s="531">
        <v>3</v>
      </c>
      <c r="R40" s="532"/>
      <c r="S40" s="531"/>
      <c r="T40" s="532"/>
      <c r="U40" s="527" t="s">
        <v>3330</v>
      </c>
      <c r="V40" s="527"/>
      <c r="W40" s="640" t="s">
        <v>2003</v>
      </c>
      <c r="X40" s="534"/>
      <c r="Y40" s="534"/>
      <c r="Z40" s="534"/>
      <c r="AA40" s="534"/>
      <c r="AB40" s="534"/>
      <c r="AC40" s="535"/>
    </row>
    <row r="41" spans="2:29">
      <c r="B41" s="382">
        <v>3</v>
      </c>
      <c r="C41" s="384"/>
      <c r="D41" s="108"/>
      <c r="E41" s="56" t="s">
        <v>3287</v>
      </c>
      <c r="F41" s="56"/>
      <c r="G41" s="56"/>
      <c r="H41" s="56"/>
      <c r="I41" s="56"/>
      <c r="J41" s="57"/>
      <c r="K41" s="602" t="s">
        <v>2013</v>
      </c>
      <c r="L41" s="603"/>
      <c r="M41" s="603"/>
      <c r="N41" s="604"/>
      <c r="O41" s="527" t="s">
        <v>56</v>
      </c>
      <c r="P41" s="527"/>
      <c r="Q41" s="531">
        <v>5</v>
      </c>
      <c r="R41" s="532"/>
      <c r="S41" s="531"/>
      <c r="T41" s="532"/>
      <c r="U41" s="606" t="s">
        <v>3331</v>
      </c>
      <c r="V41" s="607"/>
      <c r="W41" s="533">
        <v>1</v>
      </c>
      <c r="X41" s="534"/>
      <c r="Y41" s="534"/>
      <c r="Z41" s="534"/>
      <c r="AA41" s="534"/>
      <c r="AB41" s="534"/>
      <c r="AC41" s="535"/>
    </row>
    <row r="42" spans="2:29">
      <c r="B42" s="382">
        <v>3</v>
      </c>
      <c r="C42" s="383"/>
      <c r="D42" s="381"/>
      <c r="E42" s="407" t="s">
        <v>3288</v>
      </c>
      <c r="F42" s="407"/>
      <c r="G42" s="407"/>
      <c r="H42" s="407"/>
      <c r="I42" s="407"/>
      <c r="J42" s="408"/>
      <c r="K42" s="602" t="s">
        <v>3289</v>
      </c>
      <c r="L42" s="603"/>
      <c r="M42" s="603"/>
      <c r="N42" s="604"/>
      <c r="O42" s="109" t="s">
        <v>62</v>
      </c>
      <c r="P42" s="57"/>
      <c r="Q42" s="531">
        <v>3</v>
      </c>
      <c r="R42" s="532"/>
      <c r="S42" s="527"/>
      <c r="T42" s="527"/>
      <c r="U42" s="527" t="s">
        <v>57</v>
      </c>
      <c r="V42" s="527"/>
      <c r="W42" s="533"/>
      <c r="X42" s="534"/>
      <c r="Y42" s="534"/>
      <c r="Z42" s="534"/>
      <c r="AA42" s="534"/>
      <c r="AB42" s="534"/>
      <c r="AC42" s="535"/>
    </row>
    <row r="43" spans="2:29">
      <c r="B43" s="382">
        <v>3</v>
      </c>
      <c r="C43" s="383"/>
      <c r="D43" s="381"/>
      <c r="E43" s="407" t="s">
        <v>3329</v>
      </c>
      <c r="F43" s="407"/>
      <c r="G43" s="407"/>
      <c r="H43" s="407"/>
      <c r="I43" s="407"/>
      <c r="J43" s="408"/>
      <c r="K43" s="602" t="s">
        <v>3298</v>
      </c>
      <c r="L43" s="603"/>
      <c r="M43" s="603"/>
      <c r="N43" s="604"/>
      <c r="O43" s="109" t="s">
        <v>62</v>
      </c>
      <c r="P43" s="57"/>
      <c r="Q43" s="531">
        <v>3</v>
      </c>
      <c r="R43" s="532"/>
      <c r="S43" s="527"/>
      <c r="T43" s="527"/>
      <c r="U43" s="527" t="s">
        <v>57</v>
      </c>
      <c r="V43" s="527"/>
      <c r="W43" s="533"/>
      <c r="X43" s="534"/>
      <c r="Y43" s="534"/>
      <c r="Z43" s="534"/>
      <c r="AA43" s="534"/>
      <c r="AB43" s="534"/>
      <c r="AC43" s="535"/>
    </row>
    <row r="44" spans="2:29">
      <c r="B44" s="433">
        <v>3</v>
      </c>
      <c r="C44" s="428"/>
      <c r="D44" s="429"/>
      <c r="E44" s="437" t="s">
        <v>3388</v>
      </c>
      <c r="F44" s="437"/>
      <c r="G44" s="437"/>
      <c r="H44" s="437"/>
      <c r="I44" s="437"/>
      <c r="J44" s="438"/>
      <c r="K44" s="608" t="s">
        <v>3389</v>
      </c>
      <c r="L44" s="609"/>
      <c r="M44" s="609"/>
      <c r="N44" s="610"/>
      <c r="O44" s="467" t="s">
        <v>833</v>
      </c>
      <c r="P44" s="468"/>
      <c r="Q44" s="467">
        <v>2</v>
      </c>
      <c r="R44" s="468"/>
      <c r="S44" s="502"/>
      <c r="T44" s="502"/>
      <c r="U44" s="502" t="s">
        <v>57</v>
      </c>
      <c r="V44" s="502"/>
      <c r="W44" s="483" t="s">
        <v>3390</v>
      </c>
      <c r="X44" s="484"/>
      <c r="Y44" s="484"/>
      <c r="Z44" s="484"/>
      <c r="AA44" s="484"/>
      <c r="AB44" s="484"/>
      <c r="AC44" s="485"/>
    </row>
    <row r="45" spans="2:29" ht="16.5"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25"/>
      <c r="AB45" s="625"/>
      <c r="AC45" s="625"/>
    </row>
    <row r="46" spans="2:29">
      <c r="B46" s="474" t="s">
        <v>72</v>
      </c>
      <c r="C46" s="475"/>
      <c r="D46" s="475"/>
      <c r="E46" s="475"/>
      <c r="F46" s="475"/>
      <c r="G46" s="475"/>
      <c r="H46" s="475"/>
      <c r="I46" s="475"/>
      <c r="J46" s="475"/>
      <c r="K46" s="475"/>
      <c r="L46" s="475"/>
      <c r="M46" s="475"/>
      <c r="N46" s="475"/>
      <c r="O46" s="475"/>
      <c r="P46" s="475"/>
      <c r="Q46" s="475"/>
      <c r="R46" s="475"/>
      <c r="S46" s="475"/>
      <c r="T46" s="475"/>
      <c r="U46" s="475"/>
      <c r="V46" s="475"/>
      <c r="W46" s="475"/>
      <c r="X46" s="475"/>
      <c r="Y46" s="475"/>
      <c r="Z46" s="475"/>
      <c r="AA46" s="475"/>
      <c r="AB46" s="475"/>
      <c r="AC46" s="476"/>
    </row>
    <row r="47" spans="2:29">
      <c r="B47" s="568" t="s">
        <v>3392</v>
      </c>
      <c r="C47" s="478"/>
      <c r="D47" s="478"/>
      <c r="E47" s="478"/>
      <c r="F47" s="478"/>
      <c r="G47" s="478"/>
      <c r="H47" s="478"/>
      <c r="I47" s="478"/>
      <c r="J47" s="478"/>
      <c r="K47" s="478"/>
      <c r="L47" s="478"/>
      <c r="M47" s="478"/>
      <c r="N47" s="478"/>
      <c r="O47" s="478"/>
      <c r="P47" s="478"/>
      <c r="Q47" s="478"/>
      <c r="R47" s="478"/>
      <c r="S47" s="478"/>
      <c r="T47" s="478"/>
      <c r="U47" s="478"/>
      <c r="V47" s="478"/>
      <c r="W47" s="478"/>
      <c r="X47" s="478"/>
      <c r="Y47" s="478"/>
      <c r="Z47" s="478"/>
      <c r="AA47" s="478"/>
      <c r="AB47" s="478"/>
      <c r="AC47" s="479"/>
    </row>
    <row r="48" spans="2:29">
      <c r="B48" s="480"/>
      <c r="C48" s="481"/>
      <c r="D48" s="481"/>
      <c r="E48" s="481"/>
      <c r="F48" s="481"/>
      <c r="G48" s="481"/>
      <c r="H48" s="481"/>
      <c r="I48" s="481"/>
      <c r="J48" s="481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  <c r="AC48" s="482"/>
    </row>
    <row r="49" spans="2:29" ht="16.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</sheetData>
  <mergeCells count="221">
    <mergeCell ref="Q43:R43"/>
    <mergeCell ref="S43:T43"/>
    <mergeCell ref="U43:V43"/>
    <mergeCell ref="W43:AC43"/>
    <mergeCell ref="K41:N41"/>
    <mergeCell ref="O41:P41"/>
    <mergeCell ref="Q41:R41"/>
    <mergeCell ref="S41:T41"/>
    <mergeCell ref="U41:V41"/>
    <mergeCell ref="W41:AC41"/>
    <mergeCell ref="K42:N42"/>
    <mergeCell ref="Q42:R42"/>
    <mergeCell ref="S42:T42"/>
    <mergeCell ref="U42:V42"/>
    <mergeCell ref="W42:AC42"/>
    <mergeCell ref="W12:AC12"/>
    <mergeCell ref="K13:N13"/>
    <mergeCell ref="O13:P13"/>
    <mergeCell ref="Q13:R13"/>
    <mergeCell ref="S13:T13"/>
    <mergeCell ref="U13:V13"/>
    <mergeCell ref="W13:AC13"/>
    <mergeCell ref="K40:N40"/>
    <mergeCell ref="Q40:R40"/>
    <mergeCell ref="S40:T40"/>
    <mergeCell ref="U40:V40"/>
    <mergeCell ref="W40:AC40"/>
    <mergeCell ref="K37:N37"/>
    <mergeCell ref="O37:P37"/>
    <mergeCell ref="Q37:R37"/>
    <mergeCell ref="S37:T37"/>
    <mergeCell ref="U37:V37"/>
    <mergeCell ref="W37:AC37"/>
    <mergeCell ref="K36:N36"/>
    <mergeCell ref="O36:P36"/>
    <mergeCell ref="Q36:R36"/>
    <mergeCell ref="S36:T36"/>
    <mergeCell ref="U36:V36"/>
    <mergeCell ref="W36:AC36"/>
    <mergeCell ref="K32:N32"/>
    <mergeCell ref="K10:N10"/>
    <mergeCell ref="O10:P10"/>
    <mergeCell ref="Q10:R10"/>
    <mergeCell ref="S10:T10"/>
    <mergeCell ref="U10:V10"/>
    <mergeCell ref="W10:AC10"/>
    <mergeCell ref="K11:N11"/>
    <mergeCell ref="O11:P11"/>
    <mergeCell ref="Q11:R11"/>
    <mergeCell ref="S11:T11"/>
    <mergeCell ref="U11:V11"/>
    <mergeCell ref="W11:AC11"/>
    <mergeCell ref="K14:N14"/>
    <mergeCell ref="O14:P14"/>
    <mergeCell ref="Q14:R14"/>
    <mergeCell ref="S14:T14"/>
    <mergeCell ref="U14:V14"/>
    <mergeCell ref="W14:AC14"/>
    <mergeCell ref="K12:N12"/>
    <mergeCell ref="O12:P12"/>
    <mergeCell ref="Q12:R12"/>
    <mergeCell ref="S12:T12"/>
    <mergeCell ref="U12:V12"/>
    <mergeCell ref="S25:T25"/>
    <mergeCell ref="U25:V25"/>
    <mergeCell ref="W25:AC25"/>
    <mergeCell ref="K35:N35"/>
    <mergeCell ref="O35:P35"/>
    <mergeCell ref="Q35:R35"/>
    <mergeCell ref="S35:T35"/>
    <mergeCell ref="U35:V35"/>
    <mergeCell ref="W35:AC35"/>
    <mergeCell ref="K26:N26"/>
    <mergeCell ref="Q26:R26"/>
    <mergeCell ref="S26:T26"/>
    <mergeCell ref="U26:V26"/>
    <mergeCell ref="W26:AC26"/>
    <mergeCell ref="K29:N29"/>
    <mergeCell ref="Q29:R29"/>
    <mergeCell ref="S29:T29"/>
    <mergeCell ref="U29:V29"/>
    <mergeCell ref="W29:AC29"/>
    <mergeCell ref="K34:N34"/>
    <mergeCell ref="O34:P34"/>
    <mergeCell ref="Q34:R34"/>
    <mergeCell ref="S34:T34"/>
    <mergeCell ref="U34:V34"/>
    <mergeCell ref="B4:D4"/>
    <mergeCell ref="E4:N4"/>
    <mergeCell ref="O4:Q4"/>
    <mergeCell ref="R4:AC4"/>
    <mergeCell ref="B5:D5"/>
    <mergeCell ref="E5:N5"/>
    <mergeCell ref="O5:Q5"/>
    <mergeCell ref="R5:AC5"/>
    <mergeCell ref="B2:D2"/>
    <mergeCell ref="E2:N2"/>
    <mergeCell ref="O2:Q2"/>
    <mergeCell ref="R2:AC2"/>
    <mergeCell ref="B3:D3"/>
    <mergeCell ref="E3:AC3"/>
    <mergeCell ref="K9:N9"/>
    <mergeCell ref="O9:P9"/>
    <mergeCell ref="Q9:R9"/>
    <mergeCell ref="S9:T9"/>
    <mergeCell ref="U9:V9"/>
    <mergeCell ref="W9:AC9"/>
    <mergeCell ref="B6:AB6"/>
    <mergeCell ref="B7:E7"/>
    <mergeCell ref="F7:AC7"/>
    <mergeCell ref="C8:J8"/>
    <mergeCell ref="K8:N8"/>
    <mergeCell ref="O8:P8"/>
    <mergeCell ref="Q8:R8"/>
    <mergeCell ref="S8:T8"/>
    <mergeCell ref="U8:V8"/>
    <mergeCell ref="W8:AC8"/>
    <mergeCell ref="B15:AC15"/>
    <mergeCell ref="B16:E16"/>
    <mergeCell ref="F16:AC16"/>
    <mergeCell ref="C17:J17"/>
    <mergeCell ref="K17:N17"/>
    <mergeCell ref="O17:P17"/>
    <mergeCell ref="Q17:R17"/>
    <mergeCell ref="S17:T17"/>
    <mergeCell ref="U17:V17"/>
    <mergeCell ref="W17:AC17"/>
    <mergeCell ref="B45:AC45"/>
    <mergeCell ref="B46:AC46"/>
    <mergeCell ref="B47:AC48"/>
    <mergeCell ref="K20:N20"/>
    <mergeCell ref="O20:P20"/>
    <mergeCell ref="Q20:R20"/>
    <mergeCell ref="S20:T20"/>
    <mergeCell ref="U20:V20"/>
    <mergeCell ref="W20:AC20"/>
    <mergeCell ref="K21:N21"/>
    <mergeCell ref="O21:P21"/>
    <mergeCell ref="Q21:R21"/>
    <mergeCell ref="S21:T21"/>
    <mergeCell ref="U21:V21"/>
    <mergeCell ref="W21:AC21"/>
    <mergeCell ref="K22:N22"/>
    <mergeCell ref="O22:P22"/>
    <mergeCell ref="Q22:R22"/>
    <mergeCell ref="Q24:R24"/>
    <mergeCell ref="S24:T24"/>
    <mergeCell ref="U24:V24"/>
    <mergeCell ref="W24:AC24"/>
    <mergeCell ref="K25:N25"/>
    <mergeCell ref="Q25:R25"/>
    <mergeCell ref="K23:N23"/>
    <mergeCell ref="O23:P23"/>
    <mergeCell ref="Q23:R23"/>
    <mergeCell ref="S23:T23"/>
    <mergeCell ref="U23:V23"/>
    <mergeCell ref="W23:AC23"/>
    <mergeCell ref="K24:N24"/>
    <mergeCell ref="K18:N18"/>
    <mergeCell ref="O18:P18"/>
    <mergeCell ref="Q18:R18"/>
    <mergeCell ref="S18:T18"/>
    <mergeCell ref="U18:V18"/>
    <mergeCell ref="W18:AC18"/>
    <mergeCell ref="K19:N19"/>
    <mergeCell ref="O19:P19"/>
    <mergeCell ref="Q19:R19"/>
    <mergeCell ref="S19:T19"/>
    <mergeCell ref="U19:V19"/>
    <mergeCell ref="W19:AC19"/>
    <mergeCell ref="S22:T22"/>
    <mergeCell ref="U22:V22"/>
    <mergeCell ref="W22:AC22"/>
    <mergeCell ref="S27:T27"/>
    <mergeCell ref="U27:V27"/>
    <mergeCell ref="W27:AC27"/>
    <mergeCell ref="K28:N28"/>
    <mergeCell ref="Q28:R28"/>
    <mergeCell ref="S28:T28"/>
    <mergeCell ref="U28:V28"/>
    <mergeCell ref="W28:AC28"/>
    <mergeCell ref="Q32:R32"/>
    <mergeCell ref="S32:T32"/>
    <mergeCell ref="U32:V32"/>
    <mergeCell ref="W32:AC32"/>
    <mergeCell ref="K27:N27"/>
    <mergeCell ref="Q27:R27"/>
    <mergeCell ref="K30:N30"/>
    <mergeCell ref="Q30:R30"/>
    <mergeCell ref="S30:T30"/>
    <mergeCell ref="U30:V30"/>
    <mergeCell ref="W30:AC30"/>
    <mergeCell ref="K31:N31"/>
    <mergeCell ref="Q31:R31"/>
    <mergeCell ref="S31:T31"/>
    <mergeCell ref="U31:V31"/>
    <mergeCell ref="W31:AC31"/>
    <mergeCell ref="K44:N44"/>
    <mergeCell ref="O44:P44"/>
    <mergeCell ref="Q44:R44"/>
    <mergeCell ref="S44:T44"/>
    <mergeCell ref="U44:V44"/>
    <mergeCell ref="W44:AC44"/>
    <mergeCell ref="Q33:R33"/>
    <mergeCell ref="S33:T33"/>
    <mergeCell ref="U33:V33"/>
    <mergeCell ref="W33:AC33"/>
    <mergeCell ref="W34:AC34"/>
    <mergeCell ref="Q39:R39"/>
    <mergeCell ref="S39:T39"/>
    <mergeCell ref="U39:V39"/>
    <mergeCell ref="W39:AC39"/>
    <mergeCell ref="K38:N38"/>
    <mergeCell ref="O38:P38"/>
    <mergeCell ref="Q38:R38"/>
    <mergeCell ref="S38:T38"/>
    <mergeCell ref="U38:V38"/>
    <mergeCell ref="W38:AC38"/>
    <mergeCell ref="K39:N39"/>
    <mergeCell ref="O39:P39"/>
    <mergeCell ref="K43:N43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E699"/>
    <pageSetUpPr fitToPage="1"/>
  </sheetPr>
  <dimension ref="A1:AC42"/>
  <sheetViews>
    <sheetView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ERP_인터페이스목록!C17</f>
        <v>출하예정 등록(삭제오더)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ERP_인터페이스목록!G17</f>
        <v>O2W_OB_CLE_REG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str">
        <f>ERP_인터페이스목록!J17</f>
        <v>/{bizSeq}/sif/delo01/regs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278</v>
      </c>
      <c r="C4" s="516"/>
      <c r="D4" s="516"/>
      <c r="E4" s="515" t="str">
        <f>ERP_인터페이스목록!L17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279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ERP_인터페이스목록!D17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ERP_인터페이스목록!E17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282</v>
      </c>
      <c r="C8" s="500" t="s">
        <v>47</v>
      </c>
      <c r="D8" s="500"/>
      <c r="E8" s="500"/>
      <c r="F8" s="500"/>
      <c r="G8" s="500"/>
      <c r="H8" s="500"/>
      <c r="I8" s="500"/>
      <c r="J8" s="500"/>
      <c r="K8" s="500" t="s">
        <v>93</v>
      </c>
      <c r="L8" s="500"/>
      <c r="M8" s="500"/>
      <c r="N8" s="500"/>
      <c r="O8" s="500" t="s">
        <v>49</v>
      </c>
      <c r="P8" s="500"/>
      <c r="Q8" s="500" t="s">
        <v>50</v>
      </c>
      <c r="R8" s="500"/>
      <c r="S8" s="500" t="s">
        <v>51</v>
      </c>
      <c r="T8" s="500"/>
      <c r="U8" s="500" t="s">
        <v>74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 ht="13.5" customHeight="1">
      <c r="B9" s="49">
        <v>1</v>
      </c>
      <c r="C9" s="146" t="s">
        <v>54</v>
      </c>
      <c r="D9" s="147"/>
      <c r="E9" s="147"/>
      <c r="F9" s="147"/>
      <c r="G9" s="147"/>
      <c r="H9" s="147"/>
      <c r="I9" s="147"/>
      <c r="J9" s="148"/>
      <c r="K9" s="509" t="s">
        <v>55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57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5" customHeight="1">
      <c r="B10" s="49">
        <v>1</v>
      </c>
      <c r="C10" s="146" t="s">
        <v>81</v>
      </c>
      <c r="D10" s="146"/>
      <c r="E10" s="147"/>
      <c r="F10" s="147"/>
      <c r="G10" s="147"/>
      <c r="H10" s="147"/>
      <c r="I10" s="147"/>
      <c r="J10" s="148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58">
        <v>1</v>
      </c>
      <c r="C11" s="149" t="s">
        <v>129</v>
      </c>
      <c r="D11" s="149"/>
      <c r="E11" s="149"/>
      <c r="F11" s="149"/>
      <c r="G11" s="149"/>
      <c r="H11" s="149"/>
      <c r="I11" s="149"/>
      <c r="J11" s="150"/>
      <c r="K11" s="634" t="s">
        <v>141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 ht="13.5" customHeight="1">
      <c r="B12" s="49">
        <v>2</v>
      </c>
      <c r="C12" s="147"/>
      <c r="D12" s="147" t="s">
        <v>130</v>
      </c>
      <c r="E12" s="147"/>
      <c r="F12" s="147"/>
      <c r="G12" s="147"/>
      <c r="H12" s="147"/>
      <c r="I12" s="147"/>
      <c r="J12" s="148"/>
      <c r="K12" s="501" t="s">
        <v>329</v>
      </c>
      <c r="L12" s="501"/>
      <c r="M12" s="501"/>
      <c r="N12" s="501"/>
      <c r="O12" s="494" t="s">
        <v>62</v>
      </c>
      <c r="P12" s="496"/>
      <c r="Q12" s="502">
        <v>20</v>
      </c>
      <c r="R12" s="502"/>
      <c r="S12" s="502" t="s">
        <v>63</v>
      </c>
      <c r="T12" s="502"/>
      <c r="U12" s="502" t="s">
        <v>57</v>
      </c>
      <c r="V12" s="502"/>
      <c r="W12" s="643" t="s">
        <v>428</v>
      </c>
      <c r="X12" s="644"/>
      <c r="Y12" s="644"/>
      <c r="Z12" s="644"/>
      <c r="AA12" s="644"/>
      <c r="AB12" s="644"/>
      <c r="AC12" s="645"/>
    </row>
    <row r="13" spans="1:29" ht="13.5" customHeight="1">
      <c r="B13" s="214">
        <v>2</v>
      </c>
      <c r="C13" s="217"/>
      <c r="D13" s="227" t="s">
        <v>1345</v>
      </c>
      <c r="E13" s="217"/>
      <c r="F13" s="217"/>
      <c r="G13" s="217"/>
      <c r="H13" s="217"/>
      <c r="I13" s="217"/>
      <c r="J13" s="218"/>
      <c r="K13" s="501" t="s">
        <v>1346</v>
      </c>
      <c r="L13" s="501"/>
      <c r="M13" s="501"/>
      <c r="N13" s="501"/>
      <c r="O13" s="494" t="s">
        <v>62</v>
      </c>
      <c r="P13" s="496"/>
      <c r="Q13" s="502">
        <v>20</v>
      </c>
      <c r="R13" s="502"/>
      <c r="S13" s="502"/>
      <c r="T13" s="502"/>
      <c r="U13" s="502" t="s">
        <v>57</v>
      </c>
      <c r="V13" s="502"/>
      <c r="W13" s="643" t="s">
        <v>1350</v>
      </c>
      <c r="X13" s="644"/>
      <c r="Y13" s="644"/>
      <c r="Z13" s="644"/>
      <c r="AA13" s="644"/>
      <c r="AB13" s="644"/>
      <c r="AC13" s="645"/>
    </row>
    <row r="14" spans="1:29" ht="13.5" customHeight="1">
      <c r="B14" s="49">
        <v>2</v>
      </c>
      <c r="C14" s="147"/>
      <c r="D14" s="147" t="s">
        <v>124</v>
      </c>
      <c r="E14" s="147"/>
      <c r="F14" s="147"/>
      <c r="G14" s="147"/>
      <c r="H14" s="147"/>
      <c r="I14" s="147"/>
      <c r="J14" s="148"/>
      <c r="K14" s="483" t="s">
        <v>463</v>
      </c>
      <c r="L14" s="484"/>
      <c r="M14" s="484"/>
      <c r="N14" s="485"/>
      <c r="O14" s="494" t="s">
        <v>62</v>
      </c>
      <c r="P14" s="496"/>
      <c r="Q14" s="467">
        <v>50</v>
      </c>
      <c r="R14" s="468"/>
      <c r="S14" s="467"/>
      <c r="T14" s="468"/>
      <c r="U14" s="467" t="s">
        <v>57</v>
      </c>
      <c r="V14" s="468"/>
      <c r="W14" s="641" t="s">
        <v>464</v>
      </c>
      <c r="X14" s="642"/>
      <c r="Y14" s="642"/>
      <c r="Z14" s="642"/>
      <c r="AA14" s="642"/>
      <c r="AB14" s="642"/>
      <c r="AC14" s="642"/>
    </row>
    <row r="15" spans="1:29">
      <c r="B15" s="49">
        <v>2</v>
      </c>
      <c r="C15" s="146"/>
      <c r="D15" s="147" t="s">
        <v>691</v>
      </c>
      <c r="E15" s="147"/>
      <c r="F15" s="147"/>
      <c r="G15" s="147"/>
      <c r="H15" s="147"/>
      <c r="I15" s="147"/>
      <c r="J15" s="148"/>
      <c r="K15" s="483" t="s">
        <v>692</v>
      </c>
      <c r="L15" s="484"/>
      <c r="M15" s="484"/>
      <c r="N15" s="485"/>
      <c r="O15" s="467" t="s">
        <v>62</v>
      </c>
      <c r="P15" s="468"/>
      <c r="Q15" s="467">
        <v>50</v>
      </c>
      <c r="R15" s="468"/>
      <c r="S15" s="502" t="s">
        <v>63</v>
      </c>
      <c r="T15" s="502"/>
      <c r="U15" s="467" t="s">
        <v>455</v>
      </c>
      <c r="V15" s="468"/>
      <c r="W15" s="494" t="s">
        <v>674</v>
      </c>
      <c r="X15" s="495"/>
      <c r="Y15" s="495"/>
      <c r="Z15" s="495"/>
      <c r="AA15" s="495"/>
      <c r="AB15" s="495"/>
      <c r="AC15" s="496"/>
    </row>
    <row r="16" spans="1:29">
      <c r="B16" s="222">
        <v>2</v>
      </c>
      <c r="C16" s="219"/>
      <c r="D16" s="227" t="s">
        <v>1353</v>
      </c>
      <c r="E16" s="220"/>
      <c r="F16" s="220"/>
      <c r="G16" s="220"/>
      <c r="H16" s="220"/>
      <c r="I16" s="220"/>
      <c r="J16" s="221"/>
      <c r="K16" s="483" t="s">
        <v>1354</v>
      </c>
      <c r="L16" s="484"/>
      <c r="M16" s="484"/>
      <c r="N16" s="485"/>
      <c r="O16" s="467" t="s">
        <v>62</v>
      </c>
      <c r="P16" s="468"/>
      <c r="Q16" s="467">
        <v>50</v>
      </c>
      <c r="R16" s="468"/>
      <c r="S16" s="502"/>
      <c r="T16" s="502"/>
      <c r="U16" s="467" t="s">
        <v>57</v>
      </c>
      <c r="V16" s="468"/>
      <c r="W16" s="494" t="s">
        <v>1352</v>
      </c>
      <c r="X16" s="495"/>
      <c r="Y16" s="495"/>
      <c r="Z16" s="495"/>
      <c r="AA16" s="495"/>
      <c r="AB16" s="495"/>
      <c r="AC16" s="496"/>
    </row>
    <row r="17" spans="2:29">
      <c r="B17" s="112">
        <v>2</v>
      </c>
      <c r="C17" s="147"/>
      <c r="D17" s="147" t="s">
        <v>349</v>
      </c>
      <c r="E17" s="147"/>
      <c r="F17" s="147"/>
      <c r="G17" s="147"/>
      <c r="H17" s="147"/>
      <c r="I17" s="147"/>
      <c r="J17" s="148"/>
      <c r="K17" s="483" t="s">
        <v>432</v>
      </c>
      <c r="L17" s="484"/>
      <c r="M17" s="484"/>
      <c r="N17" s="485"/>
      <c r="O17" s="153" t="s">
        <v>62</v>
      </c>
      <c r="P17" s="153"/>
      <c r="Q17" s="467">
        <v>8</v>
      </c>
      <c r="R17" s="468"/>
      <c r="S17" s="467"/>
      <c r="T17" s="468"/>
      <c r="U17" s="467" t="s">
        <v>57</v>
      </c>
      <c r="V17" s="468"/>
      <c r="W17" s="494" t="s">
        <v>350</v>
      </c>
      <c r="X17" s="495"/>
      <c r="Y17" s="495"/>
      <c r="Z17" s="495"/>
      <c r="AA17" s="495"/>
      <c r="AB17" s="495"/>
      <c r="AC17" s="496"/>
    </row>
    <row r="18" spans="2:29">
      <c r="B18" s="112">
        <v>2</v>
      </c>
      <c r="C18" s="147"/>
      <c r="D18" s="147" t="s">
        <v>331</v>
      </c>
      <c r="E18" s="147"/>
      <c r="F18" s="147"/>
      <c r="G18" s="147"/>
      <c r="H18" s="147"/>
      <c r="I18" s="147"/>
      <c r="J18" s="148"/>
      <c r="K18" s="483" t="s">
        <v>433</v>
      </c>
      <c r="L18" s="484"/>
      <c r="M18" s="484"/>
      <c r="N18" s="485"/>
      <c r="O18" s="153" t="s">
        <v>62</v>
      </c>
      <c r="P18" s="153"/>
      <c r="Q18" s="502">
        <v>100</v>
      </c>
      <c r="R18" s="502"/>
      <c r="S18" s="502"/>
      <c r="T18" s="502"/>
      <c r="U18" s="502"/>
      <c r="V18" s="502"/>
      <c r="W18" s="641"/>
      <c r="X18" s="642"/>
      <c r="Y18" s="642"/>
      <c r="Z18" s="642"/>
      <c r="AA18" s="642"/>
      <c r="AB18" s="642"/>
      <c r="AC18" s="642"/>
    </row>
    <row r="19" spans="2:29">
      <c r="B19" s="112">
        <v>2</v>
      </c>
      <c r="C19" s="147"/>
      <c r="D19" s="147" t="s">
        <v>461</v>
      </c>
      <c r="E19" s="147"/>
      <c r="F19" s="147"/>
      <c r="G19" s="147"/>
      <c r="H19" s="147"/>
      <c r="I19" s="147"/>
      <c r="J19" s="148"/>
      <c r="K19" s="483" t="s">
        <v>434</v>
      </c>
      <c r="L19" s="484"/>
      <c r="M19" s="484"/>
      <c r="N19" s="485"/>
      <c r="O19" s="153" t="s">
        <v>62</v>
      </c>
      <c r="P19" s="153"/>
      <c r="Q19" s="502" t="s">
        <v>462</v>
      </c>
      <c r="R19" s="502"/>
      <c r="S19" s="502"/>
      <c r="T19" s="502"/>
      <c r="U19" s="502"/>
      <c r="V19" s="502"/>
      <c r="W19" s="641" t="s">
        <v>668</v>
      </c>
      <c r="X19" s="642"/>
      <c r="Y19" s="642"/>
      <c r="Z19" s="642"/>
      <c r="AA19" s="642"/>
      <c r="AB19" s="642"/>
      <c r="AC19" s="642"/>
    </row>
    <row r="20" spans="2:29">
      <c r="B20" s="49">
        <v>2</v>
      </c>
      <c r="C20" s="147"/>
      <c r="D20" s="147" t="s">
        <v>255</v>
      </c>
      <c r="E20" s="147"/>
      <c r="F20" s="147"/>
      <c r="G20" s="147"/>
      <c r="H20" s="147"/>
      <c r="I20" s="147"/>
      <c r="J20" s="148"/>
      <c r="K20" s="483" t="s">
        <v>72</v>
      </c>
      <c r="L20" s="484"/>
      <c r="M20" s="484"/>
      <c r="N20" s="485"/>
      <c r="O20" s="146" t="s">
        <v>62</v>
      </c>
      <c r="P20" s="148"/>
      <c r="Q20" s="467">
        <v>1000</v>
      </c>
      <c r="R20" s="468"/>
      <c r="S20" s="467"/>
      <c r="T20" s="468"/>
      <c r="U20" s="467"/>
      <c r="V20" s="468"/>
      <c r="W20" s="494"/>
      <c r="X20" s="495"/>
      <c r="Y20" s="495"/>
      <c r="Z20" s="495"/>
      <c r="AA20" s="495"/>
      <c r="AB20" s="495"/>
      <c r="AC20" s="496"/>
    </row>
    <row r="21" spans="2:29" ht="13.5" customHeight="1">
      <c r="B21" s="171">
        <v>2</v>
      </c>
      <c r="C21" s="151"/>
      <c r="D21" s="151" t="s">
        <v>135</v>
      </c>
      <c r="E21" s="149"/>
      <c r="F21" s="149"/>
      <c r="G21" s="151"/>
      <c r="H21" s="151"/>
      <c r="I21" s="151"/>
      <c r="J21" s="152"/>
      <c r="K21" s="593" t="s">
        <v>59</v>
      </c>
      <c r="L21" s="594"/>
      <c r="M21" s="594"/>
      <c r="N21" s="595"/>
      <c r="O21" s="611"/>
      <c r="P21" s="611"/>
      <c r="Q21" s="611"/>
      <c r="R21" s="611"/>
      <c r="S21" s="611"/>
      <c r="T21" s="611"/>
      <c r="U21" s="611"/>
      <c r="V21" s="611"/>
      <c r="W21" s="634"/>
      <c r="X21" s="634"/>
      <c r="Y21" s="634"/>
      <c r="Z21" s="634"/>
      <c r="AA21" s="634"/>
      <c r="AB21" s="634"/>
      <c r="AC21" s="634"/>
    </row>
    <row r="22" spans="2:29">
      <c r="B22" s="170">
        <v>3</v>
      </c>
      <c r="C22" s="145"/>
      <c r="D22" s="143"/>
      <c r="E22" s="147" t="s">
        <v>131</v>
      </c>
      <c r="F22" s="147"/>
      <c r="G22" s="143"/>
      <c r="H22" s="143"/>
      <c r="I22" s="143"/>
      <c r="J22" s="144"/>
      <c r="K22" s="483" t="s">
        <v>332</v>
      </c>
      <c r="L22" s="484"/>
      <c r="M22" s="484"/>
      <c r="N22" s="485"/>
      <c r="O22" s="467" t="s">
        <v>62</v>
      </c>
      <c r="P22" s="468"/>
      <c r="Q22" s="502">
        <v>20</v>
      </c>
      <c r="R22" s="502"/>
      <c r="S22" s="502" t="s">
        <v>63</v>
      </c>
      <c r="T22" s="502"/>
      <c r="U22" s="502" t="s">
        <v>57</v>
      </c>
      <c r="V22" s="502"/>
      <c r="W22" s="464" t="s">
        <v>422</v>
      </c>
      <c r="X22" s="465"/>
      <c r="Y22" s="465"/>
      <c r="Z22" s="465"/>
      <c r="AA22" s="465"/>
      <c r="AB22" s="465"/>
      <c r="AC22" s="466"/>
    </row>
    <row r="23" spans="2:29">
      <c r="B23" s="214">
        <v>3</v>
      </c>
      <c r="C23" s="215"/>
      <c r="D23" s="212"/>
      <c r="E23" s="227" t="s">
        <v>1347</v>
      </c>
      <c r="F23" s="217"/>
      <c r="G23" s="212"/>
      <c r="H23" s="212"/>
      <c r="I23" s="212"/>
      <c r="J23" s="213"/>
      <c r="K23" s="483" t="s">
        <v>1348</v>
      </c>
      <c r="L23" s="484"/>
      <c r="M23" s="484"/>
      <c r="N23" s="485"/>
      <c r="O23" s="467" t="s">
        <v>62</v>
      </c>
      <c r="P23" s="468"/>
      <c r="Q23" s="502">
        <v>20</v>
      </c>
      <c r="R23" s="502"/>
      <c r="S23" s="502"/>
      <c r="T23" s="502"/>
      <c r="U23" s="502" t="s">
        <v>57</v>
      </c>
      <c r="V23" s="502"/>
      <c r="W23" s="464" t="s">
        <v>1351</v>
      </c>
      <c r="X23" s="465"/>
      <c r="Y23" s="465"/>
      <c r="Z23" s="465"/>
      <c r="AA23" s="465"/>
      <c r="AB23" s="465"/>
      <c r="AC23" s="466"/>
    </row>
    <row r="24" spans="2:29" ht="13.5" customHeight="1">
      <c r="B24" s="49">
        <v>3</v>
      </c>
      <c r="C24" s="145"/>
      <c r="D24" s="143"/>
      <c r="E24" s="147" t="s">
        <v>60</v>
      </c>
      <c r="F24" s="147"/>
      <c r="G24" s="143"/>
      <c r="H24" s="143"/>
      <c r="I24" s="143"/>
      <c r="J24" s="144"/>
      <c r="K24" s="483" t="s">
        <v>65</v>
      </c>
      <c r="L24" s="484"/>
      <c r="M24" s="484"/>
      <c r="N24" s="485"/>
      <c r="O24" s="502" t="s">
        <v>62</v>
      </c>
      <c r="P24" s="502"/>
      <c r="Q24" s="527">
        <v>50</v>
      </c>
      <c r="R24" s="527"/>
      <c r="S24" s="467"/>
      <c r="T24" s="468"/>
      <c r="U24" s="502" t="s">
        <v>57</v>
      </c>
      <c r="V24" s="502"/>
      <c r="W24" s="483"/>
      <c r="X24" s="484"/>
      <c r="Y24" s="484"/>
      <c r="Z24" s="484"/>
      <c r="AA24" s="484"/>
      <c r="AB24" s="484"/>
      <c r="AC24" s="485"/>
    </row>
    <row r="25" spans="2:29">
      <c r="B25" s="49">
        <v>3</v>
      </c>
      <c r="C25" s="145"/>
      <c r="D25" s="143"/>
      <c r="E25" s="143" t="s">
        <v>132</v>
      </c>
      <c r="F25" s="143"/>
      <c r="G25" s="143"/>
      <c r="H25" s="143"/>
      <c r="I25" s="143"/>
      <c r="J25" s="144"/>
      <c r="K25" s="608" t="s">
        <v>133</v>
      </c>
      <c r="L25" s="609"/>
      <c r="M25" s="609"/>
      <c r="N25" s="610"/>
      <c r="O25" s="502" t="s">
        <v>56</v>
      </c>
      <c r="P25" s="502"/>
      <c r="Q25" s="467">
        <v>10</v>
      </c>
      <c r="R25" s="468"/>
      <c r="S25" s="502"/>
      <c r="T25" s="502"/>
      <c r="U25" s="502" t="s">
        <v>57</v>
      </c>
      <c r="V25" s="502"/>
      <c r="W25" s="483" t="s">
        <v>469</v>
      </c>
      <c r="X25" s="484"/>
      <c r="Y25" s="484"/>
      <c r="Z25" s="484"/>
      <c r="AA25" s="484"/>
      <c r="AB25" s="484"/>
      <c r="AC25" s="485"/>
    </row>
    <row r="26" spans="2:29">
      <c r="B26" s="49">
        <v>3</v>
      </c>
      <c r="C26" s="145"/>
      <c r="D26" s="143"/>
      <c r="E26" s="143" t="s">
        <v>672</v>
      </c>
      <c r="F26" s="143"/>
      <c r="G26" s="143"/>
      <c r="H26" s="143"/>
      <c r="I26" s="143"/>
      <c r="J26" s="144"/>
      <c r="K26" s="608" t="s">
        <v>652</v>
      </c>
      <c r="L26" s="609"/>
      <c r="M26" s="609"/>
      <c r="N26" s="610"/>
      <c r="O26" s="502" t="s">
        <v>56</v>
      </c>
      <c r="P26" s="502"/>
      <c r="Q26" s="467">
        <v>10</v>
      </c>
      <c r="R26" s="468"/>
      <c r="S26" s="502"/>
      <c r="T26" s="502"/>
      <c r="U26" s="502"/>
      <c r="V26" s="502"/>
      <c r="W26" s="483"/>
      <c r="X26" s="484"/>
      <c r="Y26" s="484"/>
      <c r="Z26" s="484"/>
      <c r="AA26" s="484"/>
      <c r="AB26" s="484"/>
      <c r="AC26" s="485"/>
    </row>
    <row r="27" spans="2:29" ht="13.5" customHeight="1">
      <c r="B27" s="49">
        <v>3</v>
      </c>
      <c r="C27" s="145"/>
      <c r="D27" s="143"/>
      <c r="E27" s="143" t="s">
        <v>673</v>
      </c>
      <c r="F27" s="143"/>
      <c r="G27" s="143"/>
      <c r="H27" s="143"/>
      <c r="I27" s="143"/>
      <c r="J27" s="144"/>
      <c r="K27" s="608" t="s">
        <v>671</v>
      </c>
      <c r="L27" s="609"/>
      <c r="M27" s="609"/>
      <c r="N27" s="610"/>
      <c r="O27" s="502" t="s">
        <v>56</v>
      </c>
      <c r="P27" s="502"/>
      <c r="Q27" s="467">
        <v>10</v>
      </c>
      <c r="R27" s="468"/>
      <c r="S27" s="502"/>
      <c r="T27" s="502"/>
      <c r="U27" s="502"/>
      <c r="V27" s="502"/>
      <c r="W27" s="483"/>
      <c r="X27" s="484"/>
      <c r="Y27" s="484"/>
      <c r="Z27" s="484"/>
      <c r="AA27" s="484"/>
      <c r="AB27" s="484"/>
      <c r="AC27" s="485"/>
    </row>
    <row r="28" spans="2:29">
      <c r="B28" s="486"/>
      <c r="C28" s="486"/>
      <c r="D28" s="486"/>
      <c r="E28" s="486"/>
      <c r="F28" s="486"/>
      <c r="G28" s="486"/>
      <c r="H28" s="486"/>
      <c r="I28" s="486"/>
      <c r="J28" s="486"/>
      <c r="K28" s="486"/>
      <c r="L28" s="486"/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</row>
    <row r="29" spans="2:29" ht="16.5">
      <c r="B29" s="586" t="s">
        <v>125</v>
      </c>
      <c r="C29" s="587"/>
      <c r="D29" s="587"/>
      <c r="E29" s="588"/>
      <c r="F29" s="589"/>
      <c r="G29" s="590"/>
      <c r="H29" s="590"/>
      <c r="I29" s="590"/>
      <c r="J29" s="590"/>
      <c r="K29" s="590"/>
      <c r="L29" s="590"/>
      <c r="M29" s="590"/>
      <c r="N29" s="590"/>
      <c r="O29" s="590"/>
      <c r="P29" s="590"/>
      <c r="Q29" s="590"/>
      <c r="R29" s="590"/>
      <c r="S29" s="590"/>
      <c r="T29" s="590"/>
      <c r="U29" s="590"/>
      <c r="V29" s="590"/>
      <c r="W29" s="590"/>
      <c r="X29" s="590"/>
      <c r="Y29" s="590"/>
      <c r="Z29" s="590"/>
      <c r="AA29" s="590"/>
      <c r="AB29" s="590"/>
      <c r="AC29" s="591"/>
    </row>
    <row r="30" spans="2:29">
      <c r="B30" s="4" t="s">
        <v>282</v>
      </c>
      <c r="C30" s="512" t="s">
        <v>47</v>
      </c>
      <c r="D30" s="592"/>
      <c r="E30" s="592"/>
      <c r="F30" s="592"/>
      <c r="G30" s="592"/>
      <c r="H30" s="592"/>
      <c r="I30" s="592"/>
      <c r="J30" s="513"/>
      <c r="K30" s="512" t="s">
        <v>93</v>
      </c>
      <c r="L30" s="592"/>
      <c r="M30" s="592"/>
      <c r="N30" s="513"/>
      <c r="O30" s="512" t="s">
        <v>49</v>
      </c>
      <c r="P30" s="513"/>
      <c r="Q30" s="512" t="s">
        <v>50</v>
      </c>
      <c r="R30" s="513"/>
      <c r="S30" s="512" t="s">
        <v>51</v>
      </c>
      <c r="T30" s="513"/>
      <c r="U30" s="512" t="s">
        <v>74</v>
      </c>
      <c r="V30" s="513"/>
      <c r="W30" s="512" t="s">
        <v>53</v>
      </c>
      <c r="X30" s="592"/>
      <c r="Y30" s="592"/>
      <c r="Z30" s="592"/>
      <c r="AA30" s="592"/>
      <c r="AB30" s="592"/>
      <c r="AC30" s="513"/>
    </row>
    <row r="31" spans="2:29" ht="13.5" customHeight="1">
      <c r="B31" s="49">
        <v>1</v>
      </c>
      <c r="C31" s="50" t="s">
        <v>86</v>
      </c>
      <c r="D31" s="51"/>
      <c r="E31" s="51"/>
      <c r="F31" s="51"/>
      <c r="G31" s="51"/>
      <c r="H31" s="51"/>
      <c r="I31" s="51"/>
      <c r="J31" s="52"/>
      <c r="K31" s="490" t="s">
        <v>87</v>
      </c>
      <c r="L31" s="491"/>
      <c r="M31" s="491"/>
      <c r="N31" s="492"/>
      <c r="O31" s="467" t="s">
        <v>62</v>
      </c>
      <c r="P31" s="468"/>
      <c r="Q31" s="467">
        <v>20</v>
      </c>
      <c r="R31" s="468"/>
      <c r="S31" s="467"/>
      <c r="T31" s="468"/>
      <c r="U31" s="467" t="s">
        <v>57</v>
      </c>
      <c r="V31" s="468"/>
      <c r="W31" s="493" t="s">
        <v>352</v>
      </c>
      <c r="X31" s="484"/>
      <c r="Y31" s="484"/>
      <c r="Z31" s="484"/>
      <c r="AA31" s="484"/>
      <c r="AB31" s="484"/>
      <c r="AC31" s="485"/>
    </row>
    <row r="32" spans="2:29">
      <c r="B32" s="49">
        <v>1</v>
      </c>
      <c r="C32" s="50" t="s">
        <v>89</v>
      </c>
      <c r="D32" s="51"/>
      <c r="E32" s="51"/>
      <c r="F32" s="51"/>
      <c r="G32" s="51"/>
      <c r="H32" s="51"/>
      <c r="I32" s="51"/>
      <c r="J32" s="52"/>
      <c r="K32" s="494" t="s">
        <v>75</v>
      </c>
      <c r="L32" s="495"/>
      <c r="M32" s="495"/>
      <c r="N32" s="496"/>
      <c r="O32" s="467" t="s">
        <v>62</v>
      </c>
      <c r="P32" s="468"/>
      <c r="Q32" s="467">
        <v>4000</v>
      </c>
      <c r="R32" s="468"/>
      <c r="S32" s="467"/>
      <c r="T32" s="468"/>
      <c r="U32" s="467" t="s">
        <v>57</v>
      </c>
      <c r="V32" s="468"/>
      <c r="W32" s="483" t="s">
        <v>199</v>
      </c>
      <c r="X32" s="484"/>
      <c r="Y32" s="484"/>
      <c r="Z32" s="484"/>
      <c r="AA32" s="484"/>
      <c r="AB32" s="484"/>
      <c r="AC32" s="485"/>
    </row>
    <row r="33" spans="2:29">
      <c r="B33" s="58">
        <v>1</v>
      </c>
      <c r="C33" s="59" t="s">
        <v>90</v>
      </c>
      <c r="D33" s="59"/>
      <c r="E33" s="59"/>
      <c r="F33" s="59"/>
      <c r="G33" s="59"/>
      <c r="H33" s="59"/>
      <c r="I33" s="59"/>
      <c r="J33" s="60"/>
      <c r="K33" s="497" t="s">
        <v>141</v>
      </c>
      <c r="L33" s="498"/>
      <c r="M33" s="498"/>
      <c r="N33" s="499"/>
      <c r="O33" s="472"/>
      <c r="P33" s="473"/>
      <c r="Q33" s="472"/>
      <c r="R33" s="473"/>
      <c r="S33" s="472"/>
      <c r="T33" s="473"/>
      <c r="U33" s="472"/>
      <c r="V33" s="473"/>
      <c r="W33" s="487"/>
      <c r="X33" s="488"/>
      <c r="Y33" s="488"/>
      <c r="Z33" s="488"/>
      <c r="AA33" s="488"/>
      <c r="AB33" s="488"/>
      <c r="AC33" s="489"/>
    </row>
    <row r="34" spans="2:29">
      <c r="B34" s="49">
        <v>2</v>
      </c>
      <c r="C34" s="50"/>
      <c r="D34" s="51" t="s">
        <v>130</v>
      </c>
      <c r="E34" s="51"/>
      <c r="F34" s="51"/>
      <c r="G34" s="51"/>
      <c r="H34" s="51"/>
      <c r="I34" s="51"/>
      <c r="J34" s="52"/>
      <c r="K34" s="494" t="s">
        <v>329</v>
      </c>
      <c r="L34" s="495"/>
      <c r="M34" s="495"/>
      <c r="N34" s="496"/>
      <c r="O34" s="467" t="s">
        <v>62</v>
      </c>
      <c r="P34" s="468"/>
      <c r="Q34" s="467">
        <v>20</v>
      </c>
      <c r="R34" s="468"/>
      <c r="S34" s="467" t="s">
        <v>63</v>
      </c>
      <c r="T34" s="468"/>
      <c r="U34" s="467" t="s">
        <v>57</v>
      </c>
      <c r="V34" s="468"/>
      <c r="W34" s="464" t="s">
        <v>428</v>
      </c>
      <c r="X34" s="465"/>
      <c r="Y34" s="465"/>
      <c r="Z34" s="465"/>
      <c r="AA34" s="465"/>
      <c r="AB34" s="465"/>
      <c r="AC34" s="466"/>
    </row>
    <row r="35" spans="2:29">
      <c r="B35" s="49">
        <v>2</v>
      </c>
      <c r="C35" s="50"/>
      <c r="D35" s="51" t="s">
        <v>691</v>
      </c>
      <c r="E35" s="51"/>
      <c r="F35" s="51"/>
      <c r="G35" s="51"/>
      <c r="H35" s="51"/>
      <c r="I35" s="51"/>
      <c r="J35" s="52"/>
      <c r="K35" s="483" t="s">
        <v>692</v>
      </c>
      <c r="L35" s="484"/>
      <c r="M35" s="484"/>
      <c r="N35" s="485"/>
      <c r="O35" s="467" t="s">
        <v>62</v>
      </c>
      <c r="P35" s="468"/>
      <c r="Q35" s="467">
        <v>50</v>
      </c>
      <c r="R35" s="468"/>
      <c r="S35" s="502" t="s">
        <v>63</v>
      </c>
      <c r="T35" s="502"/>
      <c r="U35" s="467" t="s">
        <v>57</v>
      </c>
      <c r="V35" s="468"/>
      <c r="W35" s="494" t="s">
        <v>674</v>
      </c>
      <c r="X35" s="495"/>
      <c r="Y35" s="495"/>
      <c r="Z35" s="495"/>
      <c r="AA35" s="495"/>
      <c r="AB35" s="495"/>
      <c r="AC35" s="496"/>
    </row>
    <row r="36" spans="2:29" ht="13.5" customHeight="1">
      <c r="B36" s="49">
        <v>2</v>
      </c>
      <c r="C36" s="61"/>
      <c r="D36" s="62" t="s">
        <v>77</v>
      </c>
      <c r="E36" s="51"/>
      <c r="F36" s="51"/>
      <c r="G36" s="62"/>
      <c r="H36" s="62"/>
      <c r="I36" s="62"/>
      <c r="J36" s="63"/>
      <c r="K36" s="469" t="s">
        <v>127</v>
      </c>
      <c r="L36" s="470"/>
      <c r="M36" s="470"/>
      <c r="N36" s="471"/>
      <c r="O36" s="467" t="s">
        <v>62</v>
      </c>
      <c r="P36" s="468"/>
      <c r="Q36" s="467">
        <v>1</v>
      </c>
      <c r="R36" s="468"/>
      <c r="S36" s="467"/>
      <c r="T36" s="468"/>
      <c r="U36" s="467" t="s">
        <v>64</v>
      </c>
      <c r="V36" s="468"/>
      <c r="W36" s="493" t="s">
        <v>352</v>
      </c>
      <c r="X36" s="484"/>
      <c r="Y36" s="484"/>
      <c r="Z36" s="484"/>
      <c r="AA36" s="484"/>
      <c r="AB36" s="484"/>
      <c r="AC36" s="485"/>
    </row>
    <row r="37" spans="2:29">
      <c r="B37" s="49">
        <v>2</v>
      </c>
      <c r="C37" s="61"/>
      <c r="D37" s="62" t="s">
        <v>79</v>
      </c>
      <c r="E37" s="51"/>
      <c r="F37" s="51"/>
      <c r="G37" s="62"/>
      <c r="H37" s="62"/>
      <c r="I37" s="62"/>
      <c r="J37" s="63"/>
      <c r="K37" s="469" t="s">
        <v>140</v>
      </c>
      <c r="L37" s="470"/>
      <c r="M37" s="470"/>
      <c r="N37" s="471"/>
      <c r="O37" s="467" t="s">
        <v>62</v>
      </c>
      <c r="P37" s="468"/>
      <c r="Q37" s="467">
        <v>100</v>
      </c>
      <c r="R37" s="468"/>
      <c r="S37" s="467"/>
      <c r="T37" s="468"/>
      <c r="U37" s="467"/>
      <c r="V37" s="468"/>
      <c r="W37" s="464" t="s">
        <v>80</v>
      </c>
      <c r="X37" s="465"/>
      <c r="Y37" s="465"/>
      <c r="Z37" s="465"/>
      <c r="AA37" s="465"/>
      <c r="AB37" s="465"/>
      <c r="AC37" s="466"/>
    </row>
    <row r="38" spans="2:29" ht="16.5">
      <c r="B38" s="625"/>
      <c r="C38" s="625"/>
      <c r="D38" s="625"/>
      <c r="E38" s="625"/>
      <c r="F38" s="625"/>
      <c r="G38" s="625"/>
      <c r="H38" s="625"/>
      <c r="I38" s="625"/>
      <c r="J38" s="625"/>
      <c r="K38" s="625"/>
      <c r="L38" s="625"/>
      <c r="M38" s="625"/>
      <c r="N38" s="625"/>
      <c r="O38" s="625"/>
      <c r="P38" s="625"/>
      <c r="Q38" s="625"/>
      <c r="R38" s="625"/>
      <c r="S38" s="625"/>
      <c r="T38" s="625"/>
      <c r="U38" s="625"/>
      <c r="V38" s="625"/>
      <c r="W38" s="625"/>
      <c r="X38" s="625"/>
      <c r="Y38" s="625"/>
      <c r="Z38" s="625"/>
      <c r="AA38" s="625"/>
      <c r="AB38" s="625"/>
      <c r="AC38" s="625"/>
    </row>
    <row r="39" spans="2:29">
      <c r="B39" s="474" t="s">
        <v>72</v>
      </c>
      <c r="C39" s="475"/>
      <c r="D39" s="475"/>
      <c r="E39" s="475"/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6"/>
    </row>
    <row r="40" spans="2:29">
      <c r="B40" s="568" t="s">
        <v>694</v>
      </c>
      <c r="C40" s="478"/>
      <c r="D40" s="478"/>
      <c r="E40" s="478"/>
      <c r="F40" s="478"/>
      <c r="G40" s="478"/>
      <c r="H40" s="478"/>
      <c r="I40" s="478"/>
      <c r="J40" s="478"/>
      <c r="K40" s="478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9"/>
    </row>
    <row r="41" spans="2:29">
      <c r="B41" s="480"/>
      <c r="C41" s="481"/>
      <c r="D41" s="481"/>
      <c r="E41" s="481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481"/>
      <c r="R41" s="481"/>
      <c r="S41" s="481"/>
      <c r="T41" s="481"/>
      <c r="U41" s="481"/>
      <c r="V41" s="481"/>
      <c r="W41" s="481"/>
      <c r="X41" s="481"/>
      <c r="Y41" s="481"/>
      <c r="Z41" s="481"/>
      <c r="AA41" s="481"/>
      <c r="AB41" s="481"/>
      <c r="AC41" s="482"/>
    </row>
    <row r="42" spans="2:29" ht="16.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</sheetData>
  <mergeCells count="189">
    <mergeCell ref="K35:N35"/>
    <mergeCell ref="O35:P35"/>
    <mergeCell ref="Q35:R35"/>
    <mergeCell ref="S35:T35"/>
    <mergeCell ref="U35:V35"/>
    <mergeCell ref="W35:AC35"/>
    <mergeCell ref="K25:N25"/>
    <mergeCell ref="O25:P25"/>
    <mergeCell ref="Q25:R25"/>
    <mergeCell ref="S25:T25"/>
    <mergeCell ref="U25:V25"/>
    <mergeCell ref="W25:AC25"/>
    <mergeCell ref="K27:N27"/>
    <mergeCell ref="O27:P27"/>
    <mergeCell ref="Q27:R27"/>
    <mergeCell ref="S27:T27"/>
    <mergeCell ref="U27:V27"/>
    <mergeCell ref="W27:AC27"/>
    <mergeCell ref="W26:AC26"/>
    <mergeCell ref="B28:AC28"/>
    <mergeCell ref="B29:E29"/>
    <mergeCell ref="F29:AC29"/>
    <mergeCell ref="C30:J30"/>
    <mergeCell ref="K30:N30"/>
    <mergeCell ref="K9:N9"/>
    <mergeCell ref="O9:P9"/>
    <mergeCell ref="Q9:R9"/>
    <mergeCell ref="S9:T9"/>
    <mergeCell ref="U9:V9"/>
    <mergeCell ref="W9:AC9"/>
    <mergeCell ref="K10:N10"/>
    <mergeCell ref="O10:P10"/>
    <mergeCell ref="Q10:R10"/>
    <mergeCell ref="S10:T10"/>
    <mergeCell ref="U10:V10"/>
    <mergeCell ref="W10:AC10"/>
    <mergeCell ref="B2:D2"/>
    <mergeCell ref="E2:N2"/>
    <mergeCell ref="O2:Q2"/>
    <mergeCell ref="R2:AC2"/>
    <mergeCell ref="B3:D3"/>
    <mergeCell ref="E3:AC3"/>
    <mergeCell ref="B6:AB6"/>
    <mergeCell ref="B7:E7"/>
    <mergeCell ref="F7:AC7"/>
    <mergeCell ref="B4:D4"/>
    <mergeCell ref="E4:N4"/>
    <mergeCell ref="O4:Q4"/>
    <mergeCell ref="R4:AC4"/>
    <mergeCell ref="B5:D5"/>
    <mergeCell ref="E5:N5"/>
    <mergeCell ref="O5:Q5"/>
    <mergeCell ref="R5:AC5"/>
    <mergeCell ref="C8:J8"/>
    <mergeCell ref="K8:N8"/>
    <mergeCell ref="O8:P8"/>
    <mergeCell ref="W14:AC14"/>
    <mergeCell ref="O14:P14"/>
    <mergeCell ref="K12:N12"/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Q8:R8"/>
    <mergeCell ref="S8:T8"/>
    <mergeCell ref="U8:V8"/>
    <mergeCell ref="W8:AC8"/>
    <mergeCell ref="S11:T11"/>
    <mergeCell ref="U11:V11"/>
    <mergeCell ref="W11:AC11"/>
    <mergeCell ref="K16:N16"/>
    <mergeCell ref="O16:P16"/>
    <mergeCell ref="Q16:R16"/>
    <mergeCell ref="S16:T16"/>
    <mergeCell ref="U16:V16"/>
    <mergeCell ref="K14:N14"/>
    <mergeCell ref="Q14:R14"/>
    <mergeCell ref="S14:T14"/>
    <mergeCell ref="U14:V14"/>
    <mergeCell ref="K19:N19"/>
    <mergeCell ref="Q19:R19"/>
    <mergeCell ref="S19:T19"/>
    <mergeCell ref="U19:V19"/>
    <mergeCell ref="W19:AC19"/>
    <mergeCell ref="K11:N11"/>
    <mergeCell ref="O11:P11"/>
    <mergeCell ref="Q11:R11"/>
    <mergeCell ref="K17:N17"/>
    <mergeCell ref="Q17:R17"/>
    <mergeCell ref="S17:T17"/>
    <mergeCell ref="U17:V17"/>
    <mergeCell ref="W17:AC17"/>
    <mergeCell ref="K18:N18"/>
    <mergeCell ref="Q18:R18"/>
    <mergeCell ref="S18:T18"/>
    <mergeCell ref="U18:V18"/>
    <mergeCell ref="W18:AC18"/>
    <mergeCell ref="O15:P15"/>
    <mergeCell ref="K15:N15"/>
    <mergeCell ref="Q15:R15"/>
    <mergeCell ref="S15:T15"/>
    <mergeCell ref="U15:V15"/>
    <mergeCell ref="W15:AC15"/>
    <mergeCell ref="K21:N21"/>
    <mergeCell ref="O21:P21"/>
    <mergeCell ref="Q21:R21"/>
    <mergeCell ref="S21:T21"/>
    <mergeCell ref="U21:V21"/>
    <mergeCell ref="W21:AC21"/>
    <mergeCell ref="K20:N20"/>
    <mergeCell ref="Q20:R20"/>
    <mergeCell ref="S20:T20"/>
    <mergeCell ref="U20:V20"/>
    <mergeCell ref="W20:AC20"/>
    <mergeCell ref="K22:N22"/>
    <mergeCell ref="O22:P22"/>
    <mergeCell ref="Q22:R22"/>
    <mergeCell ref="S22:T22"/>
    <mergeCell ref="U22:V22"/>
    <mergeCell ref="W22:AC22"/>
    <mergeCell ref="K24:N24"/>
    <mergeCell ref="O24:P24"/>
    <mergeCell ref="Q24:R24"/>
    <mergeCell ref="S24:T24"/>
    <mergeCell ref="U24:V24"/>
    <mergeCell ref="W24:AC24"/>
    <mergeCell ref="K23:N23"/>
    <mergeCell ref="O23:P23"/>
    <mergeCell ref="Q23:R23"/>
    <mergeCell ref="S23:T23"/>
    <mergeCell ref="U23:V23"/>
    <mergeCell ref="W23:AC23"/>
    <mergeCell ref="O30:P30"/>
    <mergeCell ref="Q30:R30"/>
    <mergeCell ref="S30:T30"/>
    <mergeCell ref="U30:V30"/>
    <mergeCell ref="W30:AC30"/>
    <mergeCell ref="K32:N32"/>
    <mergeCell ref="O32:P32"/>
    <mergeCell ref="Q32:R32"/>
    <mergeCell ref="S32:T32"/>
    <mergeCell ref="U32:V32"/>
    <mergeCell ref="W32:AC32"/>
    <mergeCell ref="K31:N31"/>
    <mergeCell ref="O31:P31"/>
    <mergeCell ref="Q31:R31"/>
    <mergeCell ref="S31:T31"/>
    <mergeCell ref="U31:V31"/>
    <mergeCell ref="W31:AC31"/>
    <mergeCell ref="B38:AC38"/>
    <mergeCell ref="B39:AC39"/>
    <mergeCell ref="B40:AC41"/>
    <mergeCell ref="K37:N37"/>
    <mergeCell ref="O37:P37"/>
    <mergeCell ref="Q37:R37"/>
    <mergeCell ref="S37:T37"/>
    <mergeCell ref="U37:V37"/>
    <mergeCell ref="W37:AC37"/>
    <mergeCell ref="W16:AC16"/>
    <mergeCell ref="K36:N36"/>
    <mergeCell ref="O36:P36"/>
    <mergeCell ref="Q36:R36"/>
    <mergeCell ref="S36:T36"/>
    <mergeCell ref="U36:V36"/>
    <mergeCell ref="W36:AC36"/>
    <mergeCell ref="K34:N34"/>
    <mergeCell ref="O34:P34"/>
    <mergeCell ref="Q34:R34"/>
    <mergeCell ref="S34:T34"/>
    <mergeCell ref="U34:V34"/>
    <mergeCell ref="W34:AC34"/>
    <mergeCell ref="K33:N33"/>
    <mergeCell ref="O33:P33"/>
    <mergeCell ref="Q33:R33"/>
    <mergeCell ref="S33:T33"/>
    <mergeCell ref="U33:V33"/>
    <mergeCell ref="W33:AC33"/>
    <mergeCell ref="K26:N26"/>
    <mergeCell ref="O26:P26"/>
    <mergeCell ref="Q26:R26"/>
    <mergeCell ref="S26:T26"/>
    <mergeCell ref="U26:V26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FFE699"/>
    <pageSetUpPr fitToPage="1"/>
  </sheetPr>
  <dimension ref="A1:AC28"/>
  <sheetViews>
    <sheetView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str">
        <f xml:space="preserve"> ERP_인터페이스목록!C18</f>
        <v>출하예정 삭제(판매출하)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ERP_인터페이스목록!G18</f>
        <v>O2W_OB_SO_DEL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str">
        <f>ERP_인터페이스목록!J18</f>
        <v>/{bizSeq}/sif/obrq01/dels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278</v>
      </c>
      <c r="C4" s="516"/>
      <c r="D4" s="516"/>
      <c r="E4" s="515" t="str">
        <f>ERP_인터페이스목록!L18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279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ERP_인터페이스목록!D18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ERP_인터페이스목록!E18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282</v>
      </c>
      <c r="C8" s="500" t="s">
        <v>47</v>
      </c>
      <c r="D8" s="500"/>
      <c r="E8" s="500"/>
      <c r="F8" s="500"/>
      <c r="G8" s="500"/>
      <c r="H8" s="500"/>
      <c r="I8" s="500"/>
      <c r="J8" s="500"/>
      <c r="K8" s="500" t="s">
        <v>93</v>
      </c>
      <c r="L8" s="500"/>
      <c r="M8" s="500"/>
      <c r="N8" s="500"/>
      <c r="O8" s="500" t="s">
        <v>49</v>
      </c>
      <c r="P8" s="500"/>
      <c r="Q8" s="500" t="s">
        <v>50</v>
      </c>
      <c r="R8" s="500"/>
      <c r="S8" s="500" t="s">
        <v>51</v>
      </c>
      <c r="T8" s="500"/>
      <c r="U8" s="500" t="s">
        <v>74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55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64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58">
        <v>1</v>
      </c>
      <c r="C11" s="59" t="s">
        <v>129</v>
      </c>
      <c r="D11" s="59"/>
      <c r="E11" s="59"/>
      <c r="F11" s="59"/>
      <c r="G11" s="59"/>
      <c r="H11" s="59"/>
      <c r="I11" s="59"/>
      <c r="J11" s="60"/>
      <c r="K11" s="634" t="s">
        <v>141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>
      <c r="B12" s="49">
        <v>2</v>
      </c>
      <c r="C12" s="51"/>
      <c r="D12" s="51" t="s">
        <v>130</v>
      </c>
      <c r="E12" s="51"/>
      <c r="F12" s="51"/>
      <c r="G12" s="51"/>
      <c r="H12" s="51"/>
      <c r="I12" s="51"/>
      <c r="J12" s="52"/>
      <c r="K12" s="501" t="s">
        <v>329</v>
      </c>
      <c r="L12" s="501"/>
      <c r="M12" s="501"/>
      <c r="N12" s="501"/>
      <c r="O12" s="494" t="s">
        <v>62</v>
      </c>
      <c r="P12" s="496"/>
      <c r="Q12" s="502">
        <v>20</v>
      </c>
      <c r="R12" s="502"/>
      <c r="S12" s="502" t="s">
        <v>63</v>
      </c>
      <c r="T12" s="502"/>
      <c r="U12" s="502" t="s">
        <v>57</v>
      </c>
      <c r="V12" s="502"/>
      <c r="W12" s="643" t="s">
        <v>428</v>
      </c>
      <c r="X12" s="644"/>
      <c r="Y12" s="644"/>
      <c r="Z12" s="644"/>
      <c r="AA12" s="644"/>
      <c r="AB12" s="644"/>
      <c r="AC12" s="645"/>
    </row>
    <row r="13" spans="1:29">
      <c r="B13" s="49">
        <v>2</v>
      </c>
      <c r="C13" s="50"/>
      <c r="D13" s="51" t="s">
        <v>691</v>
      </c>
      <c r="E13" s="51"/>
      <c r="F13" s="51"/>
      <c r="G13" s="51"/>
      <c r="H13" s="51"/>
      <c r="I13" s="51"/>
      <c r="J13" s="52"/>
      <c r="K13" s="483" t="s">
        <v>692</v>
      </c>
      <c r="L13" s="484"/>
      <c r="M13" s="484"/>
      <c r="N13" s="485"/>
      <c r="O13" s="467" t="s">
        <v>62</v>
      </c>
      <c r="P13" s="468"/>
      <c r="Q13" s="467">
        <v>50</v>
      </c>
      <c r="R13" s="468"/>
      <c r="S13" s="502" t="s">
        <v>63</v>
      </c>
      <c r="T13" s="502"/>
      <c r="U13" s="467" t="s">
        <v>57</v>
      </c>
      <c r="V13" s="468"/>
      <c r="W13" s="494" t="s">
        <v>674</v>
      </c>
      <c r="X13" s="495"/>
      <c r="Y13" s="495"/>
      <c r="Z13" s="495"/>
      <c r="AA13" s="495"/>
      <c r="AB13" s="495"/>
      <c r="AC13" s="496"/>
    </row>
    <row r="14" spans="1:29"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</row>
    <row r="15" spans="1:29" ht="16.5">
      <c r="B15" s="586" t="s">
        <v>125</v>
      </c>
      <c r="C15" s="587"/>
      <c r="D15" s="587"/>
      <c r="E15" s="588"/>
      <c r="F15" s="589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591"/>
    </row>
    <row r="16" spans="1:29">
      <c r="B16" s="4" t="s">
        <v>282</v>
      </c>
      <c r="C16" s="512" t="s">
        <v>47</v>
      </c>
      <c r="D16" s="592"/>
      <c r="E16" s="592"/>
      <c r="F16" s="592"/>
      <c r="G16" s="592"/>
      <c r="H16" s="592"/>
      <c r="I16" s="592"/>
      <c r="J16" s="513"/>
      <c r="K16" s="512" t="s">
        <v>93</v>
      </c>
      <c r="L16" s="592"/>
      <c r="M16" s="592"/>
      <c r="N16" s="513"/>
      <c r="O16" s="512" t="s">
        <v>49</v>
      </c>
      <c r="P16" s="513"/>
      <c r="Q16" s="512" t="s">
        <v>50</v>
      </c>
      <c r="R16" s="513"/>
      <c r="S16" s="512" t="s">
        <v>51</v>
      </c>
      <c r="T16" s="513"/>
      <c r="U16" s="512" t="s">
        <v>74</v>
      </c>
      <c r="V16" s="513"/>
      <c r="W16" s="512" t="s">
        <v>53</v>
      </c>
      <c r="X16" s="592"/>
      <c r="Y16" s="592"/>
      <c r="Z16" s="592"/>
      <c r="AA16" s="592"/>
      <c r="AB16" s="592"/>
      <c r="AC16" s="513"/>
    </row>
    <row r="17" spans="2:29" ht="13.5" customHeight="1">
      <c r="B17" s="49">
        <v>1</v>
      </c>
      <c r="C17" s="50" t="s">
        <v>86</v>
      </c>
      <c r="D17" s="51"/>
      <c r="E17" s="51"/>
      <c r="F17" s="51"/>
      <c r="G17" s="51"/>
      <c r="H17" s="51"/>
      <c r="I17" s="51"/>
      <c r="J17" s="52"/>
      <c r="K17" s="490" t="s">
        <v>87</v>
      </c>
      <c r="L17" s="491"/>
      <c r="M17" s="491"/>
      <c r="N17" s="492"/>
      <c r="O17" s="467" t="s">
        <v>62</v>
      </c>
      <c r="P17" s="468"/>
      <c r="Q17" s="467">
        <v>20</v>
      </c>
      <c r="R17" s="468"/>
      <c r="S17" s="467"/>
      <c r="T17" s="468"/>
      <c r="U17" s="467" t="s">
        <v>57</v>
      </c>
      <c r="V17" s="468"/>
      <c r="W17" s="493" t="s">
        <v>352</v>
      </c>
      <c r="X17" s="484"/>
      <c r="Y17" s="484"/>
      <c r="Z17" s="484"/>
      <c r="AA17" s="484"/>
      <c r="AB17" s="484"/>
      <c r="AC17" s="485"/>
    </row>
    <row r="18" spans="2:29">
      <c r="B18" s="49">
        <v>1</v>
      </c>
      <c r="C18" s="50" t="s">
        <v>89</v>
      </c>
      <c r="D18" s="51"/>
      <c r="E18" s="51"/>
      <c r="F18" s="51"/>
      <c r="G18" s="51"/>
      <c r="H18" s="51"/>
      <c r="I18" s="51"/>
      <c r="J18" s="52"/>
      <c r="K18" s="494" t="s">
        <v>75</v>
      </c>
      <c r="L18" s="495"/>
      <c r="M18" s="495"/>
      <c r="N18" s="496"/>
      <c r="O18" s="467" t="s">
        <v>62</v>
      </c>
      <c r="P18" s="468"/>
      <c r="Q18" s="467">
        <v>4000</v>
      </c>
      <c r="R18" s="468"/>
      <c r="S18" s="467"/>
      <c r="T18" s="468"/>
      <c r="U18" s="467" t="s">
        <v>57</v>
      </c>
      <c r="V18" s="468"/>
      <c r="W18" s="483" t="s">
        <v>199</v>
      </c>
      <c r="X18" s="484"/>
      <c r="Y18" s="484"/>
      <c r="Z18" s="484"/>
      <c r="AA18" s="484"/>
      <c r="AB18" s="484"/>
      <c r="AC18" s="485"/>
    </row>
    <row r="19" spans="2:29">
      <c r="B19" s="58">
        <v>1</v>
      </c>
      <c r="C19" s="59" t="s">
        <v>90</v>
      </c>
      <c r="D19" s="59"/>
      <c r="E19" s="59"/>
      <c r="F19" s="59"/>
      <c r="G19" s="59"/>
      <c r="H19" s="59"/>
      <c r="I19" s="59"/>
      <c r="J19" s="60"/>
      <c r="K19" s="497" t="s">
        <v>141</v>
      </c>
      <c r="L19" s="498"/>
      <c r="M19" s="498"/>
      <c r="N19" s="499"/>
      <c r="O19" s="472"/>
      <c r="P19" s="473"/>
      <c r="Q19" s="472"/>
      <c r="R19" s="473"/>
      <c r="S19" s="472"/>
      <c r="T19" s="473"/>
      <c r="U19" s="472"/>
      <c r="V19" s="473"/>
      <c r="W19" s="487"/>
      <c r="X19" s="488"/>
      <c r="Y19" s="488"/>
      <c r="Z19" s="488"/>
      <c r="AA19" s="488"/>
      <c r="AB19" s="488"/>
      <c r="AC19" s="489"/>
    </row>
    <row r="20" spans="2:29">
      <c r="B20" s="49">
        <v>2</v>
      </c>
      <c r="C20" s="50"/>
      <c r="D20" s="51" t="s">
        <v>130</v>
      </c>
      <c r="E20" s="51"/>
      <c r="F20" s="51"/>
      <c r="G20" s="51"/>
      <c r="H20" s="51"/>
      <c r="I20" s="51"/>
      <c r="J20" s="52"/>
      <c r="K20" s="494" t="s">
        <v>329</v>
      </c>
      <c r="L20" s="495"/>
      <c r="M20" s="495"/>
      <c r="N20" s="496"/>
      <c r="O20" s="467" t="s">
        <v>62</v>
      </c>
      <c r="P20" s="468"/>
      <c r="Q20" s="467">
        <v>20</v>
      </c>
      <c r="R20" s="468"/>
      <c r="S20" s="467" t="s">
        <v>63</v>
      </c>
      <c r="T20" s="468"/>
      <c r="U20" s="467" t="s">
        <v>64</v>
      </c>
      <c r="V20" s="468"/>
      <c r="W20" s="464" t="s">
        <v>344</v>
      </c>
      <c r="X20" s="465"/>
      <c r="Y20" s="465"/>
      <c r="Z20" s="465"/>
      <c r="AA20" s="465"/>
      <c r="AB20" s="465"/>
      <c r="AC20" s="466"/>
    </row>
    <row r="21" spans="2:29">
      <c r="B21" s="49">
        <v>2</v>
      </c>
      <c r="C21" s="50"/>
      <c r="D21" s="51" t="s">
        <v>691</v>
      </c>
      <c r="E21" s="51"/>
      <c r="F21" s="51"/>
      <c r="G21" s="51"/>
      <c r="H21" s="51"/>
      <c r="I21" s="51"/>
      <c r="J21" s="52"/>
      <c r="K21" s="483" t="s">
        <v>692</v>
      </c>
      <c r="L21" s="484"/>
      <c r="M21" s="484"/>
      <c r="N21" s="485"/>
      <c r="O21" s="467" t="s">
        <v>62</v>
      </c>
      <c r="P21" s="468"/>
      <c r="Q21" s="467">
        <v>50</v>
      </c>
      <c r="R21" s="468"/>
      <c r="S21" s="502" t="s">
        <v>63</v>
      </c>
      <c r="T21" s="502"/>
      <c r="U21" s="467" t="s">
        <v>57</v>
      </c>
      <c r="V21" s="468"/>
      <c r="W21" s="494" t="s">
        <v>674</v>
      </c>
      <c r="X21" s="495"/>
      <c r="Y21" s="495"/>
      <c r="Z21" s="495"/>
      <c r="AA21" s="495"/>
      <c r="AB21" s="495"/>
      <c r="AC21" s="496"/>
    </row>
    <row r="22" spans="2:29" ht="13.5" customHeight="1">
      <c r="B22" s="49">
        <v>2</v>
      </c>
      <c r="C22" s="61"/>
      <c r="D22" s="62" t="s">
        <v>77</v>
      </c>
      <c r="E22" s="51"/>
      <c r="F22" s="51"/>
      <c r="G22" s="62"/>
      <c r="H22" s="62"/>
      <c r="I22" s="62"/>
      <c r="J22" s="63"/>
      <c r="K22" s="469" t="s">
        <v>127</v>
      </c>
      <c r="L22" s="470"/>
      <c r="M22" s="470"/>
      <c r="N22" s="471"/>
      <c r="O22" s="467" t="s">
        <v>62</v>
      </c>
      <c r="P22" s="468"/>
      <c r="Q22" s="467">
        <v>1</v>
      </c>
      <c r="R22" s="468"/>
      <c r="S22" s="467"/>
      <c r="T22" s="468"/>
      <c r="U22" s="467" t="s">
        <v>57</v>
      </c>
      <c r="V22" s="468"/>
      <c r="W22" s="493" t="s">
        <v>352</v>
      </c>
      <c r="X22" s="484"/>
      <c r="Y22" s="484"/>
      <c r="Z22" s="484"/>
      <c r="AA22" s="484"/>
      <c r="AB22" s="484"/>
      <c r="AC22" s="485"/>
    </row>
    <row r="23" spans="2:29">
      <c r="B23" s="49">
        <v>2</v>
      </c>
      <c r="C23" s="61"/>
      <c r="D23" s="62" t="s">
        <v>79</v>
      </c>
      <c r="E23" s="51"/>
      <c r="F23" s="51"/>
      <c r="G23" s="62"/>
      <c r="H23" s="62"/>
      <c r="I23" s="62"/>
      <c r="J23" s="63"/>
      <c r="K23" s="469" t="s">
        <v>140</v>
      </c>
      <c r="L23" s="470"/>
      <c r="M23" s="470"/>
      <c r="N23" s="471"/>
      <c r="O23" s="467" t="s">
        <v>62</v>
      </c>
      <c r="P23" s="468"/>
      <c r="Q23" s="467">
        <v>100</v>
      </c>
      <c r="R23" s="468"/>
      <c r="S23" s="467"/>
      <c r="T23" s="468"/>
      <c r="U23" s="467"/>
      <c r="V23" s="468"/>
      <c r="W23" s="464" t="s">
        <v>80</v>
      </c>
      <c r="X23" s="465"/>
      <c r="Y23" s="465"/>
      <c r="Z23" s="465"/>
      <c r="AA23" s="465"/>
      <c r="AB23" s="465"/>
      <c r="AC23" s="466"/>
    </row>
    <row r="24" spans="2:29" ht="16.5">
      <c r="B24" s="625"/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625"/>
      <c r="V24" s="625"/>
      <c r="W24" s="625"/>
      <c r="X24" s="625"/>
      <c r="Y24" s="625"/>
      <c r="Z24" s="625"/>
      <c r="AA24" s="625"/>
      <c r="AB24" s="625"/>
      <c r="AC24" s="625"/>
    </row>
    <row r="25" spans="2:29">
      <c r="B25" s="474" t="s">
        <v>72</v>
      </c>
      <c r="C25" s="475"/>
      <c r="D25" s="475"/>
      <c r="E25" s="475"/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6"/>
    </row>
    <row r="26" spans="2:29" ht="13.5" customHeight="1">
      <c r="B26" s="568"/>
      <c r="C26" s="478"/>
      <c r="D26" s="478"/>
      <c r="E26" s="478"/>
      <c r="F26" s="478"/>
      <c r="G26" s="478"/>
      <c r="H26" s="478"/>
      <c r="I26" s="478"/>
      <c r="J26" s="478"/>
      <c r="K26" s="478"/>
      <c r="L26" s="478"/>
      <c r="M26" s="478"/>
      <c r="N26" s="478"/>
      <c r="O26" s="478"/>
      <c r="P26" s="478"/>
      <c r="Q26" s="478"/>
      <c r="R26" s="478"/>
      <c r="S26" s="478"/>
      <c r="T26" s="478"/>
      <c r="U26" s="478"/>
      <c r="V26" s="478"/>
      <c r="W26" s="478"/>
      <c r="X26" s="478"/>
      <c r="Y26" s="478"/>
      <c r="Z26" s="478"/>
      <c r="AA26" s="478"/>
      <c r="AB26" s="478"/>
      <c r="AC26" s="479"/>
    </row>
    <row r="27" spans="2:29">
      <c r="B27" s="480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  <c r="AC27" s="482"/>
    </row>
    <row r="28" spans="2:29" ht="16.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</sheetData>
  <mergeCells count="109">
    <mergeCell ref="W13:AC13"/>
    <mergeCell ref="K21:N21"/>
    <mergeCell ref="O21:P21"/>
    <mergeCell ref="Q21:R21"/>
    <mergeCell ref="S21:T21"/>
    <mergeCell ref="U21:V21"/>
    <mergeCell ref="W21:AC21"/>
    <mergeCell ref="K13:N13"/>
    <mergeCell ref="O13:P13"/>
    <mergeCell ref="Q13:R13"/>
    <mergeCell ref="S13:T13"/>
    <mergeCell ref="U13:V13"/>
    <mergeCell ref="W17:AC17"/>
    <mergeCell ref="B14:AC14"/>
    <mergeCell ref="B15:E15"/>
    <mergeCell ref="F15:AC15"/>
    <mergeCell ref="C16:J16"/>
    <mergeCell ref="K16:N16"/>
    <mergeCell ref="O16:P16"/>
    <mergeCell ref="Q16:R16"/>
    <mergeCell ref="S16:T16"/>
    <mergeCell ref="U16:V16"/>
    <mergeCell ref="W16:AC16"/>
    <mergeCell ref="K17:N17"/>
    <mergeCell ref="B2:D2"/>
    <mergeCell ref="E2:N2"/>
    <mergeCell ref="O2:Q2"/>
    <mergeCell ref="R2:AC2"/>
    <mergeCell ref="B3:D3"/>
    <mergeCell ref="E3:AC3"/>
    <mergeCell ref="B4:D4"/>
    <mergeCell ref="E4:N4"/>
    <mergeCell ref="O4:Q4"/>
    <mergeCell ref="R4:AC4"/>
    <mergeCell ref="B5:D5"/>
    <mergeCell ref="E5:N5"/>
    <mergeCell ref="O5:Q5"/>
    <mergeCell ref="R5:AC5"/>
    <mergeCell ref="W9:AC9"/>
    <mergeCell ref="B6:AB6"/>
    <mergeCell ref="B7:E7"/>
    <mergeCell ref="F7:AC7"/>
    <mergeCell ref="C8:J8"/>
    <mergeCell ref="K8:N8"/>
    <mergeCell ref="O8:P8"/>
    <mergeCell ref="Q8:R8"/>
    <mergeCell ref="S8:T8"/>
    <mergeCell ref="U8:V8"/>
    <mergeCell ref="W8:AC8"/>
    <mergeCell ref="K9:N9"/>
    <mergeCell ref="O9:P9"/>
    <mergeCell ref="Q9:R9"/>
    <mergeCell ref="S9:T9"/>
    <mergeCell ref="U9:V9"/>
    <mergeCell ref="W12:AC12"/>
    <mergeCell ref="K11:N11"/>
    <mergeCell ref="O11:P11"/>
    <mergeCell ref="Q11:R11"/>
    <mergeCell ref="S11:T11"/>
    <mergeCell ref="U11:V11"/>
    <mergeCell ref="W11:AC11"/>
    <mergeCell ref="K12:N12"/>
    <mergeCell ref="O12:P12"/>
    <mergeCell ref="Q12:R12"/>
    <mergeCell ref="S12:T12"/>
    <mergeCell ref="U12:V12"/>
    <mergeCell ref="Q22:R22"/>
    <mergeCell ref="S22:T22"/>
    <mergeCell ref="U22:V22"/>
    <mergeCell ref="O17:P17"/>
    <mergeCell ref="Q17:R17"/>
    <mergeCell ref="S17:T17"/>
    <mergeCell ref="U17:V17"/>
    <mergeCell ref="W19:AC19"/>
    <mergeCell ref="K18:N18"/>
    <mergeCell ref="O18:P18"/>
    <mergeCell ref="Q18:R18"/>
    <mergeCell ref="S18:T18"/>
    <mergeCell ref="U18:V18"/>
    <mergeCell ref="W18:AC18"/>
    <mergeCell ref="K19:N19"/>
    <mergeCell ref="O19:P19"/>
    <mergeCell ref="Q19:R19"/>
    <mergeCell ref="S19:T19"/>
    <mergeCell ref="U19:V19"/>
    <mergeCell ref="W10:AC10"/>
    <mergeCell ref="K10:N10"/>
    <mergeCell ref="O10:P10"/>
    <mergeCell ref="Q10:R10"/>
    <mergeCell ref="S10:T10"/>
    <mergeCell ref="U10:V10"/>
    <mergeCell ref="B24:AC24"/>
    <mergeCell ref="B25:AC25"/>
    <mergeCell ref="B26:AC27"/>
    <mergeCell ref="K23:N23"/>
    <mergeCell ref="O23:P23"/>
    <mergeCell ref="Q23:R23"/>
    <mergeCell ref="S23:T23"/>
    <mergeCell ref="U23:V23"/>
    <mergeCell ref="W23:AC23"/>
    <mergeCell ref="W22:AC22"/>
    <mergeCell ref="K20:N20"/>
    <mergeCell ref="O20:P20"/>
    <mergeCell ref="Q20:R20"/>
    <mergeCell ref="S20:T20"/>
    <mergeCell ref="U20:V20"/>
    <mergeCell ref="W20:AC20"/>
    <mergeCell ref="K22:N22"/>
    <mergeCell ref="O22:P22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FFE699"/>
    <pageSetUpPr fitToPage="1"/>
  </sheetPr>
  <dimension ref="A1:AC28"/>
  <sheetViews>
    <sheetView zoomScaleSheetLayoutView="100" zoomScalePageLayoutView="55" workbookViewId="0">
      <selection activeCell="AF27" sqref="AF27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38</v>
      </c>
    </row>
    <row r="2" spans="1:29" ht="20.25" customHeight="1">
      <c r="B2" s="514" t="s">
        <v>39</v>
      </c>
      <c r="C2" s="514"/>
      <c r="D2" s="514"/>
      <c r="E2" s="515" t="e">
        <f xml:space="preserve"> ERP_인터페이스목록!#REF!</f>
        <v>#REF!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e">
        <f>ERP_인터페이스목록!#REF!</f>
        <v>#REF!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41</v>
      </c>
      <c r="C3" s="514"/>
      <c r="D3" s="514"/>
      <c r="E3" s="515" t="e">
        <f>ERP_인터페이스목록!#REF!</f>
        <v>#REF!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278</v>
      </c>
      <c r="C4" s="516"/>
      <c r="D4" s="516"/>
      <c r="E4" s="515" t="e">
        <f>ERP_인터페이스목록!#REF!</f>
        <v>#REF!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279</v>
      </c>
      <c r="P4" s="516"/>
      <c r="Q4" s="516"/>
      <c r="R4" s="515" t="s">
        <v>44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e">
        <f>ERP_인터페이스목록!#REF!</f>
        <v>#REF!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e">
        <f>ERP_인터페이스목록!#REF!</f>
        <v>#REF!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45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282</v>
      </c>
      <c r="C8" s="500" t="s">
        <v>47</v>
      </c>
      <c r="D8" s="500"/>
      <c r="E8" s="500"/>
      <c r="F8" s="500"/>
      <c r="G8" s="500"/>
      <c r="H8" s="500"/>
      <c r="I8" s="500"/>
      <c r="J8" s="500"/>
      <c r="K8" s="500" t="s">
        <v>93</v>
      </c>
      <c r="L8" s="500"/>
      <c r="M8" s="500"/>
      <c r="N8" s="500"/>
      <c r="O8" s="500" t="s">
        <v>49</v>
      </c>
      <c r="P8" s="500"/>
      <c r="Q8" s="500" t="s">
        <v>50</v>
      </c>
      <c r="R8" s="500"/>
      <c r="S8" s="500" t="s">
        <v>51</v>
      </c>
      <c r="T8" s="500"/>
      <c r="U8" s="500" t="s">
        <v>74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55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64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58">
        <v>1</v>
      </c>
      <c r="C11" s="59" t="s">
        <v>129</v>
      </c>
      <c r="D11" s="59"/>
      <c r="E11" s="59"/>
      <c r="F11" s="59"/>
      <c r="G11" s="59"/>
      <c r="H11" s="59"/>
      <c r="I11" s="59"/>
      <c r="J11" s="60"/>
      <c r="K11" s="634" t="s">
        <v>141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>
      <c r="B12" s="49">
        <v>2</v>
      </c>
      <c r="C12" s="51"/>
      <c r="D12" s="51" t="s">
        <v>130</v>
      </c>
      <c r="E12" s="51"/>
      <c r="F12" s="51"/>
      <c r="G12" s="51"/>
      <c r="H12" s="51"/>
      <c r="I12" s="51"/>
      <c r="J12" s="52"/>
      <c r="K12" s="501" t="s">
        <v>329</v>
      </c>
      <c r="L12" s="501"/>
      <c r="M12" s="501"/>
      <c r="N12" s="501"/>
      <c r="O12" s="494" t="s">
        <v>62</v>
      </c>
      <c r="P12" s="496"/>
      <c r="Q12" s="502">
        <v>20</v>
      </c>
      <c r="R12" s="502"/>
      <c r="S12" s="502" t="s">
        <v>63</v>
      </c>
      <c r="T12" s="502"/>
      <c r="U12" s="502" t="s">
        <v>57</v>
      </c>
      <c r="V12" s="502"/>
      <c r="W12" s="643" t="s">
        <v>428</v>
      </c>
      <c r="X12" s="644"/>
      <c r="Y12" s="644"/>
      <c r="Z12" s="644"/>
      <c r="AA12" s="644"/>
      <c r="AB12" s="644"/>
      <c r="AC12" s="645"/>
    </row>
    <row r="13" spans="1:29">
      <c r="B13" s="49">
        <v>2</v>
      </c>
      <c r="C13" s="50"/>
      <c r="D13" s="51" t="s">
        <v>691</v>
      </c>
      <c r="E13" s="51"/>
      <c r="F13" s="51"/>
      <c r="G13" s="51"/>
      <c r="H13" s="51"/>
      <c r="I13" s="51"/>
      <c r="J13" s="52"/>
      <c r="K13" s="483" t="s">
        <v>692</v>
      </c>
      <c r="L13" s="484"/>
      <c r="M13" s="484"/>
      <c r="N13" s="485"/>
      <c r="O13" s="467" t="s">
        <v>62</v>
      </c>
      <c r="P13" s="468"/>
      <c r="Q13" s="467">
        <v>50</v>
      </c>
      <c r="R13" s="468"/>
      <c r="S13" s="502" t="s">
        <v>63</v>
      </c>
      <c r="T13" s="502"/>
      <c r="U13" s="467" t="s">
        <v>57</v>
      </c>
      <c r="V13" s="468"/>
      <c r="W13" s="494" t="s">
        <v>674</v>
      </c>
      <c r="X13" s="495"/>
      <c r="Y13" s="495"/>
      <c r="Z13" s="495"/>
      <c r="AA13" s="495"/>
      <c r="AB13" s="495"/>
      <c r="AC13" s="496"/>
    </row>
    <row r="14" spans="1:29"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</row>
    <row r="15" spans="1:29" ht="16.5">
      <c r="B15" s="586" t="s">
        <v>125</v>
      </c>
      <c r="C15" s="587"/>
      <c r="D15" s="587"/>
      <c r="E15" s="588"/>
      <c r="F15" s="589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591"/>
    </row>
    <row r="16" spans="1:29">
      <c r="B16" s="4" t="s">
        <v>282</v>
      </c>
      <c r="C16" s="512" t="s">
        <v>47</v>
      </c>
      <c r="D16" s="592"/>
      <c r="E16" s="592"/>
      <c r="F16" s="592"/>
      <c r="G16" s="592"/>
      <c r="H16" s="592"/>
      <c r="I16" s="592"/>
      <c r="J16" s="513"/>
      <c r="K16" s="512" t="s">
        <v>93</v>
      </c>
      <c r="L16" s="592"/>
      <c r="M16" s="592"/>
      <c r="N16" s="513"/>
      <c r="O16" s="512" t="s">
        <v>49</v>
      </c>
      <c r="P16" s="513"/>
      <c r="Q16" s="512" t="s">
        <v>50</v>
      </c>
      <c r="R16" s="513"/>
      <c r="S16" s="512" t="s">
        <v>51</v>
      </c>
      <c r="T16" s="513"/>
      <c r="U16" s="512" t="s">
        <v>74</v>
      </c>
      <c r="V16" s="513"/>
      <c r="W16" s="512" t="s">
        <v>53</v>
      </c>
      <c r="X16" s="592"/>
      <c r="Y16" s="592"/>
      <c r="Z16" s="592"/>
      <c r="AA16" s="592"/>
      <c r="AB16" s="592"/>
      <c r="AC16" s="513"/>
    </row>
    <row r="17" spans="2:29" ht="13.5" customHeight="1">
      <c r="B17" s="49">
        <v>1</v>
      </c>
      <c r="C17" s="50" t="s">
        <v>86</v>
      </c>
      <c r="D17" s="51"/>
      <c r="E17" s="51"/>
      <c r="F17" s="51"/>
      <c r="G17" s="51"/>
      <c r="H17" s="51"/>
      <c r="I17" s="51"/>
      <c r="J17" s="52"/>
      <c r="K17" s="490" t="s">
        <v>87</v>
      </c>
      <c r="L17" s="491"/>
      <c r="M17" s="491"/>
      <c r="N17" s="492"/>
      <c r="O17" s="467" t="s">
        <v>62</v>
      </c>
      <c r="P17" s="468"/>
      <c r="Q17" s="467">
        <v>20</v>
      </c>
      <c r="R17" s="468"/>
      <c r="S17" s="467"/>
      <c r="T17" s="468"/>
      <c r="U17" s="467" t="s">
        <v>57</v>
      </c>
      <c r="V17" s="468"/>
      <c r="W17" s="493" t="s">
        <v>352</v>
      </c>
      <c r="X17" s="484"/>
      <c r="Y17" s="484"/>
      <c r="Z17" s="484"/>
      <c r="AA17" s="484"/>
      <c r="AB17" s="484"/>
      <c r="AC17" s="485"/>
    </row>
    <row r="18" spans="2:29">
      <c r="B18" s="49">
        <v>1</v>
      </c>
      <c r="C18" s="50" t="s">
        <v>89</v>
      </c>
      <c r="D18" s="51"/>
      <c r="E18" s="51"/>
      <c r="F18" s="51"/>
      <c r="G18" s="51"/>
      <c r="H18" s="51"/>
      <c r="I18" s="51"/>
      <c r="J18" s="52"/>
      <c r="K18" s="494" t="s">
        <v>75</v>
      </c>
      <c r="L18" s="495"/>
      <c r="M18" s="495"/>
      <c r="N18" s="496"/>
      <c r="O18" s="467" t="s">
        <v>62</v>
      </c>
      <c r="P18" s="468"/>
      <c r="Q18" s="467">
        <v>4000</v>
      </c>
      <c r="R18" s="468"/>
      <c r="S18" s="467"/>
      <c r="T18" s="468"/>
      <c r="U18" s="467" t="s">
        <v>57</v>
      </c>
      <c r="V18" s="468"/>
      <c r="W18" s="483" t="s">
        <v>199</v>
      </c>
      <c r="X18" s="484"/>
      <c r="Y18" s="484"/>
      <c r="Z18" s="484"/>
      <c r="AA18" s="484"/>
      <c r="AB18" s="484"/>
      <c r="AC18" s="485"/>
    </row>
    <row r="19" spans="2:29">
      <c r="B19" s="58">
        <v>1</v>
      </c>
      <c r="C19" s="59" t="s">
        <v>90</v>
      </c>
      <c r="D19" s="59"/>
      <c r="E19" s="59"/>
      <c r="F19" s="59"/>
      <c r="G19" s="59"/>
      <c r="H19" s="59"/>
      <c r="I19" s="59"/>
      <c r="J19" s="60"/>
      <c r="K19" s="497" t="s">
        <v>141</v>
      </c>
      <c r="L19" s="498"/>
      <c r="M19" s="498"/>
      <c r="N19" s="499"/>
      <c r="O19" s="472"/>
      <c r="P19" s="473"/>
      <c r="Q19" s="472"/>
      <c r="R19" s="473"/>
      <c r="S19" s="472"/>
      <c r="T19" s="473"/>
      <c r="U19" s="472"/>
      <c r="V19" s="473"/>
      <c r="W19" s="487"/>
      <c r="X19" s="488"/>
      <c r="Y19" s="488"/>
      <c r="Z19" s="488"/>
      <c r="AA19" s="488"/>
      <c r="AB19" s="488"/>
      <c r="AC19" s="489"/>
    </row>
    <row r="20" spans="2:29">
      <c r="B20" s="49">
        <v>2</v>
      </c>
      <c r="C20" s="50"/>
      <c r="D20" s="51" t="s">
        <v>130</v>
      </c>
      <c r="E20" s="51"/>
      <c r="F20" s="51"/>
      <c r="G20" s="51"/>
      <c r="H20" s="51"/>
      <c r="I20" s="51"/>
      <c r="J20" s="52"/>
      <c r="K20" s="494" t="s">
        <v>329</v>
      </c>
      <c r="L20" s="495"/>
      <c r="M20" s="495"/>
      <c r="N20" s="496"/>
      <c r="O20" s="467" t="s">
        <v>62</v>
      </c>
      <c r="P20" s="468"/>
      <c r="Q20" s="467">
        <v>20</v>
      </c>
      <c r="R20" s="468"/>
      <c r="S20" s="467" t="s">
        <v>63</v>
      </c>
      <c r="T20" s="468"/>
      <c r="U20" s="467" t="s">
        <v>64</v>
      </c>
      <c r="V20" s="468"/>
      <c r="W20" s="464" t="s">
        <v>344</v>
      </c>
      <c r="X20" s="465"/>
      <c r="Y20" s="465"/>
      <c r="Z20" s="465"/>
      <c r="AA20" s="465"/>
      <c r="AB20" s="465"/>
      <c r="AC20" s="466"/>
    </row>
    <row r="21" spans="2:29">
      <c r="B21" s="49">
        <v>2</v>
      </c>
      <c r="C21" s="50"/>
      <c r="D21" s="51" t="s">
        <v>691</v>
      </c>
      <c r="E21" s="51"/>
      <c r="F21" s="51"/>
      <c r="G21" s="51"/>
      <c r="H21" s="51"/>
      <c r="I21" s="51"/>
      <c r="J21" s="52"/>
      <c r="K21" s="483" t="s">
        <v>692</v>
      </c>
      <c r="L21" s="484"/>
      <c r="M21" s="484"/>
      <c r="N21" s="485"/>
      <c r="O21" s="467" t="s">
        <v>62</v>
      </c>
      <c r="P21" s="468"/>
      <c r="Q21" s="467">
        <v>50</v>
      </c>
      <c r="R21" s="468"/>
      <c r="S21" s="502" t="s">
        <v>63</v>
      </c>
      <c r="T21" s="502"/>
      <c r="U21" s="467" t="s">
        <v>57</v>
      </c>
      <c r="V21" s="468"/>
      <c r="W21" s="494" t="s">
        <v>674</v>
      </c>
      <c r="X21" s="495"/>
      <c r="Y21" s="495"/>
      <c r="Z21" s="495"/>
      <c r="AA21" s="495"/>
      <c r="AB21" s="495"/>
      <c r="AC21" s="496"/>
    </row>
    <row r="22" spans="2:29" ht="13.5" customHeight="1">
      <c r="B22" s="49">
        <v>2</v>
      </c>
      <c r="C22" s="61"/>
      <c r="D22" s="62" t="s">
        <v>77</v>
      </c>
      <c r="E22" s="51"/>
      <c r="F22" s="51"/>
      <c r="G22" s="62"/>
      <c r="H22" s="62"/>
      <c r="I22" s="62"/>
      <c r="J22" s="63"/>
      <c r="K22" s="469" t="s">
        <v>127</v>
      </c>
      <c r="L22" s="470"/>
      <c r="M22" s="470"/>
      <c r="N22" s="471"/>
      <c r="O22" s="467" t="s">
        <v>62</v>
      </c>
      <c r="P22" s="468"/>
      <c r="Q22" s="467">
        <v>1</v>
      </c>
      <c r="R22" s="468"/>
      <c r="S22" s="467"/>
      <c r="T22" s="468"/>
      <c r="U22" s="467" t="s">
        <v>57</v>
      </c>
      <c r="V22" s="468"/>
      <c r="W22" s="493" t="s">
        <v>352</v>
      </c>
      <c r="X22" s="484"/>
      <c r="Y22" s="484"/>
      <c r="Z22" s="484"/>
      <c r="AA22" s="484"/>
      <c r="AB22" s="484"/>
      <c r="AC22" s="485"/>
    </row>
    <row r="23" spans="2:29">
      <c r="B23" s="49">
        <v>2</v>
      </c>
      <c r="C23" s="61"/>
      <c r="D23" s="62" t="s">
        <v>79</v>
      </c>
      <c r="E23" s="51"/>
      <c r="F23" s="51"/>
      <c r="G23" s="62"/>
      <c r="H23" s="62"/>
      <c r="I23" s="62"/>
      <c r="J23" s="63"/>
      <c r="K23" s="469" t="s">
        <v>140</v>
      </c>
      <c r="L23" s="470"/>
      <c r="M23" s="470"/>
      <c r="N23" s="471"/>
      <c r="O23" s="467" t="s">
        <v>62</v>
      </c>
      <c r="P23" s="468"/>
      <c r="Q23" s="467">
        <v>100</v>
      </c>
      <c r="R23" s="468"/>
      <c r="S23" s="467"/>
      <c r="T23" s="468"/>
      <c r="U23" s="467"/>
      <c r="V23" s="468"/>
      <c r="W23" s="464" t="s">
        <v>80</v>
      </c>
      <c r="X23" s="465"/>
      <c r="Y23" s="465"/>
      <c r="Z23" s="465"/>
      <c r="AA23" s="465"/>
      <c r="AB23" s="465"/>
      <c r="AC23" s="466"/>
    </row>
    <row r="24" spans="2:29" ht="16.5">
      <c r="B24" s="625"/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625"/>
      <c r="V24" s="625"/>
      <c r="W24" s="625"/>
      <c r="X24" s="625"/>
      <c r="Y24" s="625"/>
      <c r="Z24" s="625"/>
      <c r="AA24" s="625"/>
      <c r="AB24" s="625"/>
      <c r="AC24" s="625"/>
    </row>
    <row r="25" spans="2:29">
      <c r="B25" s="474" t="s">
        <v>72</v>
      </c>
      <c r="C25" s="475"/>
      <c r="D25" s="475"/>
      <c r="E25" s="475"/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6"/>
    </row>
    <row r="26" spans="2:29" ht="13.5" customHeight="1">
      <c r="B26" s="568" t="s">
        <v>695</v>
      </c>
      <c r="C26" s="478"/>
      <c r="D26" s="478"/>
      <c r="E26" s="478"/>
      <c r="F26" s="478"/>
      <c r="G26" s="478"/>
      <c r="H26" s="478"/>
      <c r="I26" s="478"/>
      <c r="J26" s="478"/>
      <c r="K26" s="478"/>
      <c r="L26" s="478"/>
      <c r="M26" s="478"/>
      <c r="N26" s="478"/>
      <c r="O26" s="478"/>
      <c r="P26" s="478"/>
      <c r="Q26" s="478"/>
      <c r="R26" s="478"/>
      <c r="S26" s="478"/>
      <c r="T26" s="478"/>
      <c r="U26" s="478"/>
      <c r="V26" s="478"/>
      <c r="W26" s="478"/>
      <c r="X26" s="478"/>
      <c r="Y26" s="478"/>
      <c r="Z26" s="478"/>
      <c r="AA26" s="478"/>
      <c r="AB26" s="478"/>
      <c r="AC26" s="479"/>
    </row>
    <row r="27" spans="2:29">
      <c r="B27" s="480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  <c r="AC27" s="482"/>
    </row>
    <row r="28" spans="2:29" ht="16.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</sheetData>
  <mergeCells count="109">
    <mergeCell ref="K13:N13"/>
    <mergeCell ref="O13:P13"/>
    <mergeCell ref="Q13:R13"/>
    <mergeCell ref="S13:T13"/>
    <mergeCell ref="U13:V13"/>
    <mergeCell ref="W13:AC13"/>
    <mergeCell ref="B2:D2"/>
    <mergeCell ref="E2:N2"/>
    <mergeCell ref="O2:Q2"/>
    <mergeCell ref="R2:AC2"/>
    <mergeCell ref="B3:D3"/>
    <mergeCell ref="E3:AC3"/>
    <mergeCell ref="B4:D4"/>
    <mergeCell ref="E4:N4"/>
    <mergeCell ref="O4:Q4"/>
    <mergeCell ref="R4:AC4"/>
    <mergeCell ref="B5:D5"/>
    <mergeCell ref="E5:N5"/>
    <mergeCell ref="O5:Q5"/>
    <mergeCell ref="R5:AC5"/>
    <mergeCell ref="W9:AC9"/>
    <mergeCell ref="B6:AB6"/>
    <mergeCell ref="B7:E7"/>
    <mergeCell ref="F7:AC7"/>
    <mergeCell ref="C8:J8"/>
    <mergeCell ref="K8:N8"/>
    <mergeCell ref="O8:P8"/>
    <mergeCell ref="Q8:R8"/>
    <mergeCell ref="S8:T8"/>
    <mergeCell ref="U8:V8"/>
    <mergeCell ref="W8:AC8"/>
    <mergeCell ref="K9:N9"/>
    <mergeCell ref="O9:P9"/>
    <mergeCell ref="Q9:R9"/>
    <mergeCell ref="S9:T9"/>
    <mergeCell ref="U9:V9"/>
    <mergeCell ref="O11:P11"/>
    <mergeCell ref="Q11:R11"/>
    <mergeCell ref="S11:T11"/>
    <mergeCell ref="U11:V11"/>
    <mergeCell ref="W11:AC11"/>
    <mergeCell ref="K12:N12"/>
    <mergeCell ref="O12:P12"/>
    <mergeCell ref="Q12:R12"/>
    <mergeCell ref="S12:T12"/>
    <mergeCell ref="U12:V12"/>
    <mergeCell ref="W10:AC10"/>
    <mergeCell ref="K10:N10"/>
    <mergeCell ref="O10:P10"/>
    <mergeCell ref="Q10:R10"/>
    <mergeCell ref="S10:T10"/>
    <mergeCell ref="U10:V10"/>
    <mergeCell ref="W17:AC17"/>
    <mergeCell ref="B14:AC14"/>
    <mergeCell ref="B15:E15"/>
    <mergeCell ref="F15:AC15"/>
    <mergeCell ref="C16:J16"/>
    <mergeCell ref="K16:N16"/>
    <mergeCell ref="O16:P16"/>
    <mergeCell ref="Q16:R16"/>
    <mergeCell ref="S16:T16"/>
    <mergeCell ref="U16:V16"/>
    <mergeCell ref="W16:AC16"/>
    <mergeCell ref="K17:N17"/>
    <mergeCell ref="O17:P17"/>
    <mergeCell ref="Q17:R17"/>
    <mergeCell ref="S17:T17"/>
    <mergeCell ref="U17:V17"/>
    <mergeCell ref="W12:AC12"/>
    <mergeCell ref="K11:N11"/>
    <mergeCell ref="W19:AC19"/>
    <mergeCell ref="K18:N18"/>
    <mergeCell ref="O18:P18"/>
    <mergeCell ref="Q18:R18"/>
    <mergeCell ref="S18:T18"/>
    <mergeCell ref="U18:V18"/>
    <mergeCell ref="W18:AC18"/>
    <mergeCell ref="K19:N19"/>
    <mergeCell ref="O19:P19"/>
    <mergeCell ref="Q19:R19"/>
    <mergeCell ref="S19:T19"/>
    <mergeCell ref="U19:V19"/>
    <mergeCell ref="W22:AC22"/>
    <mergeCell ref="K20:N20"/>
    <mergeCell ref="O20:P20"/>
    <mergeCell ref="Q20:R20"/>
    <mergeCell ref="S20:T20"/>
    <mergeCell ref="U20:V20"/>
    <mergeCell ref="W20:AC20"/>
    <mergeCell ref="K22:N22"/>
    <mergeCell ref="O22:P22"/>
    <mergeCell ref="Q22:R22"/>
    <mergeCell ref="S22:T22"/>
    <mergeCell ref="U22:V22"/>
    <mergeCell ref="K21:N21"/>
    <mergeCell ref="O21:P21"/>
    <mergeCell ref="Q21:R21"/>
    <mergeCell ref="S21:T21"/>
    <mergeCell ref="U21:V21"/>
    <mergeCell ref="W21:AC21"/>
    <mergeCell ref="B24:AC24"/>
    <mergeCell ref="B25:AC25"/>
    <mergeCell ref="B26:AC27"/>
    <mergeCell ref="K23:N23"/>
    <mergeCell ref="O23:P23"/>
    <mergeCell ref="Q23:R23"/>
    <mergeCell ref="S23:T23"/>
    <mergeCell ref="U23:V23"/>
    <mergeCell ref="W23:AC23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FFE699"/>
    <pageSetUpPr fitToPage="1"/>
  </sheetPr>
  <dimension ref="A1:AC28"/>
  <sheetViews>
    <sheetView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476</v>
      </c>
    </row>
    <row r="2" spans="1:29" ht="20.25" customHeight="1">
      <c r="B2" s="514" t="s">
        <v>477</v>
      </c>
      <c r="C2" s="514"/>
      <c r="D2" s="514"/>
      <c r="E2" s="515" t="str">
        <f xml:space="preserve"> ERP_인터페이스목록!C19</f>
        <v>출하예정 삭제(삭제오더)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ERP_인터페이스목록!G19</f>
        <v>O2W_OB_CLE_DEL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478</v>
      </c>
      <c r="C3" s="514"/>
      <c r="D3" s="514"/>
      <c r="E3" s="515" t="str">
        <f>ERP_인터페이스목록!J19</f>
        <v>/{bizSeq}/sif/delo01/dels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479</v>
      </c>
      <c r="C4" s="516"/>
      <c r="D4" s="516"/>
      <c r="E4" s="515" t="str">
        <f>ERP_인터페이스목록!L19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347</v>
      </c>
      <c r="P4" s="516"/>
      <c r="Q4" s="516"/>
      <c r="R4" s="515" t="s">
        <v>480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ERP_인터페이스목록!D19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ERP_인터페이스목록!E19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481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482</v>
      </c>
      <c r="C8" s="500" t="s">
        <v>483</v>
      </c>
      <c r="D8" s="500"/>
      <c r="E8" s="500"/>
      <c r="F8" s="500"/>
      <c r="G8" s="500"/>
      <c r="H8" s="500"/>
      <c r="I8" s="500"/>
      <c r="J8" s="500"/>
      <c r="K8" s="500" t="s">
        <v>484</v>
      </c>
      <c r="L8" s="500"/>
      <c r="M8" s="500"/>
      <c r="N8" s="500"/>
      <c r="O8" s="500" t="s">
        <v>485</v>
      </c>
      <c r="P8" s="500"/>
      <c r="Q8" s="500" t="s">
        <v>486</v>
      </c>
      <c r="R8" s="500"/>
      <c r="S8" s="500" t="s">
        <v>487</v>
      </c>
      <c r="T8" s="500"/>
      <c r="U8" s="500" t="s">
        <v>488</v>
      </c>
      <c r="V8" s="500"/>
      <c r="W8" s="500" t="s">
        <v>489</v>
      </c>
      <c r="X8" s="500"/>
      <c r="Y8" s="500"/>
      <c r="Z8" s="500"/>
      <c r="AA8" s="500"/>
      <c r="AB8" s="500"/>
      <c r="AC8" s="500"/>
    </row>
    <row r="9" spans="1:29">
      <c r="B9" s="49">
        <v>1</v>
      </c>
      <c r="C9" s="50" t="s">
        <v>490</v>
      </c>
      <c r="D9" s="51"/>
      <c r="E9" s="51"/>
      <c r="F9" s="51"/>
      <c r="G9" s="51"/>
      <c r="H9" s="51"/>
      <c r="I9" s="51"/>
      <c r="J9" s="52"/>
      <c r="K9" s="509" t="s">
        <v>491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64</v>
      </c>
      <c r="V9" s="468"/>
      <c r="W9" s="493" t="s">
        <v>492</v>
      </c>
      <c r="X9" s="484"/>
      <c r="Y9" s="484"/>
      <c r="Z9" s="484"/>
      <c r="AA9" s="484"/>
      <c r="AB9" s="484"/>
      <c r="AC9" s="485"/>
    </row>
    <row r="10" spans="1:29" ht="1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58">
        <v>1</v>
      </c>
      <c r="C11" s="59" t="s">
        <v>129</v>
      </c>
      <c r="D11" s="59"/>
      <c r="E11" s="59"/>
      <c r="F11" s="59"/>
      <c r="G11" s="59"/>
      <c r="H11" s="59"/>
      <c r="I11" s="59"/>
      <c r="J11" s="60"/>
      <c r="K11" s="634" t="s">
        <v>266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>
      <c r="B12" s="49">
        <v>2</v>
      </c>
      <c r="C12" s="51"/>
      <c r="D12" s="51" t="s">
        <v>130</v>
      </c>
      <c r="E12" s="51"/>
      <c r="F12" s="51"/>
      <c r="G12" s="51"/>
      <c r="H12" s="51"/>
      <c r="I12" s="51"/>
      <c r="J12" s="52"/>
      <c r="K12" s="501" t="s">
        <v>493</v>
      </c>
      <c r="L12" s="501"/>
      <c r="M12" s="501"/>
      <c r="N12" s="501"/>
      <c r="O12" s="494" t="s">
        <v>494</v>
      </c>
      <c r="P12" s="496"/>
      <c r="Q12" s="502">
        <v>20</v>
      </c>
      <c r="R12" s="502"/>
      <c r="S12" s="502" t="s">
        <v>495</v>
      </c>
      <c r="T12" s="502"/>
      <c r="U12" s="502" t="s">
        <v>496</v>
      </c>
      <c r="V12" s="502"/>
      <c r="W12" s="643" t="s">
        <v>497</v>
      </c>
      <c r="X12" s="644"/>
      <c r="Y12" s="644"/>
      <c r="Z12" s="644"/>
      <c r="AA12" s="644"/>
      <c r="AB12" s="644"/>
      <c r="AC12" s="645"/>
    </row>
    <row r="13" spans="1:29">
      <c r="B13" s="49">
        <v>2</v>
      </c>
      <c r="C13" s="50"/>
      <c r="D13" s="51" t="s">
        <v>691</v>
      </c>
      <c r="E13" s="51"/>
      <c r="F13" s="51"/>
      <c r="G13" s="51"/>
      <c r="H13" s="51"/>
      <c r="I13" s="51"/>
      <c r="J13" s="52"/>
      <c r="K13" s="483" t="s">
        <v>692</v>
      </c>
      <c r="L13" s="484"/>
      <c r="M13" s="484"/>
      <c r="N13" s="485"/>
      <c r="O13" s="467" t="s">
        <v>62</v>
      </c>
      <c r="P13" s="468"/>
      <c r="Q13" s="467">
        <v>50</v>
      </c>
      <c r="R13" s="468"/>
      <c r="S13" s="502" t="s">
        <v>63</v>
      </c>
      <c r="T13" s="502"/>
      <c r="U13" s="467" t="s">
        <v>57</v>
      </c>
      <c r="V13" s="468"/>
      <c r="W13" s="494" t="s">
        <v>674</v>
      </c>
      <c r="X13" s="495"/>
      <c r="Y13" s="495"/>
      <c r="Z13" s="495"/>
      <c r="AA13" s="495"/>
      <c r="AB13" s="495"/>
      <c r="AC13" s="496"/>
    </row>
    <row r="14" spans="1:29"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</row>
    <row r="15" spans="1:29" ht="16.5">
      <c r="B15" s="586" t="s">
        <v>499</v>
      </c>
      <c r="C15" s="587"/>
      <c r="D15" s="587"/>
      <c r="E15" s="588"/>
      <c r="F15" s="589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590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591"/>
    </row>
    <row r="16" spans="1:29">
      <c r="B16" s="4" t="s">
        <v>326</v>
      </c>
      <c r="C16" s="512" t="s">
        <v>500</v>
      </c>
      <c r="D16" s="592"/>
      <c r="E16" s="592"/>
      <c r="F16" s="592"/>
      <c r="G16" s="592"/>
      <c r="H16" s="592"/>
      <c r="I16" s="592"/>
      <c r="J16" s="513"/>
      <c r="K16" s="512" t="s">
        <v>501</v>
      </c>
      <c r="L16" s="592"/>
      <c r="M16" s="592"/>
      <c r="N16" s="513"/>
      <c r="O16" s="512" t="s">
        <v>485</v>
      </c>
      <c r="P16" s="513"/>
      <c r="Q16" s="512" t="s">
        <v>197</v>
      </c>
      <c r="R16" s="513"/>
      <c r="S16" s="512" t="s">
        <v>487</v>
      </c>
      <c r="T16" s="513"/>
      <c r="U16" s="512" t="s">
        <v>488</v>
      </c>
      <c r="V16" s="513"/>
      <c r="W16" s="512" t="s">
        <v>489</v>
      </c>
      <c r="X16" s="592"/>
      <c r="Y16" s="592"/>
      <c r="Z16" s="592"/>
      <c r="AA16" s="592"/>
      <c r="AB16" s="592"/>
      <c r="AC16" s="513"/>
    </row>
    <row r="17" spans="2:29" ht="13.5" customHeight="1">
      <c r="B17" s="49">
        <v>1</v>
      </c>
      <c r="C17" s="50" t="s">
        <v>86</v>
      </c>
      <c r="D17" s="51"/>
      <c r="E17" s="51"/>
      <c r="F17" s="51"/>
      <c r="G17" s="51"/>
      <c r="H17" s="51"/>
      <c r="I17" s="51"/>
      <c r="J17" s="52"/>
      <c r="K17" s="490" t="s">
        <v>87</v>
      </c>
      <c r="L17" s="491"/>
      <c r="M17" s="491"/>
      <c r="N17" s="492"/>
      <c r="O17" s="467" t="s">
        <v>494</v>
      </c>
      <c r="P17" s="468"/>
      <c r="Q17" s="467">
        <v>20</v>
      </c>
      <c r="R17" s="468"/>
      <c r="S17" s="467"/>
      <c r="T17" s="468"/>
      <c r="U17" s="467" t="s">
        <v>401</v>
      </c>
      <c r="V17" s="468"/>
      <c r="W17" s="493" t="s">
        <v>352</v>
      </c>
      <c r="X17" s="484"/>
      <c r="Y17" s="484"/>
      <c r="Z17" s="484"/>
      <c r="AA17" s="484"/>
      <c r="AB17" s="484"/>
      <c r="AC17" s="485"/>
    </row>
    <row r="18" spans="2:29">
      <c r="B18" s="49">
        <v>1</v>
      </c>
      <c r="C18" s="50" t="s">
        <v>89</v>
      </c>
      <c r="D18" s="51"/>
      <c r="E18" s="51"/>
      <c r="F18" s="51"/>
      <c r="G18" s="51"/>
      <c r="H18" s="51"/>
      <c r="I18" s="51"/>
      <c r="J18" s="52"/>
      <c r="K18" s="494" t="s">
        <v>502</v>
      </c>
      <c r="L18" s="495"/>
      <c r="M18" s="495"/>
      <c r="N18" s="496"/>
      <c r="O18" s="467" t="s">
        <v>498</v>
      </c>
      <c r="P18" s="468"/>
      <c r="Q18" s="467">
        <v>4000</v>
      </c>
      <c r="R18" s="468"/>
      <c r="S18" s="467"/>
      <c r="T18" s="468"/>
      <c r="U18" s="467" t="s">
        <v>496</v>
      </c>
      <c r="V18" s="468"/>
      <c r="W18" s="483" t="s">
        <v>503</v>
      </c>
      <c r="X18" s="484"/>
      <c r="Y18" s="484"/>
      <c r="Z18" s="484"/>
      <c r="AA18" s="484"/>
      <c r="AB18" s="484"/>
      <c r="AC18" s="485"/>
    </row>
    <row r="19" spans="2:29">
      <c r="B19" s="58">
        <v>1</v>
      </c>
      <c r="C19" s="59" t="s">
        <v>90</v>
      </c>
      <c r="D19" s="59"/>
      <c r="E19" s="59"/>
      <c r="F19" s="59"/>
      <c r="G19" s="59"/>
      <c r="H19" s="59"/>
      <c r="I19" s="59"/>
      <c r="J19" s="60"/>
      <c r="K19" s="497" t="s">
        <v>504</v>
      </c>
      <c r="L19" s="498"/>
      <c r="M19" s="498"/>
      <c r="N19" s="499"/>
      <c r="O19" s="472"/>
      <c r="P19" s="473"/>
      <c r="Q19" s="472"/>
      <c r="R19" s="473"/>
      <c r="S19" s="472"/>
      <c r="T19" s="473"/>
      <c r="U19" s="472"/>
      <c r="V19" s="473"/>
      <c r="W19" s="487"/>
      <c r="X19" s="488"/>
      <c r="Y19" s="488"/>
      <c r="Z19" s="488"/>
      <c r="AA19" s="488"/>
      <c r="AB19" s="488"/>
      <c r="AC19" s="489"/>
    </row>
    <row r="20" spans="2:29">
      <c r="B20" s="49">
        <v>2</v>
      </c>
      <c r="C20" s="50"/>
      <c r="D20" s="51" t="s">
        <v>130</v>
      </c>
      <c r="E20" s="51"/>
      <c r="F20" s="51"/>
      <c r="G20" s="51"/>
      <c r="H20" s="51"/>
      <c r="I20" s="51"/>
      <c r="J20" s="52"/>
      <c r="K20" s="494" t="s">
        <v>505</v>
      </c>
      <c r="L20" s="495"/>
      <c r="M20" s="495"/>
      <c r="N20" s="496"/>
      <c r="O20" s="467" t="s">
        <v>494</v>
      </c>
      <c r="P20" s="468"/>
      <c r="Q20" s="467">
        <v>20</v>
      </c>
      <c r="R20" s="468"/>
      <c r="S20" s="467" t="s">
        <v>495</v>
      </c>
      <c r="T20" s="468"/>
      <c r="U20" s="467" t="s">
        <v>64</v>
      </c>
      <c r="V20" s="468"/>
      <c r="W20" s="464" t="s">
        <v>344</v>
      </c>
      <c r="X20" s="465"/>
      <c r="Y20" s="465"/>
      <c r="Z20" s="465"/>
      <c r="AA20" s="465"/>
      <c r="AB20" s="465"/>
      <c r="AC20" s="466"/>
    </row>
    <row r="21" spans="2:29">
      <c r="B21" s="49">
        <v>2</v>
      </c>
      <c r="C21" s="50"/>
      <c r="D21" s="51" t="s">
        <v>691</v>
      </c>
      <c r="E21" s="51"/>
      <c r="F21" s="51"/>
      <c r="G21" s="51"/>
      <c r="H21" s="51"/>
      <c r="I21" s="51"/>
      <c r="J21" s="52"/>
      <c r="K21" s="483" t="s">
        <v>692</v>
      </c>
      <c r="L21" s="484"/>
      <c r="M21" s="484"/>
      <c r="N21" s="485"/>
      <c r="O21" s="467" t="s">
        <v>62</v>
      </c>
      <c r="P21" s="468"/>
      <c r="Q21" s="467">
        <v>50</v>
      </c>
      <c r="R21" s="468"/>
      <c r="S21" s="502" t="s">
        <v>63</v>
      </c>
      <c r="T21" s="502"/>
      <c r="U21" s="467" t="s">
        <v>57</v>
      </c>
      <c r="V21" s="468"/>
      <c r="W21" s="494" t="s">
        <v>674</v>
      </c>
      <c r="X21" s="495"/>
      <c r="Y21" s="495"/>
      <c r="Z21" s="495"/>
      <c r="AA21" s="495"/>
      <c r="AB21" s="495"/>
      <c r="AC21" s="496"/>
    </row>
    <row r="22" spans="2:29" ht="13.5" customHeight="1">
      <c r="B22" s="49">
        <v>2</v>
      </c>
      <c r="C22" s="61"/>
      <c r="D22" s="62" t="s">
        <v>429</v>
      </c>
      <c r="E22" s="51"/>
      <c r="F22" s="51"/>
      <c r="G22" s="62"/>
      <c r="H22" s="62"/>
      <c r="I22" s="62"/>
      <c r="J22" s="63"/>
      <c r="K22" s="469" t="s">
        <v>272</v>
      </c>
      <c r="L22" s="470"/>
      <c r="M22" s="470"/>
      <c r="N22" s="471"/>
      <c r="O22" s="467" t="s">
        <v>498</v>
      </c>
      <c r="P22" s="468"/>
      <c r="Q22" s="467">
        <v>1</v>
      </c>
      <c r="R22" s="468"/>
      <c r="S22" s="467"/>
      <c r="T22" s="468"/>
      <c r="U22" s="467" t="s">
        <v>401</v>
      </c>
      <c r="V22" s="468"/>
      <c r="W22" s="493" t="s">
        <v>352</v>
      </c>
      <c r="X22" s="484"/>
      <c r="Y22" s="484"/>
      <c r="Z22" s="484"/>
      <c r="AA22" s="484"/>
      <c r="AB22" s="484"/>
      <c r="AC22" s="485"/>
    </row>
    <row r="23" spans="2:29">
      <c r="B23" s="49">
        <v>2</v>
      </c>
      <c r="C23" s="61"/>
      <c r="D23" s="62" t="s">
        <v>201</v>
      </c>
      <c r="E23" s="51"/>
      <c r="F23" s="51"/>
      <c r="G23" s="62"/>
      <c r="H23" s="62"/>
      <c r="I23" s="62"/>
      <c r="J23" s="63"/>
      <c r="K23" s="469" t="s">
        <v>506</v>
      </c>
      <c r="L23" s="470"/>
      <c r="M23" s="470"/>
      <c r="N23" s="471"/>
      <c r="O23" s="467" t="s">
        <v>403</v>
      </c>
      <c r="P23" s="468"/>
      <c r="Q23" s="467">
        <v>100</v>
      </c>
      <c r="R23" s="468"/>
      <c r="S23" s="467"/>
      <c r="T23" s="468"/>
      <c r="U23" s="467"/>
      <c r="V23" s="468"/>
      <c r="W23" s="464" t="s">
        <v>507</v>
      </c>
      <c r="X23" s="465"/>
      <c r="Y23" s="465"/>
      <c r="Z23" s="465"/>
      <c r="AA23" s="465"/>
      <c r="AB23" s="465"/>
      <c r="AC23" s="466"/>
    </row>
    <row r="24" spans="2:29" ht="16.5">
      <c r="B24" s="625"/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5"/>
      <c r="P24" s="625"/>
      <c r="Q24" s="625"/>
      <c r="R24" s="625"/>
      <c r="S24" s="625"/>
      <c r="T24" s="625"/>
      <c r="U24" s="625"/>
      <c r="V24" s="625"/>
      <c r="W24" s="625"/>
      <c r="X24" s="625"/>
      <c r="Y24" s="625"/>
      <c r="Z24" s="625"/>
      <c r="AA24" s="625"/>
      <c r="AB24" s="625"/>
      <c r="AC24" s="625"/>
    </row>
    <row r="25" spans="2:29">
      <c r="B25" s="474" t="s">
        <v>406</v>
      </c>
      <c r="C25" s="475"/>
      <c r="D25" s="475"/>
      <c r="E25" s="475"/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  <c r="AB25" s="475"/>
      <c r="AC25" s="476"/>
    </row>
    <row r="26" spans="2:29" ht="13.5" customHeight="1">
      <c r="B26" s="568" t="s">
        <v>696</v>
      </c>
      <c r="C26" s="478"/>
      <c r="D26" s="478"/>
      <c r="E26" s="478"/>
      <c r="F26" s="478"/>
      <c r="G26" s="478"/>
      <c r="H26" s="478"/>
      <c r="I26" s="478"/>
      <c r="J26" s="478"/>
      <c r="K26" s="478"/>
      <c r="L26" s="478"/>
      <c r="M26" s="478"/>
      <c r="N26" s="478"/>
      <c r="O26" s="478"/>
      <c r="P26" s="478"/>
      <c r="Q26" s="478"/>
      <c r="R26" s="478"/>
      <c r="S26" s="478"/>
      <c r="T26" s="478"/>
      <c r="U26" s="478"/>
      <c r="V26" s="478"/>
      <c r="W26" s="478"/>
      <c r="X26" s="478"/>
      <c r="Y26" s="478"/>
      <c r="Z26" s="478"/>
      <c r="AA26" s="478"/>
      <c r="AB26" s="478"/>
      <c r="AC26" s="479"/>
    </row>
    <row r="27" spans="2:29">
      <c r="B27" s="480"/>
      <c r="C27" s="481"/>
      <c r="D27" s="481"/>
      <c r="E27" s="481"/>
      <c r="F27" s="481"/>
      <c r="G27" s="481"/>
      <c r="H27" s="481"/>
      <c r="I27" s="481"/>
      <c r="J27" s="481"/>
      <c r="K27" s="481"/>
      <c r="L27" s="481"/>
      <c r="M27" s="481"/>
      <c r="N27" s="481"/>
      <c r="O27" s="481"/>
      <c r="P27" s="481"/>
      <c r="Q27" s="481"/>
      <c r="R27" s="481"/>
      <c r="S27" s="481"/>
      <c r="T27" s="481"/>
      <c r="U27" s="481"/>
      <c r="V27" s="481"/>
      <c r="W27" s="481"/>
      <c r="X27" s="481"/>
      <c r="Y27" s="481"/>
      <c r="Z27" s="481"/>
      <c r="AA27" s="481"/>
      <c r="AB27" s="481"/>
      <c r="AC27" s="482"/>
    </row>
    <row r="28" spans="2:29" ht="16.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</sheetData>
  <mergeCells count="109">
    <mergeCell ref="K21:N21"/>
    <mergeCell ref="O21:P21"/>
    <mergeCell ref="Q21:R21"/>
    <mergeCell ref="S21:T21"/>
    <mergeCell ref="U21:V21"/>
    <mergeCell ref="W21:AC21"/>
    <mergeCell ref="K13:N13"/>
    <mergeCell ref="O13:P13"/>
    <mergeCell ref="Q13:R13"/>
    <mergeCell ref="S13:T13"/>
    <mergeCell ref="U13:V13"/>
    <mergeCell ref="W19:AC19"/>
    <mergeCell ref="W18:AC18"/>
    <mergeCell ref="K18:N18"/>
    <mergeCell ref="O18:P18"/>
    <mergeCell ref="Q18:R18"/>
    <mergeCell ref="S18:T18"/>
    <mergeCell ref="U18:V18"/>
    <mergeCell ref="K19:N19"/>
    <mergeCell ref="O19:P19"/>
    <mergeCell ref="Q19:R19"/>
    <mergeCell ref="S19:T19"/>
    <mergeCell ref="U19:V19"/>
    <mergeCell ref="B4:D4"/>
    <mergeCell ref="E4:N4"/>
    <mergeCell ref="O4:Q4"/>
    <mergeCell ref="R4:AC4"/>
    <mergeCell ref="B6:AB6"/>
    <mergeCell ref="B5:D5"/>
    <mergeCell ref="E5:N5"/>
    <mergeCell ref="O5:Q5"/>
    <mergeCell ref="B2:D2"/>
    <mergeCell ref="E2:N2"/>
    <mergeCell ref="O2:Q2"/>
    <mergeCell ref="R2:AC2"/>
    <mergeCell ref="B3:D3"/>
    <mergeCell ref="E3:AC3"/>
    <mergeCell ref="C8:J8"/>
    <mergeCell ref="K8:N8"/>
    <mergeCell ref="O8:P8"/>
    <mergeCell ref="Q8:R8"/>
    <mergeCell ref="R5:AC5"/>
    <mergeCell ref="B7:E7"/>
    <mergeCell ref="F7:AC7"/>
    <mergeCell ref="S8:T8"/>
    <mergeCell ref="W12:AC12"/>
    <mergeCell ref="W11:AC11"/>
    <mergeCell ref="W8:AC8"/>
    <mergeCell ref="K9:N9"/>
    <mergeCell ref="O9:P9"/>
    <mergeCell ref="Q9:R9"/>
    <mergeCell ref="S9:T9"/>
    <mergeCell ref="U9:V9"/>
    <mergeCell ref="W9:AC9"/>
    <mergeCell ref="U8:V8"/>
    <mergeCell ref="K11:N11"/>
    <mergeCell ref="O11:P11"/>
    <mergeCell ref="Q11:R11"/>
    <mergeCell ref="S11:T11"/>
    <mergeCell ref="U11:V11"/>
    <mergeCell ref="K12:N12"/>
    <mergeCell ref="Q22:R22"/>
    <mergeCell ref="S22:T22"/>
    <mergeCell ref="U22:V22"/>
    <mergeCell ref="O12:P12"/>
    <mergeCell ref="Q12:R12"/>
    <mergeCell ref="S12:T12"/>
    <mergeCell ref="U12:V12"/>
    <mergeCell ref="W17:AC17"/>
    <mergeCell ref="B14:AC14"/>
    <mergeCell ref="B15:E15"/>
    <mergeCell ref="F15:AC15"/>
    <mergeCell ref="C16:J16"/>
    <mergeCell ref="K16:N16"/>
    <mergeCell ref="O16:P16"/>
    <mergeCell ref="Q16:R16"/>
    <mergeCell ref="S16:T16"/>
    <mergeCell ref="U16:V16"/>
    <mergeCell ref="W16:AC16"/>
    <mergeCell ref="K17:N17"/>
    <mergeCell ref="O17:P17"/>
    <mergeCell ref="Q17:R17"/>
    <mergeCell ref="S17:T17"/>
    <mergeCell ref="U17:V17"/>
    <mergeCell ref="W13:AC13"/>
    <mergeCell ref="W10:AC10"/>
    <mergeCell ref="K10:N10"/>
    <mergeCell ref="O10:P10"/>
    <mergeCell ref="Q10:R10"/>
    <mergeCell ref="S10:T10"/>
    <mergeCell ref="U10:V10"/>
    <mergeCell ref="B24:AC24"/>
    <mergeCell ref="B25:AC25"/>
    <mergeCell ref="B26:AC27"/>
    <mergeCell ref="K23:N23"/>
    <mergeCell ref="O23:P23"/>
    <mergeCell ref="Q23:R23"/>
    <mergeCell ref="S23:T23"/>
    <mergeCell ref="U23:V23"/>
    <mergeCell ref="W23:AC23"/>
    <mergeCell ref="W22:AC22"/>
    <mergeCell ref="K20:N20"/>
    <mergeCell ref="O20:P20"/>
    <mergeCell ref="Q20:R20"/>
    <mergeCell ref="S20:T20"/>
    <mergeCell ref="U20:V20"/>
    <mergeCell ref="W20:AC20"/>
    <mergeCell ref="K22:N22"/>
    <mergeCell ref="O22:P22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FFE699"/>
    <pageSetUpPr fitToPage="1"/>
  </sheetPr>
  <dimension ref="A1:AC32"/>
  <sheetViews>
    <sheetView zoomScaleSheetLayoutView="100" zoomScalePageLayoutView="55" workbookViewId="0">
      <selection activeCell="B30" sqref="B30:AC31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508</v>
      </c>
    </row>
    <row r="2" spans="1:29" ht="20.25" customHeight="1">
      <c r="B2" s="514" t="s">
        <v>509</v>
      </c>
      <c r="C2" s="514"/>
      <c r="D2" s="514"/>
      <c r="E2" s="515" t="str">
        <f xml:space="preserve"> ERP_인터페이스목록!C20</f>
        <v>출하 상태변경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ERP_인터페이스목록!G20</f>
        <v>W2O_OB_STS_CHG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478</v>
      </c>
      <c r="C3" s="514"/>
      <c r="D3" s="514"/>
      <c r="E3" s="515" t="str">
        <f>ERP_인터페이스목록!J20</f>
        <v>/{bizSeq}/sif/w2o/so/sts/chg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324</v>
      </c>
      <c r="C4" s="516"/>
      <c r="D4" s="516"/>
      <c r="E4" s="515" t="str">
        <f>ERP_인터페이스목록!L20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510</v>
      </c>
      <c r="P4" s="516"/>
      <c r="Q4" s="516"/>
      <c r="R4" s="515" t="s">
        <v>511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ERP_인터페이스목록!D20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ERP_인터페이스목록!E20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204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482</v>
      </c>
      <c r="C8" s="500" t="s">
        <v>500</v>
      </c>
      <c r="D8" s="500"/>
      <c r="E8" s="500"/>
      <c r="F8" s="500"/>
      <c r="G8" s="500"/>
      <c r="H8" s="500"/>
      <c r="I8" s="500"/>
      <c r="J8" s="500"/>
      <c r="K8" s="500" t="s">
        <v>501</v>
      </c>
      <c r="L8" s="500"/>
      <c r="M8" s="500"/>
      <c r="N8" s="500"/>
      <c r="O8" s="500" t="s">
        <v>485</v>
      </c>
      <c r="P8" s="500"/>
      <c r="Q8" s="500" t="s">
        <v>486</v>
      </c>
      <c r="R8" s="500"/>
      <c r="S8" s="500" t="s">
        <v>487</v>
      </c>
      <c r="T8" s="500"/>
      <c r="U8" s="500" t="s">
        <v>488</v>
      </c>
      <c r="V8" s="500"/>
      <c r="W8" s="500" t="s">
        <v>489</v>
      </c>
      <c r="X8" s="500"/>
      <c r="Y8" s="500"/>
      <c r="Z8" s="500"/>
      <c r="AA8" s="500"/>
      <c r="AB8" s="500"/>
      <c r="AC8" s="500"/>
    </row>
    <row r="9" spans="1:29" ht="31.15" customHeight="1">
      <c r="B9" s="49">
        <v>1</v>
      </c>
      <c r="C9" s="50" t="s">
        <v>54</v>
      </c>
      <c r="D9" s="51"/>
      <c r="E9" s="51"/>
      <c r="F9" s="51"/>
      <c r="G9" s="51"/>
      <c r="H9" s="51"/>
      <c r="I9" s="51"/>
      <c r="J9" s="52"/>
      <c r="K9" s="509" t="s">
        <v>491</v>
      </c>
      <c r="L9" s="510"/>
      <c r="M9" s="510"/>
      <c r="N9" s="511"/>
      <c r="O9" s="467" t="s">
        <v>340</v>
      </c>
      <c r="P9" s="468"/>
      <c r="Q9" s="467">
        <v>10</v>
      </c>
      <c r="R9" s="468"/>
      <c r="S9" s="467"/>
      <c r="T9" s="468"/>
      <c r="U9" s="467" t="s">
        <v>496</v>
      </c>
      <c r="V9" s="468"/>
      <c r="W9" s="493" t="s">
        <v>492</v>
      </c>
      <c r="X9" s="484"/>
      <c r="Y9" s="484"/>
      <c r="Z9" s="484"/>
      <c r="AA9" s="484"/>
      <c r="AB9" s="484"/>
      <c r="AC9" s="485"/>
    </row>
    <row r="10" spans="1:29" ht="13.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467" t="s">
        <v>179</v>
      </c>
      <c r="P10" s="468"/>
      <c r="Q10" s="502">
        <v>20</v>
      </c>
      <c r="R10" s="502"/>
      <c r="S10" s="502"/>
      <c r="T10" s="502"/>
      <c r="U10" s="502" t="s">
        <v>94</v>
      </c>
      <c r="V10" s="502"/>
      <c r="W10" s="503" t="s">
        <v>353</v>
      </c>
      <c r="X10" s="501"/>
      <c r="Y10" s="501"/>
      <c r="Z10" s="501"/>
      <c r="AA10" s="501"/>
      <c r="AB10" s="501"/>
      <c r="AC10" s="501"/>
    </row>
    <row r="11" spans="1:29" ht="13.5" customHeight="1">
      <c r="B11" s="49">
        <v>1</v>
      </c>
      <c r="C11" s="50" t="s">
        <v>84</v>
      </c>
      <c r="D11" s="50"/>
      <c r="E11" s="51"/>
      <c r="F11" s="51"/>
      <c r="G11" s="51"/>
      <c r="H11" s="51"/>
      <c r="I11" s="51"/>
      <c r="J11" s="52"/>
      <c r="K11" s="483" t="s">
        <v>354</v>
      </c>
      <c r="L11" s="484"/>
      <c r="M11" s="484"/>
      <c r="N11" s="485"/>
      <c r="O11" s="467" t="s">
        <v>179</v>
      </c>
      <c r="P11" s="468"/>
      <c r="Q11" s="467">
        <v>100</v>
      </c>
      <c r="R11" s="468"/>
      <c r="S11" s="467"/>
      <c r="T11" s="468"/>
      <c r="U11" s="467" t="s">
        <v>94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172">
        <v>1</v>
      </c>
      <c r="C12" s="174" t="s">
        <v>764</v>
      </c>
      <c r="D12" s="174"/>
      <c r="E12" s="174"/>
      <c r="F12" s="174"/>
      <c r="G12" s="174"/>
      <c r="H12" s="174"/>
      <c r="I12" s="174"/>
      <c r="J12" s="175"/>
      <c r="K12" s="483" t="s">
        <v>356</v>
      </c>
      <c r="L12" s="484"/>
      <c r="M12" s="484"/>
      <c r="N12" s="485"/>
      <c r="O12" s="467" t="s">
        <v>95</v>
      </c>
      <c r="P12" s="468"/>
      <c r="Q12" s="467">
        <v>8</v>
      </c>
      <c r="R12" s="468"/>
      <c r="S12" s="467"/>
      <c r="T12" s="468"/>
      <c r="U12" s="502" t="s">
        <v>763</v>
      </c>
      <c r="V12" s="502"/>
      <c r="W12" s="483" t="s">
        <v>357</v>
      </c>
      <c r="X12" s="484"/>
      <c r="Y12" s="484"/>
      <c r="Z12" s="484"/>
      <c r="AA12" s="484"/>
      <c r="AB12" s="484"/>
      <c r="AC12" s="485"/>
    </row>
    <row r="13" spans="1:29" ht="13.5" customHeight="1">
      <c r="B13" s="172">
        <v>1</v>
      </c>
      <c r="C13" s="174" t="s">
        <v>420</v>
      </c>
      <c r="D13" s="174"/>
      <c r="E13" s="174"/>
      <c r="F13" s="174"/>
      <c r="G13" s="174"/>
      <c r="H13" s="174"/>
      <c r="I13" s="174"/>
      <c r="J13" s="175"/>
      <c r="K13" s="483" t="s">
        <v>768</v>
      </c>
      <c r="L13" s="484"/>
      <c r="M13" s="484"/>
      <c r="N13" s="485"/>
      <c r="O13" s="467" t="s">
        <v>769</v>
      </c>
      <c r="P13" s="468"/>
      <c r="Q13" s="467">
        <v>6</v>
      </c>
      <c r="R13" s="468"/>
      <c r="S13" s="467"/>
      <c r="T13" s="468"/>
      <c r="U13" s="502" t="s">
        <v>763</v>
      </c>
      <c r="V13" s="502"/>
      <c r="W13" s="483" t="s">
        <v>771</v>
      </c>
      <c r="X13" s="484"/>
      <c r="Y13" s="484"/>
      <c r="Z13" s="484"/>
      <c r="AA13" s="484"/>
      <c r="AB13" s="484"/>
      <c r="AC13" s="485"/>
    </row>
    <row r="14" spans="1:29">
      <c r="B14" s="49">
        <v>1</v>
      </c>
      <c r="C14" s="50" t="s">
        <v>512</v>
      </c>
      <c r="D14" s="50"/>
      <c r="E14" s="51"/>
      <c r="F14" s="51"/>
      <c r="G14" s="51"/>
      <c r="H14" s="51"/>
      <c r="I14" s="51"/>
      <c r="J14" s="52"/>
      <c r="K14" s="501" t="s">
        <v>513</v>
      </c>
      <c r="L14" s="501"/>
      <c r="M14" s="501"/>
      <c r="N14" s="501"/>
      <c r="O14" s="502" t="s">
        <v>514</v>
      </c>
      <c r="P14" s="502"/>
      <c r="Q14" s="502">
        <v>1</v>
      </c>
      <c r="R14" s="502"/>
      <c r="S14" s="502"/>
      <c r="T14" s="502"/>
      <c r="U14" s="502" t="s">
        <v>515</v>
      </c>
      <c r="V14" s="502"/>
      <c r="W14" s="503" t="s">
        <v>699</v>
      </c>
      <c r="X14" s="501"/>
      <c r="Y14" s="501"/>
      <c r="Z14" s="501"/>
      <c r="AA14" s="501"/>
      <c r="AB14" s="501"/>
      <c r="AC14" s="501"/>
    </row>
    <row r="15" spans="1:29">
      <c r="B15" s="58">
        <v>1</v>
      </c>
      <c r="C15" s="59" t="s">
        <v>129</v>
      </c>
      <c r="D15" s="59"/>
      <c r="E15" s="59"/>
      <c r="F15" s="59"/>
      <c r="G15" s="59"/>
      <c r="H15" s="59"/>
      <c r="I15" s="59"/>
      <c r="J15" s="60"/>
      <c r="K15" s="634" t="s">
        <v>504</v>
      </c>
      <c r="L15" s="634"/>
      <c r="M15" s="634"/>
      <c r="N15" s="634"/>
      <c r="O15" s="472"/>
      <c r="P15" s="473"/>
      <c r="Q15" s="611"/>
      <c r="R15" s="611"/>
      <c r="S15" s="611"/>
      <c r="T15" s="611"/>
      <c r="U15" s="611"/>
      <c r="V15" s="611"/>
      <c r="W15" s="646"/>
      <c r="X15" s="634"/>
      <c r="Y15" s="634"/>
      <c r="Z15" s="634"/>
      <c r="AA15" s="634"/>
      <c r="AB15" s="634"/>
      <c r="AC15" s="634"/>
    </row>
    <row r="16" spans="1:29">
      <c r="B16" s="49">
        <v>2</v>
      </c>
      <c r="C16" s="51"/>
      <c r="D16" s="51" t="s">
        <v>130</v>
      </c>
      <c r="E16" s="51"/>
      <c r="F16" s="51"/>
      <c r="G16" s="51"/>
      <c r="H16" s="51"/>
      <c r="I16" s="51"/>
      <c r="J16" s="52"/>
      <c r="K16" s="501" t="s">
        <v>493</v>
      </c>
      <c r="L16" s="501"/>
      <c r="M16" s="501"/>
      <c r="N16" s="501"/>
      <c r="O16" s="494" t="s">
        <v>498</v>
      </c>
      <c r="P16" s="496"/>
      <c r="Q16" s="502">
        <v>20</v>
      </c>
      <c r="R16" s="502"/>
      <c r="S16" s="502" t="s">
        <v>495</v>
      </c>
      <c r="T16" s="502"/>
      <c r="U16" s="502" t="s">
        <v>496</v>
      </c>
      <c r="V16" s="502"/>
      <c r="W16" s="643" t="s">
        <v>435</v>
      </c>
      <c r="X16" s="644"/>
      <c r="Y16" s="644"/>
      <c r="Z16" s="644"/>
      <c r="AA16" s="644"/>
      <c r="AB16" s="644"/>
      <c r="AC16" s="645"/>
    </row>
    <row r="17" spans="2:29">
      <c r="B17" s="49">
        <v>2</v>
      </c>
      <c r="C17" s="50"/>
      <c r="D17" s="51" t="s">
        <v>691</v>
      </c>
      <c r="E17" s="51"/>
      <c r="F17" s="51"/>
      <c r="G17" s="51"/>
      <c r="H17" s="51"/>
      <c r="I17" s="51"/>
      <c r="J17" s="52"/>
      <c r="K17" s="483" t="s">
        <v>692</v>
      </c>
      <c r="L17" s="484"/>
      <c r="M17" s="484"/>
      <c r="N17" s="485"/>
      <c r="O17" s="467" t="s">
        <v>62</v>
      </c>
      <c r="P17" s="468"/>
      <c r="Q17" s="467">
        <v>50</v>
      </c>
      <c r="R17" s="468"/>
      <c r="S17" s="502" t="s">
        <v>63</v>
      </c>
      <c r="T17" s="502"/>
      <c r="U17" s="467" t="s">
        <v>57</v>
      </c>
      <c r="V17" s="468"/>
      <c r="W17" s="494" t="s">
        <v>674</v>
      </c>
      <c r="X17" s="495"/>
      <c r="Y17" s="495"/>
      <c r="Z17" s="495"/>
      <c r="AA17" s="495"/>
      <c r="AB17" s="495"/>
      <c r="AC17" s="496"/>
    </row>
    <row r="18" spans="2:29">
      <c r="B18" s="486"/>
      <c r="C18" s="486"/>
      <c r="D18" s="486"/>
      <c r="E18" s="486"/>
      <c r="F18" s="486"/>
      <c r="G18" s="486"/>
      <c r="H18" s="486"/>
      <c r="I18" s="486"/>
      <c r="J18" s="486"/>
      <c r="K18" s="486"/>
      <c r="L18" s="486"/>
      <c r="M18" s="486"/>
      <c r="N18" s="486"/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</row>
    <row r="19" spans="2:29" ht="16.5">
      <c r="B19" s="586" t="s">
        <v>499</v>
      </c>
      <c r="C19" s="587"/>
      <c r="D19" s="587"/>
      <c r="E19" s="588"/>
      <c r="F19" s="589"/>
      <c r="G19" s="590"/>
      <c r="H19" s="590"/>
      <c r="I19" s="590"/>
      <c r="J19" s="590"/>
      <c r="K19" s="590"/>
      <c r="L19" s="590"/>
      <c r="M19" s="590"/>
      <c r="N19" s="590"/>
      <c r="O19" s="590"/>
      <c r="P19" s="590"/>
      <c r="Q19" s="590"/>
      <c r="R19" s="590"/>
      <c r="S19" s="590"/>
      <c r="T19" s="590"/>
      <c r="U19" s="590"/>
      <c r="V19" s="590"/>
      <c r="W19" s="590"/>
      <c r="X19" s="590"/>
      <c r="Y19" s="590"/>
      <c r="Z19" s="590"/>
      <c r="AA19" s="590"/>
      <c r="AB19" s="590"/>
      <c r="AC19" s="591"/>
    </row>
    <row r="20" spans="2:29">
      <c r="B20" s="4" t="s">
        <v>482</v>
      </c>
      <c r="C20" s="512" t="s">
        <v>500</v>
      </c>
      <c r="D20" s="592"/>
      <c r="E20" s="592"/>
      <c r="F20" s="592"/>
      <c r="G20" s="592"/>
      <c r="H20" s="592"/>
      <c r="I20" s="592"/>
      <c r="J20" s="513"/>
      <c r="K20" s="512" t="s">
        <v>501</v>
      </c>
      <c r="L20" s="592"/>
      <c r="M20" s="592"/>
      <c r="N20" s="513"/>
      <c r="O20" s="512" t="s">
        <v>485</v>
      </c>
      <c r="P20" s="513"/>
      <c r="Q20" s="512" t="s">
        <v>486</v>
      </c>
      <c r="R20" s="513"/>
      <c r="S20" s="512" t="s">
        <v>487</v>
      </c>
      <c r="T20" s="513"/>
      <c r="U20" s="512" t="s">
        <v>415</v>
      </c>
      <c r="V20" s="513"/>
      <c r="W20" s="512" t="s">
        <v>489</v>
      </c>
      <c r="X20" s="592"/>
      <c r="Y20" s="592"/>
      <c r="Z20" s="592"/>
      <c r="AA20" s="592"/>
      <c r="AB20" s="592"/>
      <c r="AC20" s="513"/>
    </row>
    <row r="21" spans="2:29" ht="13.5" customHeight="1">
      <c r="B21" s="49">
        <v>1</v>
      </c>
      <c r="C21" s="50" t="s">
        <v>86</v>
      </c>
      <c r="D21" s="51"/>
      <c r="E21" s="51"/>
      <c r="F21" s="51"/>
      <c r="G21" s="51"/>
      <c r="H21" s="51"/>
      <c r="I21" s="51"/>
      <c r="J21" s="52"/>
      <c r="K21" s="490" t="s">
        <v>87</v>
      </c>
      <c r="L21" s="491"/>
      <c r="M21" s="491"/>
      <c r="N21" s="492"/>
      <c r="O21" s="467" t="s">
        <v>498</v>
      </c>
      <c r="P21" s="468"/>
      <c r="Q21" s="467">
        <v>20</v>
      </c>
      <c r="R21" s="468"/>
      <c r="S21" s="467"/>
      <c r="T21" s="468"/>
      <c r="U21" s="467" t="s">
        <v>496</v>
      </c>
      <c r="V21" s="468"/>
      <c r="W21" s="493" t="s">
        <v>352</v>
      </c>
      <c r="X21" s="484"/>
      <c r="Y21" s="484"/>
      <c r="Z21" s="484"/>
      <c r="AA21" s="484"/>
      <c r="AB21" s="484"/>
      <c r="AC21" s="485"/>
    </row>
    <row r="22" spans="2:29">
      <c r="B22" s="49">
        <v>1</v>
      </c>
      <c r="C22" s="50" t="s">
        <v>89</v>
      </c>
      <c r="D22" s="51"/>
      <c r="E22" s="51"/>
      <c r="F22" s="51"/>
      <c r="G22" s="51"/>
      <c r="H22" s="51"/>
      <c r="I22" s="51"/>
      <c r="J22" s="52"/>
      <c r="K22" s="494" t="s">
        <v>416</v>
      </c>
      <c r="L22" s="495"/>
      <c r="M22" s="495"/>
      <c r="N22" s="496"/>
      <c r="O22" s="467" t="s">
        <v>498</v>
      </c>
      <c r="P22" s="468"/>
      <c r="Q22" s="467">
        <v>4000</v>
      </c>
      <c r="R22" s="468"/>
      <c r="S22" s="467"/>
      <c r="T22" s="468"/>
      <c r="U22" s="467" t="s">
        <v>496</v>
      </c>
      <c r="V22" s="468"/>
      <c r="W22" s="483" t="s">
        <v>404</v>
      </c>
      <c r="X22" s="484"/>
      <c r="Y22" s="484"/>
      <c r="Z22" s="484"/>
      <c r="AA22" s="484"/>
      <c r="AB22" s="484"/>
      <c r="AC22" s="485"/>
    </row>
    <row r="23" spans="2:29">
      <c r="B23" s="58">
        <v>1</v>
      </c>
      <c r="C23" s="59" t="s">
        <v>90</v>
      </c>
      <c r="D23" s="59"/>
      <c r="E23" s="59"/>
      <c r="F23" s="59"/>
      <c r="G23" s="59"/>
      <c r="H23" s="59"/>
      <c r="I23" s="59"/>
      <c r="J23" s="60"/>
      <c r="K23" s="497" t="s">
        <v>504</v>
      </c>
      <c r="L23" s="498"/>
      <c r="M23" s="498"/>
      <c r="N23" s="499"/>
      <c r="O23" s="472"/>
      <c r="P23" s="473"/>
      <c r="Q23" s="472"/>
      <c r="R23" s="473"/>
      <c r="S23" s="472"/>
      <c r="T23" s="473"/>
      <c r="U23" s="472"/>
      <c r="V23" s="473"/>
      <c r="W23" s="487"/>
      <c r="X23" s="488"/>
      <c r="Y23" s="488"/>
      <c r="Z23" s="488"/>
      <c r="AA23" s="488"/>
      <c r="AB23" s="488"/>
      <c r="AC23" s="489"/>
    </row>
    <row r="24" spans="2:29">
      <c r="B24" s="49">
        <v>2</v>
      </c>
      <c r="C24" s="50"/>
      <c r="D24" s="51" t="s">
        <v>130</v>
      </c>
      <c r="E24" s="51"/>
      <c r="F24" s="51"/>
      <c r="G24" s="51"/>
      <c r="H24" s="51"/>
      <c r="I24" s="51"/>
      <c r="J24" s="52"/>
      <c r="K24" s="494" t="s">
        <v>493</v>
      </c>
      <c r="L24" s="495"/>
      <c r="M24" s="495"/>
      <c r="N24" s="496"/>
      <c r="O24" s="467" t="s">
        <v>403</v>
      </c>
      <c r="P24" s="468"/>
      <c r="Q24" s="467">
        <v>20</v>
      </c>
      <c r="R24" s="468"/>
      <c r="S24" s="467" t="s">
        <v>495</v>
      </c>
      <c r="T24" s="468"/>
      <c r="U24" s="467" t="s">
        <v>401</v>
      </c>
      <c r="V24" s="468"/>
      <c r="W24" s="464" t="s">
        <v>497</v>
      </c>
      <c r="X24" s="465"/>
      <c r="Y24" s="465"/>
      <c r="Z24" s="465"/>
      <c r="AA24" s="465"/>
      <c r="AB24" s="465"/>
      <c r="AC24" s="466"/>
    </row>
    <row r="25" spans="2:29">
      <c r="B25" s="49">
        <v>2</v>
      </c>
      <c r="C25" s="50"/>
      <c r="D25" s="51" t="s">
        <v>691</v>
      </c>
      <c r="E25" s="51"/>
      <c r="F25" s="51"/>
      <c r="G25" s="51"/>
      <c r="H25" s="51"/>
      <c r="I25" s="51"/>
      <c r="J25" s="52"/>
      <c r="K25" s="483" t="s">
        <v>692</v>
      </c>
      <c r="L25" s="484"/>
      <c r="M25" s="484"/>
      <c r="N25" s="485"/>
      <c r="O25" s="467" t="s">
        <v>62</v>
      </c>
      <c r="P25" s="468"/>
      <c r="Q25" s="467">
        <v>50</v>
      </c>
      <c r="R25" s="468"/>
      <c r="S25" s="502" t="s">
        <v>63</v>
      </c>
      <c r="T25" s="502"/>
      <c r="U25" s="467" t="s">
        <v>57</v>
      </c>
      <c r="V25" s="468"/>
      <c r="W25" s="494" t="s">
        <v>674</v>
      </c>
      <c r="X25" s="495"/>
      <c r="Y25" s="495"/>
      <c r="Z25" s="495"/>
      <c r="AA25" s="495"/>
      <c r="AB25" s="495"/>
      <c r="AC25" s="496"/>
    </row>
    <row r="26" spans="2:29" ht="13.5" customHeight="1">
      <c r="B26" s="49">
        <v>2</v>
      </c>
      <c r="C26" s="61"/>
      <c r="D26" s="62" t="s">
        <v>516</v>
      </c>
      <c r="E26" s="51"/>
      <c r="F26" s="51"/>
      <c r="G26" s="62"/>
      <c r="H26" s="62"/>
      <c r="I26" s="62"/>
      <c r="J26" s="63"/>
      <c r="K26" s="469" t="s">
        <v>517</v>
      </c>
      <c r="L26" s="470"/>
      <c r="M26" s="470"/>
      <c r="N26" s="471"/>
      <c r="O26" s="467" t="s">
        <v>498</v>
      </c>
      <c r="P26" s="468"/>
      <c r="Q26" s="467">
        <v>1</v>
      </c>
      <c r="R26" s="468"/>
      <c r="S26" s="467"/>
      <c r="T26" s="468"/>
      <c r="U26" s="467" t="s">
        <v>496</v>
      </c>
      <c r="V26" s="468"/>
      <c r="W26" s="493" t="s">
        <v>352</v>
      </c>
      <c r="X26" s="484"/>
      <c r="Y26" s="484"/>
      <c r="Z26" s="484"/>
      <c r="AA26" s="484"/>
      <c r="AB26" s="484"/>
      <c r="AC26" s="485"/>
    </row>
    <row r="27" spans="2:29">
      <c r="B27" s="49">
        <v>2</v>
      </c>
      <c r="C27" s="61"/>
      <c r="D27" s="62" t="s">
        <v>518</v>
      </c>
      <c r="E27" s="51"/>
      <c r="F27" s="51"/>
      <c r="G27" s="62"/>
      <c r="H27" s="62"/>
      <c r="I27" s="62"/>
      <c r="J27" s="63"/>
      <c r="K27" s="469" t="s">
        <v>418</v>
      </c>
      <c r="L27" s="470"/>
      <c r="M27" s="470"/>
      <c r="N27" s="471"/>
      <c r="O27" s="467" t="s">
        <v>498</v>
      </c>
      <c r="P27" s="468"/>
      <c r="Q27" s="467">
        <v>100</v>
      </c>
      <c r="R27" s="468"/>
      <c r="S27" s="467"/>
      <c r="T27" s="468"/>
      <c r="U27" s="467"/>
      <c r="V27" s="468"/>
      <c r="W27" s="464" t="s">
        <v>507</v>
      </c>
      <c r="X27" s="465"/>
      <c r="Y27" s="465"/>
      <c r="Z27" s="465"/>
      <c r="AA27" s="465"/>
      <c r="AB27" s="465"/>
      <c r="AC27" s="466"/>
    </row>
    <row r="28" spans="2:29" ht="16.5">
      <c r="B28" s="625"/>
      <c r="C28" s="625"/>
      <c r="D28" s="625"/>
      <c r="E28" s="625"/>
      <c r="F28" s="625"/>
      <c r="G28" s="625"/>
      <c r="H28" s="625"/>
      <c r="I28" s="625"/>
      <c r="J28" s="625"/>
      <c r="K28" s="625"/>
      <c r="L28" s="625"/>
      <c r="M28" s="625"/>
      <c r="N28" s="625"/>
      <c r="O28" s="625"/>
      <c r="P28" s="625"/>
      <c r="Q28" s="625"/>
      <c r="R28" s="625"/>
      <c r="S28" s="625"/>
      <c r="T28" s="625"/>
      <c r="U28" s="625"/>
      <c r="V28" s="625"/>
      <c r="W28" s="625"/>
      <c r="X28" s="625"/>
      <c r="Y28" s="625"/>
      <c r="Z28" s="625"/>
      <c r="AA28" s="625"/>
      <c r="AB28" s="625"/>
      <c r="AC28" s="625"/>
    </row>
    <row r="29" spans="2:29">
      <c r="B29" s="474" t="s">
        <v>406</v>
      </c>
      <c r="C29" s="475"/>
      <c r="D29" s="475"/>
      <c r="E29" s="475"/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  <c r="AB29" s="475"/>
      <c r="AC29" s="476"/>
    </row>
    <row r="30" spans="2:29" ht="13.5" customHeight="1">
      <c r="B30" s="568" t="s">
        <v>697</v>
      </c>
      <c r="C30" s="478"/>
      <c r="D30" s="478"/>
      <c r="E30" s="478"/>
      <c r="F30" s="478"/>
      <c r="G30" s="478"/>
      <c r="H30" s="478"/>
      <c r="I30" s="478"/>
      <c r="J30" s="478"/>
      <c r="K30" s="478"/>
      <c r="L30" s="478"/>
      <c r="M30" s="478"/>
      <c r="N30" s="478"/>
      <c r="O30" s="478"/>
      <c r="P30" s="478"/>
      <c r="Q30" s="478"/>
      <c r="R30" s="478"/>
      <c r="S30" s="478"/>
      <c r="T30" s="478"/>
      <c r="U30" s="478"/>
      <c r="V30" s="478"/>
      <c r="W30" s="478"/>
      <c r="X30" s="478"/>
      <c r="Y30" s="478"/>
      <c r="Z30" s="478"/>
      <c r="AA30" s="478"/>
      <c r="AB30" s="478"/>
      <c r="AC30" s="479"/>
    </row>
    <row r="31" spans="2:29">
      <c r="B31" s="480"/>
      <c r="C31" s="481"/>
      <c r="D31" s="481"/>
      <c r="E31" s="481"/>
      <c r="F31" s="481"/>
      <c r="G31" s="481"/>
      <c r="H31" s="481"/>
      <c r="I31" s="481"/>
      <c r="J31" s="481"/>
      <c r="K31" s="481"/>
      <c r="L31" s="481"/>
      <c r="M31" s="481"/>
      <c r="N31" s="481"/>
      <c r="O31" s="481"/>
      <c r="P31" s="481"/>
      <c r="Q31" s="481"/>
      <c r="R31" s="481"/>
      <c r="S31" s="481"/>
      <c r="T31" s="481"/>
      <c r="U31" s="481"/>
      <c r="V31" s="481"/>
      <c r="W31" s="481"/>
      <c r="X31" s="481"/>
      <c r="Y31" s="481"/>
      <c r="Z31" s="481"/>
      <c r="AA31" s="481"/>
      <c r="AB31" s="481"/>
      <c r="AC31" s="482"/>
    </row>
    <row r="32" spans="2:29" ht="16.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</sheetData>
  <mergeCells count="133">
    <mergeCell ref="K12:N12"/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B18:AC18"/>
    <mergeCell ref="B19:E19"/>
    <mergeCell ref="F19:AC19"/>
    <mergeCell ref="C20:J20"/>
    <mergeCell ref="K20:N20"/>
    <mergeCell ref="O20:P20"/>
    <mergeCell ref="Q20:R20"/>
    <mergeCell ref="S20:T20"/>
    <mergeCell ref="U20:V20"/>
    <mergeCell ref="W20:AC20"/>
    <mergeCell ref="Q22:R22"/>
    <mergeCell ref="S22:T22"/>
    <mergeCell ref="U22:V22"/>
    <mergeCell ref="O21:P21"/>
    <mergeCell ref="Q21:R21"/>
    <mergeCell ref="S21:T21"/>
    <mergeCell ref="U21:V21"/>
    <mergeCell ref="K21:N21"/>
    <mergeCell ref="W21:AC21"/>
    <mergeCell ref="W11:AC11"/>
    <mergeCell ref="U11:V11"/>
    <mergeCell ref="S11:T11"/>
    <mergeCell ref="Q11:R11"/>
    <mergeCell ref="O11:P11"/>
    <mergeCell ref="K11:N11"/>
    <mergeCell ref="K17:N17"/>
    <mergeCell ref="O17:P17"/>
    <mergeCell ref="Q17:R17"/>
    <mergeCell ref="S17:T17"/>
    <mergeCell ref="U17:V17"/>
    <mergeCell ref="W17:AC17"/>
    <mergeCell ref="K16:N16"/>
    <mergeCell ref="O16:P16"/>
    <mergeCell ref="Q16:R16"/>
    <mergeCell ref="S16:T16"/>
    <mergeCell ref="U16:V16"/>
    <mergeCell ref="W16:AC16"/>
    <mergeCell ref="W14:AC14"/>
    <mergeCell ref="K15:N15"/>
    <mergeCell ref="O15:P15"/>
    <mergeCell ref="Q15:R15"/>
    <mergeCell ref="S15:T15"/>
    <mergeCell ref="U15:V15"/>
    <mergeCell ref="R5:AC5"/>
    <mergeCell ref="B7:E7"/>
    <mergeCell ref="F7:AC7"/>
    <mergeCell ref="B2:D2"/>
    <mergeCell ref="E2:N2"/>
    <mergeCell ref="O2:Q2"/>
    <mergeCell ref="R2:AC2"/>
    <mergeCell ref="B3:D3"/>
    <mergeCell ref="E3:AC3"/>
    <mergeCell ref="B4:D4"/>
    <mergeCell ref="E4:N4"/>
    <mergeCell ref="O4:Q4"/>
    <mergeCell ref="R4:AC4"/>
    <mergeCell ref="B6:AB6"/>
    <mergeCell ref="B5:D5"/>
    <mergeCell ref="E5:N5"/>
    <mergeCell ref="O5:Q5"/>
    <mergeCell ref="C8:J8"/>
    <mergeCell ref="K8:N8"/>
    <mergeCell ref="O8:P8"/>
    <mergeCell ref="Q8:R8"/>
    <mergeCell ref="S8:T8"/>
    <mergeCell ref="W8:AC8"/>
    <mergeCell ref="K9:N9"/>
    <mergeCell ref="O9:P9"/>
    <mergeCell ref="Q9:R9"/>
    <mergeCell ref="S9:T9"/>
    <mergeCell ref="U9:V9"/>
    <mergeCell ref="W9:AC9"/>
    <mergeCell ref="U8:V8"/>
    <mergeCell ref="W15:AC15"/>
    <mergeCell ref="K14:N14"/>
    <mergeCell ref="Q24:R24"/>
    <mergeCell ref="S24:T24"/>
    <mergeCell ref="U24:V24"/>
    <mergeCell ref="W24:AC24"/>
    <mergeCell ref="K26:N26"/>
    <mergeCell ref="O26:P26"/>
    <mergeCell ref="Q26:R26"/>
    <mergeCell ref="S26:T26"/>
    <mergeCell ref="U26:V26"/>
    <mergeCell ref="K25:N25"/>
    <mergeCell ref="O25:P25"/>
    <mergeCell ref="Q25:R25"/>
    <mergeCell ref="S25:T25"/>
    <mergeCell ref="U25:V25"/>
    <mergeCell ref="W25:AC25"/>
    <mergeCell ref="O14:P14"/>
    <mergeCell ref="Q14:R14"/>
    <mergeCell ref="S14:T14"/>
    <mergeCell ref="U14:V14"/>
    <mergeCell ref="W23:AC23"/>
    <mergeCell ref="K22:N22"/>
    <mergeCell ref="O22:P22"/>
    <mergeCell ref="K10:N10"/>
    <mergeCell ref="O10:P10"/>
    <mergeCell ref="Q10:R10"/>
    <mergeCell ref="S10:T10"/>
    <mergeCell ref="U10:V10"/>
    <mergeCell ref="W10:AC10"/>
    <mergeCell ref="B28:AC28"/>
    <mergeCell ref="B29:AC29"/>
    <mergeCell ref="B30:AC31"/>
    <mergeCell ref="K27:N27"/>
    <mergeCell ref="O27:P27"/>
    <mergeCell ref="Q27:R27"/>
    <mergeCell ref="S27:T27"/>
    <mergeCell ref="U27:V27"/>
    <mergeCell ref="W27:AC27"/>
    <mergeCell ref="W22:AC22"/>
    <mergeCell ref="K23:N23"/>
    <mergeCell ref="O23:P23"/>
    <mergeCell ref="Q23:R23"/>
    <mergeCell ref="S23:T23"/>
    <mergeCell ref="U23:V23"/>
    <mergeCell ref="W26:AC26"/>
    <mergeCell ref="K24:N24"/>
    <mergeCell ref="O24:P24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E699"/>
    <pageSetUpPr fitToPage="1"/>
  </sheetPr>
  <dimension ref="A1:AC34"/>
  <sheetViews>
    <sheetView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508</v>
      </c>
    </row>
    <row r="2" spans="1:29" ht="20.25" customHeight="1">
      <c r="B2" s="514" t="s">
        <v>509</v>
      </c>
      <c r="C2" s="514"/>
      <c r="D2" s="514"/>
      <c r="E2" s="515" t="str">
        <f xml:space="preserve"> ERP_인터페이스목록!C21</f>
        <v>마감 후 출하승인 결과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ERP_인터페이스목록!G21</f>
        <v>W2O_OB_CLO_ODR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478</v>
      </c>
      <c r="C3" s="514"/>
      <c r="D3" s="514"/>
      <c r="E3" s="515" t="str">
        <f>ERP_인터페이스목록!J21</f>
        <v>/{bizSeq}/sif/w2o/add/so/appr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519</v>
      </c>
      <c r="C4" s="516"/>
      <c r="D4" s="516"/>
      <c r="E4" s="515" t="str">
        <f>ERP_인터페이스목록!L21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510</v>
      </c>
      <c r="P4" s="516"/>
      <c r="Q4" s="516"/>
      <c r="R4" s="515" t="s">
        <v>511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ERP_인터페이스목록!D21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ERP_인터페이스목록!E21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481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482</v>
      </c>
      <c r="C8" s="500" t="s">
        <v>500</v>
      </c>
      <c r="D8" s="500"/>
      <c r="E8" s="500"/>
      <c r="F8" s="500"/>
      <c r="G8" s="500"/>
      <c r="H8" s="500"/>
      <c r="I8" s="500"/>
      <c r="J8" s="500"/>
      <c r="K8" s="500" t="s">
        <v>501</v>
      </c>
      <c r="L8" s="500"/>
      <c r="M8" s="500"/>
      <c r="N8" s="500"/>
      <c r="O8" s="500" t="s">
        <v>485</v>
      </c>
      <c r="P8" s="500"/>
      <c r="Q8" s="500" t="s">
        <v>486</v>
      </c>
      <c r="R8" s="500"/>
      <c r="S8" s="500" t="s">
        <v>487</v>
      </c>
      <c r="T8" s="500"/>
      <c r="U8" s="500" t="s">
        <v>520</v>
      </c>
      <c r="V8" s="500"/>
      <c r="W8" s="500" t="s">
        <v>489</v>
      </c>
      <c r="X8" s="500"/>
      <c r="Y8" s="500"/>
      <c r="Z8" s="500"/>
      <c r="AA8" s="500"/>
      <c r="AB8" s="500"/>
      <c r="AC8" s="500"/>
    </row>
    <row r="9" spans="1:29" ht="31.15" customHeight="1">
      <c r="B9" s="49">
        <v>1</v>
      </c>
      <c r="C9" s="50" t="s">
        <v>521</v>
      </c>
      <c r="D9" s="51"/>
      <c r="E9" s="51"/>
      <c r="F9" s="51"/>
      <c r="G9" s="51"/>
      <c r="H9" s="51"/>
      <c r="I9" s="51"/>
      <c r="J9" s="52"/>
      <c r="K9" s="509" t="s">
        <v>491</v>
      </c>
      <c r="L9" s="510"/>
      <c r="M9" s="510"/>
      <c r="N9" s="511"/>
      <c r="O9" s="467" t="s">
        <v>522</v>
      </c>
      <c r="P9" s="468"/>
      <c r="Q9" s="467">
        <v>10</v>
      </c>
      <c r="R9" s="468"/>
      <c r="S9" s="467"/>
      <c r="T9" s="468"/>
      <c r="U9" s="467" t="s">
        <v>496</v>
      </c>
      <c r="V9" s="468"/>
      <c r="W9" s="493" t="s">
        <v>492</v>
      </c>
      <c r="X9" s="484"/>
      <c r="Y9" s="484"/>
      <c r="Z9" s="484"/>
      <c r="AA9" s="484"/>
      <c r="AB9" s="484"/>
      <c r="AC9" s="485"/>
    </row>
    <row r="10" spans="1:29" ht="13.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467" t="s">
        <v>179</v>
      </c>
      <c r="P10" s="468"/>
      <c r="Q10" s="502">
        <v>20</v>
      </c>
      <c r="R10" s="502"/>
      <c r="S10" s="502"/>
      <c r="T10" s="502"/>
      <c r="U10" s="502" t="s">
        <v>94</v>
      </c>
      <c r="V10" s="502"/>
      <c r="W10" s="503" t="s">
        <v>353</v>
      </c>
      <c r="X10" s="501"/>
      <c r="Y10" s="501"/>
      <c r="Z10" s="501"/>
      <c r="AA10" s="501"/>
      <c r="AB10" s="501"/>
      <c r="AC10" s="501"/>
    </row>
    <row r="11" spans="1:29" ht="13.5" customHeight="1">
      <c r="B11" s="49">
        <v>1</v>
      </c>
      <c r="C11" s="50" t="s">
        <v>84</v>
      </c>
      <c r="D11" s="50"/>
      <c r="E11" s="51"/>
      <c r="F11" s="51"/>
      <c r="G11" s="51"/>
      <c r="H11" s="51"/>
      <c r="I11" s="51"/>
      <c r="J11" s="52"/>
      <c r="K11" s="483" t="s">
        <v>354</v>
      </c>
      <c r="L11" s="484"/>
      <c r="M11" s="484"/>
      <c r="N11" s="485"/>
      <c r="O11" s="467" t="s">
        <v>179</v>
      </c>
      <c r="P11" s="468"/>
      <c r="Q11" s="467">
        <v>100</v>
      </c>
      <c r="R11" s="468"/>
      <c r="S11" s="467"/>
      <c r="T11" s="468"/>
      <c r="U11" s="467" t="s">
        <v>94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172">
        <v>1</v>
      </c>
      <c r="C12" s="174" t="s">
        <v>764</v>
      </c>
      <c r="D12" s="174"/>
      <c r="E12" s="174"/>
      <c r="F12" s="174"/>
      <c r="G12" s="174"/>
      <c r="H12" s="174"/>
      <c r="I12" s="174"/>
      <c r="J12" s="175"/>
      <c r="K12" s="483" t="s">
        <v>356</v>
      </c>
      <c r="L12" s="484"/>
      <c r="M12" s="484"/>
      <c r="N12" s="485"/>
      <c r="O12" s="467" t="s">
        <v>95</v>
      </c>
      <c r="P12" s="468"/>
      <c r="Q12" s="467">
        <v>8</v>
      </c>
      <c r="R12" s="468"/>
      <c r="S12" s="467"/>
      <c r="T12" s="468"/>
      <c r="U12" s="502" t="s">
        <v>763</v>
      </c>
      <c r="V12" s="502"/>
      <c r="W12" s="483" t="s">
        <v>357</v>
      </c>
      <c r="X12" s="484"/>
      <c r="Y12" s="484"/>
      <c r="Z12" s="484"/>
      <c r="AA12" s="484"/>
      <c r="AB12" s="484"/>
      <c r="AC12" s="485"/>
    </row>
    <row r="13" spans="1:29" ht="13.5" customHeight="1">
      <c r="B13" s="172">
        <v>1</v>
      </c>
      <c r="C13" s="174" t="s">
        <v>420</v>
      </c>
      <c r="D13" s="174"/>
      <c r="E13" s="174"/>
      <c r="F13" s="174"/>
      <c r="G13" s="174"/>
      <c r="H13" s="174"/>
      <c r="I13" s="174"/>
      <c r="J13" s="175"/>
      <c r="K13" s="483" t="s">
        <v>768</v>
      </c>
      <c r="L13" s="484"/>
      <c r="M13" s="484"/>
      <c r="N13" s="485"/>
      <c r="O13" s="467" t="s">
        <v>769</v>
      </c>
      <c r="P13" s="468"/>
      <c r="Q13" s="467">
        <v>6</v>
      </c>
      <c r="R13" s="468"/>
      <c r="S13" s="467"/>
      <c r="T13" s="468"/>
      <c r="U13" s="502" t="s">
        <v>763</v>
      </c>
      <c r="V13" s="502"/>
      <c r="W13" s="483" t="s">
        <v>771</v>
      </c>
      <c r="X13" s="484"/>
      <c r="Y13" s="484"/>
      <c r="Z13" s="484"/>
      <c r="AA13" s="484"/>
      <c r="AB13" s="484"/>
      <c r="AC13" s="485"/>
    </row>
    <row r="14" spans="1:29" ht="13.5" customHeight="1">
      <c r="B14" s="58">
        <v>1</v>
      </c>
      <c r="C14" s="59" t="s">
        <v>129</v>
      </c>
      <c r="D14" s="59"/>
      <c r="E14" s="59"/>
      <c r="F14" s="59"/>
      <c r="G14" s="59"/>
      <c r="H14" s="59"/>
      <c r="I14" s="59"/>
      <c r="J14" s="60"/>
      <c r="K14" s="634" t="s">
        <v>504</v>
      </c>
      <c r="L14" s="634"/>
      <c r="M14" s="634"/>
      <c r="N14" s="634"/>
      <c r="O14" s="472"/>
      <c r="P14" s="473"/>
      <c r="Q14" s="611"/>
      <c r="R14" s="611"/>
      <c r="S14" s="611"/>
      <c r="T14" s="611"/>
      <c r="U14" s="611"/>
      <c r="V14" s="611"/>
      <c r="W14" s="646"/>
      <c r="X14" s="634"/>
      <c r="Y14" s="634"/>
      <c r="Z14" s="634"/>
      <c r="AA14" s="634"/>
      <c r="AB14" s="634"/>
      <c r="AC14" s="634"/>
    </row>
    <row r="15" spans="1:29">
      <c r="B15" s="49">
        <v>2</v>
      </c>
      <c r="C15" s="51"/>
      <c r="D15" s="51" t="s">
        <v>130</v>
      </c>
      <c r="E15" s="51"/>
      <c r="F15" s="51"/>
      <c r="G15" s="51"/>
      <c r="H15" s="51"/>
      <c r="I15" s="51"/>
      <c r="J15" s="52"/>
      <c r="K15" s="501" t="s">
        <v>493</v>
      </c>
      <c r="L15" s="501"/>
      <c r="M15" s="501"/>
      <c r="N15" s="501"/>
      <c r="O15" s="494" t="s">
        <v>498</v>
      </c>
      <c r="P15" s="496"/>
      <c r="Q15" s="502">
        <v>20</v>
      </c>
      <c r="R15" s="502"/>
      <c r="S15" s="502" t="s">
        <v>495</v>
      </c>
      <c r="T15" s="502"/>
      <c r="U15" s="502" t="s">
        <v>496</v>
      </c>
      <c r="V15" s="502"/>
      <c r="W15" s="643" t="s">
        <v>497</v>
      </c>
      <c r="X15" s="644"/>
      <c r="Y15" s="644"/>
      <c r="Z15" s="644"/>
      <c r="AA15" s="644"/>
      <c r="AB15" s="644"/>
      <c r="AC15" s="645"/>
    </row>
    <row r="16" spans="1:29">
      <c r="B16" s="49">
        <v>2</v>
      </c>
      <c r="C16" s="50"/>
      <c r="D16" s="51" t="s">
        <v>691</v>
      </c>
      <c r="E16" s="51"/>
      <c r="F16" s="51"/>
      <c r="G16" s="51"/>
      <c r="H16" s="51"/>
      <c r="I16" s="51"/>
      <c r="J16" s="52"/>
      <c r="K16" s="483" t="s">
        <v>692</v>
      </c>
      <c r="L16" s="484"/>
      <c r="M16" s="484"/>
      <c r="N16" s="485"/>
      <c r="O16" s="467" t="s">
        <v>62</v>
      </c>
      <c r="P16" s="468"/>
      <c r="Q16" s="467">
        <v>50</v>
      </c>
      <c r="R16" s="468"/>
      <c r="S16" s="502" t="s">
        <v>63</v>
      </c>
      <c r="T16" s="502"/>
      <c r="U16" s="467" t="s">
        <v>57</v>
      </c>
      <c r="V16" s="468"/>
      <c r="W16" s="494" t="s">
        <v>674</v>
      </c>
      <c r="X16" s="495"/>
      <c r="Y16" s="495"/>
      <c r="Z16" s="495"/>
      <c r="AA16" s="495"/>
      <c r="AB16" s="495"/>
      <c r="AC16" s="496"/>
    </row>
    <row r="17" spans="2:29">
      <c r="B17" s="58">
        <v>2</v>
      </c>
      <c r="C17" s="106"/>
      <c r="D17" s="106" t="s">
        <v>135</v>
      </c>
      <c r="E17" s="59"/>
      <c r="F17" s="59"/>
      <c r="G17" s="106"/>
      <c r="H17" s="106"/>
      <c r="I17" s="106"/>
      <c r="J17" s="107"/>
      <c r="K17" s="593" t="s">
        <v>59</v>
      </c>
      <c r="L17" s="594"/>
      <c r="M17" s="594"/>
      <c r="N17" s="595"/>
      <c r="O17" s="611"/>
      <c r="P17" s="611"/>
      <c r="Q17" s="611"/>
      <c r="R17" s="611"/>
      <c r="S17" s="611"/>
      <c r="T17" s="611"/>
      <c r="U17" s="611"/>
      <c r="V17" s="611"/>
      <c r="W17" s="634"/>
      <c r="X17" s="634"/>
      <c r="Y17" s="634"/>
      <c r="Z17" s="634"/>
      <c r="AA17" s="634"/>
      <c r="AB17" s="634"/>
      <c r="AC17" s="634"/>
    </row>
    <row r="18" spans="2:29">
      <c r="B18" s="49">
        <v>3</v>
      </c>
      <c r="C18" s="61"/>
      <c r="D18" s="62"/>
      <c r="E18" s="51" t="s">
        <v>131</v>
      </c>
      <c r="F18" s="51"/>
      <c r="G18" s="62"/>
      <c r="H18" s="62"/>
      <c r="I18" s="62"/>
      <c r="J18" s="63"/>
      <c r="K18" s="483" t="s">
        <v>524</v>
      </c>
      <c r="L18" s="484"/>
      <c r="M18" s="484"/>
      <c r="N18" s="485"/>
      <c r="O18" s="467" t="s">
        <v>498</v>
      </c>
      <c r="P18" s="468"/>
      <c r="Q18" s="502">
        <v>20</v>
      </c>
      <c r="R18" s="502"/>
      <c r="S18" s="502" t="s">
        <v>495</v>
      </c>
      <c r="T18" s="502"/>
      <c r="U18" s="502" t="s">
        <v>496</v>
      </c>
      <c r="V18" s="502"/>
      <c r="W18" s="464" t="s">
        <v>525</v>
      </c>
      <c r="X18" s="465"/>
      <c r="Y18" s="465"/>
      <c r="Z18" s="465"/>
      <c r="AA18" s="465"/>
      <c r="AB18" s="465"/>
      <c r="AC18" s="466"/>
    </row>
    <row r="19" spans="2:29">
      <c r="B19" s="163">
        <v>3</v>
      </c>
      <c r="C19" s="154"/>
      <c r="D19" s="155"/>
      <c r="E19" s="158" t="s">
        <v>753</v>
      </c>
      <c r="F19" s="158"/>
      <c r="G19" s="155"/>
      <c r="H19" s="155"/>
      <c r="I19" s="155"/>
      <c r="J19" s="156"/>
      <c r="K19" s="501" t="s">
        <v>523</v>
      </c>
      <c r="L19" s="501"/>
      <c r="M19" s="501"/>
      <c r="N19" s="501"/>
      <c r="O19" s="502" t="s">
        <v>514</v>
      </c>
      <c r="P19" s="502"/>
      <c r="Q19" s="502">
        <v>1</v>
      </c>
      <c r="R19" s="502"/>
      <c r="S19" s="502"/>
      <c r="T19" s="502"/>
      <c r="U19" s="502" t="s">
        <v>515</v>
      </c>
      <c r="V19" s="502"/>
      <c r="W19" s="503" t="s">
        <v>698</v>
      </c>
      <c r="X19" s="501"/>
      <c r="Y19" s="501"/>
      <c r="Z19" s="501"/>
      <c r="AA19" s="501"/>
      <c r="AB19" s="501"/>
      <c r="AC19" s="501"/>
    </row>
    <row r="20" spans="2:29"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</row>
    <row r="21" spans="2:29" ht="16.5">
      <c r="B21" s="586" t="s">
        <v>499</v>
      </c>
      <c r="C21" s="587"/>
      <c r="D21" s="587"/>
      <c r="E21" s="588"/>
      <c r="F21" s="589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1"/>
    </row>
    <row r="22" spans="2:29">
      <c r="B22" s="4" t="s">
        <v>482</v>
      </c>
      <c r="C22" s="512" t="s">
        <v>500</v>
      </c>
      <c r="D22" s="592"/>
      <c r="E22" s="592"/>
      <c r="F22" s="592"/>
      <c r="G22" s="592"/>
      <c r="H22" s="592"/>
      <c r="I22" s="592"/>
      <c r="J22" s="513"/>
      <c r="K22" s="512" t="s">
        <v>501</v>
      </c>
      <c r="L22" s="592"/>
      <c r="M22" s="592"/>
      <c r="N22" s="513"/>
      <c r="O22" s="512" t="s">
        <v>485</v>
      </c>
      <c r="P22" s="513"/>
      <c r="Q22" s="512" t="s">
        <v>486</v>
      </c>
      <c r="R22" s="513"/>
      <c r="S22" s="512" t="s">
        <v>487</v>
      </c>
      <c r="T22" s="513"/>
      <c r="U22" s="512" t="s">
        <v>488</v>
      </c>
      <c r="V22" s="513"/>
      <c r="W22" s="512" t="s">
        <v>489</v>
      </c>
      <c r="X22" s="592"/>
      <c r="Y22" s="592"/>
      <c r="Z22" s="592"/>
      <c r="AA22" s="592"/>
      <c r="AB22" s="592"/>
      <c r="AC22" s="513"/>
    </row>
    <row r="23" spans="2:29" ht="13.5" customHeight="1">
      <c r="B23" s="49">
        <v>1</v>
      </c>
      <c r="C23" s="50" t="s">
        <v>86</v>
      </c>
      <c r="D23" s="51"/>
      <c r="E23" s="51"/>
      <c r="F23" s="51"/>
      <c r="G23" s="51"/>
      <c r="H23" s="51"/>
      <c r="I23" s="51"/>
      <c r="J23" s="52"/>
      <c r="K23" s="490" t="s">
        <v>87</v>
      </c>
      <c r="L23" s="491"/>
      <c r="M23" s="491"/>
      <c r="N23" s="492"/>
      <c r="O23" s="467" t="s">
        <v>498</v>
      </c>
      <c r="P23" s="468"/>
      <c r="Q23" s="467">
        <v>20</v>
      </c>
      <c r="R23" s="468"/>
      <c r="S23" s="467"/>
      <c r="T23" s="468"/>
      <c r="U23" s="467" t="s">
        <v>496</v>
      </c>
      <c r="V23" s="468"/>
      <c r="W23" s="493" t="s">
        <v>352</v>
      </c>
      <c r="X23" s="484"/>
      <c r="Y23" s="484"/>
      <c r="Z23" s="484"/>
      <c r="AA23" s="484"/>
      <c r="AB23" s="484"/>
      <c r="AC23" s="485"/>
    </row>
    <row r="24" spans="2:29">
      <c r="B24" s="49">
        <v>1</v>
      </c>
      <c r="C24" s="50" t="s">
        <v>89</v>
      </c>
      <c r="D24" s="51"/>
      <c r="E24" s="51"/>
      <c r="F24" s="51"/>
      <c r="G24" s="51"/>
      <c r="H24" s="51"/>
      <c r="I24" s="51"/>
      <c r="J24" s="52"/>
      <c r="K24" s="494" t="s">
        <v>502</v>
      </c>
      <c r="L24" s="495"/>
      <c r="M24" s="495"/>
      <c r="N24" s="496"/>
      <c r="O24" s="467" t="s">
        <v>498</v>
      </c>
      <c r="P24" s="468"/>
      <c r="Q24" s="467">
        <v>4000</v>
      </c>
      <c r="R24" s="468"/>
      <c r="S24" s="467"/>
      <c r="T24" s="468"/>
      <c r="U24" s="467" t="s">
        <v>496</v>
      </c>
      <c r="V24" s="468"/>
      <c r="W24" s="483" t="s">
        <v>404</v>
      </c>
      <c r="X24" s="484"/>
      <c r="Y24" s="484"/>
      <c r="Z24" s="484"/>
      <c r="AA24" s="484"/>
      <c r="AB24" s="484"/>
      <c r="AC24" s="485"/>
    </row>
    <row r="25" spans="2:29">
      <c r="B25" s="58">
        <v>1</v>
      </c>
      <c r="C25" s="59" t="s">
        <v>90</v>
      </c>
      <c r="D25" s="59"/>
      <c r="E25" s="59"/>
      <c r="F25" s="59"/>
      <c r="G25" s="59"/>
      <c r="H25" s="59"/>
      <c r="I25" s="59"/>
      <c r="J25" s="60"/>
      <c r="K25" s="497" t="s">
        <v>504</v>
      </c>
      <c r="L25" s="498"/>
      <c r="M25" s="498"/>
      <c r="N25" s="499"/>
      <c r="O25" s="472"/>
      <c r="P25" s="473"/>
      <c r="Q25" s="472"/>
      <c r="R25" s="473"/>
      <c r="S25" s="472"/>
      <c r="T25" s="473"/>
      <c r="U25" s="472"/>
      <c r="V25" s="473"/>
      <c r="W25" s="487"/>
      <c r="X25" s="488"/>
      <c r="Y25" s="488"/>
      <c r="Z25" s="488"/>
      <c r="AA25" s="488"/>
      <c r="AB25" s="488"/>
      <c r="AC25" s="489"/>
    </row>
    <row r="26" spans="2:29" ht="13.5" customHeight="1">
      <c r="B26" s="49">
        <v>2</v>
      </c>
      <c r="C26" s="50"/>
      <c r="D26" s="51" t="s">
        <v>130</v>
      </c>
      <c r="E26" s="51"/>
      <c r="F26" s="51"/>
      <c r="G26" s="51"/>
      <c r="H26" s="51"/>
      <c r="I26" s="51"/>
      <c r="J26" s="52"/>
      <c r="K26" s="494" t="s">
        <v>493</v>
      </c>
      <c r="L26" s="495"/>
      <c r="M26" s="495"/>
      <c r="N26" s="496"/>
      <c r="O26" s="467" t="s">
        <v>498</v>
      </c>
      <c r="P26" s="468"/>
      <c r="Q26" s="467">
        <v>20</v>
      </c>
      <c r="R26" s="468"/>
      <c r="S26" s="467" t="s">
        <v>526</v>
      </c>
      <c r="T26" s="468"/>
      <c r="U26" s="467" t="s">
        <v>496</v>
      </c>
      <c r="V26" s="468"/>
      <c r="W26" s="464" t="s">
        <v>344</v>
      </c>
      <c r="X26" s="465"/>
      <c r="Y26" s="465"/>
      <c r="Z26" s="465"/>
      <c r="AA26" s="465"/>
      <c r="AB26" s="465"/>
      <c r="AC26" s="466"/>
    </row>
    <row r="27" spans="2:29">
      <c r="B27" s="49">
        <v>2</v>
      </c>
      <c r="C27" s="50"/>
      <c r="D27" s="51" t="s">
        <v>691</v>
      </c>
      <c r="E27" s="51"/>
      <c r="F27" s="51"/>
      <c r="G27" s="51"/>
      <c r="H27" s="51"/>
      <c r="I27" s="51"/>
      <c r="J27" s="52"/>
      <c r="K27" s="483" t="s">
        <v>692</v>
      </c>
      <c r="L27" s="484"/>
      <c r="M27" s="484"/>
      <c r="N27" s="485"/>
      <c r="O27" s="467" t="s">
        <v>62</v>
      </c>
      <c r="P27" s="468"/>
      <c r="Q27" s="467">
        <v>50</v>
      </c>
      <c r="R27" s="468"/>
      <c r="S27" s="502" t="s">
        <v>63</v>
      </c>
      <c r="T27" s="502"/>
      <c r="U27" s="467" t="s">
        <v>57</v>
      </c>
      <c r="V27" s="468"/>
      <c r="W27" s="494" t="s">
        <v>674</v>
      </c>
      <c r="X27" s="495"/>
      <c r="Y27" s="495"/>
      <c r="Z27" s="495"/>
      <c r="AA27" s="495"/>
      <c r="AB27" s="495"/>
      <c r="AC27" s="496"/>
    </row>
    <row r="28" spans="2:29" ht="13.5" customHeight="1">
      <c r="B28" s="49">
        <v>2</v>
      </c>
      <c r="C28" s="61"/>
      <c r="D28" s="62" t="s">
        <v>429</v>
      </c>
      <c r="E28" s="51"/>
      <c r="F28" s="51"/>
      <c r="G28" s="62"/>
      <c r="H28" s="62"/>
      <c r="I28" s="62"/>
      <c r="J28" s="63"/>
      <c r="K28" s="469" t="s">
        <v>517</v>
      </c>
      <c r="L28" s="470"/>
      <c r="M28" s="470"/>
      <c r="N28" s="471"/>
      <c r="O28" s="467" t="s">
        <v>498</v>
      </c>
      <c r="P28" s="468"/>
      <c r="Q28" s="467">
        <v>1</v>
      </c>
      <c r="R28" s="468"/>
      <c r="S28" s="467"/>
      <c r="T28" s="468"/>
      <c r="U28" s="467" t="s">
        <v>496</v>
      </c>
      <c r="V28" s="468"/>
      <c r="W28" s="493" t="s">
        <v>352</v>
      </c>
      <c r="X28" s="484"/>
      <c r="Y28" s="484"/>
      <c r="Z28" s="484"/>
      <c r="AA28" s="484"/>
      <c r="AB28" s="484"/>
      <c r="AC28" s="485"/>
    </row>
    <row r="29" spans="2:29" ht="13.5" customHeight="1">
      <c r="B29" s="49">
        <v>2</v>
      </c>
      <c r="C29" s="61"/>
      <c r="D29" s="62" t="s">
        <v>518</v>
      </c>
      <c r="E29" s="51"/>
      <c r="F29" s="51"/>
      <c r="G29" s="62"/>
      <c r="H29" s="62"/>
      <c r="I29" s="62"/>
      <c r="J29" s="63"/>
      <c r="K29" s="469" t="s">
        <v>418</v>
      </c>
      <c r="L29" s="470"/>
      <c r="M29" s="470"/>
      <c r="N29" s="471"/>
      <c r="O29" s="467" t="s">
        <v>498</v>
      </c>
      <c r="P29" s="468"/>
      <c r="Q29" s="467">
        <v>100</v>
      </c>
      <c r="R29" s="468"/>
      <c r="S29" s="467"/>
      <c r="T29" s="468"/>
      <c r="U29" s="467"/>
      <c r="V29" s="468"/>
      <c r="W29" s="464" t="s">
        <v>507</v>
      </c>
      <c r="X29" s="465"/>
      <c r="Y29" s="465"/>
      <c r="Z29" s="465"/>
      <c r="AA29" s="465"/>
      <c r="AB29" s="465"/>
      <c r="AC29" s="466"/>
    </row>
    <row r="30" spans="2:29" ht="16.5">
      <c r="B30" s="625"/>
      <c r="C30" s="625"/>
      <c r="D30" s="625"/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5"/>
      <c r="R30" s="625"/>
      <c r="S30" s="625"/>
      <c r="T30" s="625"/>
      <c r="U30" s="625"/>
      <c r="V30" s="625"/>
      <c r="W30" s="625"/>
      <c r="X30" s="625"/>
      <c r="Y30" s="625"/>
      <c r="Z30" s="625"/>
      <c r="AA30" s="625"/>
      <c r="AB30" s="625"/>
      <c r="AC30" s="625"/>
    </row>
    <row r="31" spans="2:29">
      <c r="B31" s="474" t="s">
        <v>527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6"/>
    </row>
    <row r="32" spans="2:29" ht="15.6" customHeight="1">
      <c r="B32" s="568" t="s">
        <v>695</v>
      </c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478"/>
      <c r="AA32" s="478"/>
      <c r="AB32" s="478"/>
      <c r="AC32" s="479"/>
    </row>
    <row r="33" spans="2:29">
      <c r="B33" s="480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2"/>
    </row>
    <row r="34" spans="2:29" ht="16.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</sheetData>
  <mergeCells count="145">
    <mergeCell ref="K12:N12"/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B2:D2"/>
    <mergeCell ref="E2:N2"/>
    <mergeCell ref="O2:Q2"/>
    <mergeCell ref="R2:AC2"/>
    <mergeCell ref="B3:D3"/>
    <mergeCell ref="E3:AC3"/>
    <mergeCell ref="B5:D5"/>
    <mergeCell ref="E5:N5"/>
    <mergeCell ref="O5:Q5"/>
    <mergeCell ref="R5:AC5"/>
    <mergeCell ref="B4:D4"/>
    <mergeCell ref="E4:N4"/>
    <mergeCell ref="O4:Q4"/>
    <mergeCell ref="R4:AC4"/>
    <mergeCell ref="K10:N10"/>
    <mergeCell ref="O10:P10"/>
    <mergeCell ref="Q10:R10"/>
    <mergeCell ref="S10:T10"/>
    <mergeCell ref="U10:V10"/>
    <mergeCell ref="W10:AC10"/>
    <mergeCell ref="K16:N16"/>
    <mergeCell ref="O16:P16"/>
    <mergeCell ref="Q16:R16"/>
    <mergeCell ref="S16:T16"/>
    <mergeCell ref="U16:V16"/>
    <mergeCell ref="W16:AC16"/>
    <mergeCell ref="K15:N15"/>
    <mergeCell ref="O15:P15"/>
    <mergeCell ref="Q15:R15"/>
    <mergeCell ref="S15:T15"/>
    <mergeCell ref="U15:V15"/>
    <mergeCell ref="W15:AC15"/>
    <mergeCell ref="K14:N14"/>
    <mergeCell ref="O14:P14"/>
    <mergeCell ref="Q14:R14"/>
    <mergeCell ref="S14:T14"/>
    <mergeCell ref="U14:V14"/>
    <mergeCell ref="W14:AC14"/>
    <mergeCell ref="B6:AB6"/>
    <mergeCell ref="B7:E7"/>
    <mergeCell ref="F7:AC7"/>
    <mergeCell ref="W8:AC8"/>
    <mergeCell ref="K9:N9"/>
    <mergeCell ref="O9:P9"/>
    <mergeCell ref="Q9:R9"/>
    <mergeCell ref="S9:T9"/>
    <mergeCell ref="U9:V9"/>
    <mergeCell ref="W9:AC9"/>
    <mergeCell ref="C8:J8"/>
    <mergeCell ref="K8:N8"/>
    <mergeCell ref="O8:P8"/>
    <mergeCell ref="Q8:R8"/>
    <mergeCell ref="S8:T8"/>
    <mergeCell ref="U8:V8"/>
    <mergeCell ref="K23:N23"/>
    <mergeCell ref="O23:P23"/>
    <mergeCell ref="Q23:R23"/>
    <mergeCell ref="S23:T23"/>
    <mergeCell ref="U23:V23"/>
    <mergeCell ref="W23:AC23"/>
    <mergeCell ref="B20:AC20"/>
    <mergeCell ref="B21:E21"/>
    <mergeCell ref="F21:AC21"/>
    <mergeCell ref="C22:J22"/>
    <mergeCell ref="K22:N22"/>
    <mergeCell ref="O22:P22"/>
    <mergeCell ref="Q22:R22"/>
    <mergeCell ref="S22:T22"/>
    <mergeCell ref="U22:V22"/>
    <mergeCell ref="W22:AC22"/>
    <mergeCell ref="K25:N25"/>
    <mergeCell ref="O25:P25"/>
    <mergeCell ref="Q25:R25"/>
    <mergeCell ref="S25:T25"/>
    <mergeCell ref="U25:V25"/>
    <mergeCell ref="W25:AC25"/>
    <mergeCell ref="K24:N24"/>
    <mergeCell ref="O24:P24"/>
    <mergeCell ref="Q24:R24"/>
    <mergeCell ref="S24:T24"/>
    <mergeCell ref="U24:V24"/>
    <mergeCell ref="W24:AC24"/>
    <mergeCell ref="K28:N28"/>
    <mergeCell ref="O28:P28"/>
    <mergeCell ref="Q28:R28"/>
    <mergeCell ref="S28:T28"/>
    <mergeCell ref="U28:V28"/>
    <mergeCell ref="W28:AC28"/>
    <mergeCell ref="K26:N26"/>
    <mergeCell ref="O26:P26"/>
    <mergeCell ref="Q26:R26"/>
    <mergeCell ref="S26:T26"/>
    <mergeCell ref="U26:V26"/>
    <mergeCell ref="W26:AC26"/>
    <mergeCell ref="K27:N27"/>
    <mergeCell ref="O27:P27"/>
    <mergeCell ref="Q27:R27"/>
    <mergeCell ref="S27:T27"/>
    <mergeCell ref="U27:V27"/>
    <mergeCell ref="W27:AC27"/>
    <mergeCell ref="B30:AC30"/>
    <mergeCell ref="B31:AC31"/>
    <mergeCell ref="B32:AC33"/>
    <mergeCell ref="K29:N29"/>
    <mergeCell ref="O29:P29"/>
    <mergeCell ref="Q29:R29"/>
    <mergeCell ref="S29:T29"/>
    <mergeCell ref="U29:V29"/>
    <mergeCell ref="W29:AC29"/>
    <mergeCell ref="K19:N19"/>
    <mergeCell ref="O19:P19"/>
    <mergeCell ref="Q19:R19"/>
    <mergeCell ref="S19:T19"/>
    <mergeCell ref="U19:V19"/>
    <mergeCell ref="W19:AC19"/>
    <mergeCell ref="K11:N11"/>
    <mergeCell ref="O11:P11"/>
    <mergeCell ref="Q11:R11"/>
    <mergeCell ref="S11:T11"/>
    <mergeCell ref="U11:V11"/>
    <mergeCell ref="W11:AC11"/>
    <mergeCell ref="K18:N18"/>
    <mergeCell ref="O18:P18"/>
    <mergeCell ref="Q18:R18"/>
    <mergeCell ref="S18:T18"/>
    <mergeCell ref="U18:V18"/>
    <mergeCell ref="W18:AC18"/>
    <mergeCell ref="K17:N17"/>
    <mergeCell ref="O17:P17"/>
    <mergeCell ref="Q17:R17"/>
    <mergeCell ref="S17:T17"/>
    <mergeCell ref="U17:V17"/>
    <mergeCell ref="W17:AC17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rgb="FFFFE699"/>
    <pageSetUpPr fitToPage="1"/>
  </sheetPr>
  <dimension ref="A1:AC37"/>
  <sheetViews>
    <sheetView zoomScaleSheetLayoutView="100" zoomScalePageLayoutView="55" workbookViewId="0">
      <selection activeCell="E17" sqref="E17:E20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508</v>
      </c>
    </row>
    <row r="2" spans="1:29" ht="20.25" customHeight="1">
      <c r="B2" s="514" t="s">
        <v>509</v>
      </c>
      <c r="C2" s="514"/>
      <c r="D2" s="514"/>
      <c r="E2" s="515" t="str">
        <f xml:space="preserve"> ERP_인터페이스목록!C22</f>
        <v>미출처리 처리결과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ERP_인터페이스목록!G22</f>
        <v>W2O_OB_NOB_ODR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478</v>
      </c>
      <c r="C3" s="514"/>
      <c r="D3" s="514"/>
      <c r="E3" s="515" t="str">
        <f>ERP_인터페이스목록!J22</f>
        <v>/{bizSeq}/sif/w2o/so/qty/mod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519</v>
      </c>
      <c r="C4" s="516"/>
      <c r="D4" s="516"/>
      <c r="E4" s="515" t="str">
        <f>ERP_인터페이스목록!L22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510</v>
      </c>
      <c r="P4" s="516"/>
      <c r="Q4" s="516"/>
      <c r="R4" s="515" t="s">
        <v>511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ERP_인터페이스목록!D22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ERP_인터페이스목록!E22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481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482</v>
      </c>
      <c r="C8" s="500" t="s">
        <v>500</v>
      </c>
      <c r="D8" s="500"/>
      <c r="E8" s="500"/>
      <c r="F8" s="500"/>
      <c r="G8" s="500"/>
      <c r="H8" s="500"/>
      <c r="I8" s="500"/>
      <c r="J8" s="500"/>
      <c r="K8" s="500" t="s">
        <v>501</v>
      </c>
      <c r="L8" s="500"/>
      <c r="M8" s="500"/>
      <c r="N8" s="500"/>
      <c r="O8" s="500" t="s">
        <v>485</v>
      </c>
      <c r="P8" s="500"/>
      <c r="Q8" s="500" t="s">
        <v>486</v>
      </c>
      <c r="R8" s="500"/>
      <c r="S8" s="500" t="s">
        <v>487</v>
      </c>
      <c r="T8" s="500"/>
      <c r="U8" s="500" t="s">
        <v>488</v>
      </c>
      <c r="V8" s="500"/>
      <c r="W8" s="500" t="s">
        <v>489</v>
      </c>
      <c r="X8" s="500"/>
      <c r="Y8" s="500"/>
      <c r="Z8" s="500"/>
      <c r="AA8" s="500"/>
      <c r="AB8" s="500"/>
      <c r="AC8" s="500"/>
    </row>
    <row r="9" spans="1:29" ht="31.15" customHeight="1">
      <c r="B9" s="49">
        <v>1</v>
      </c>
      <c r="C9" s="50" t="s">
        <v>521</v>
      </c>
      <c r="D9" s="51"/>
      <c r="E9" s="51"/>
      <c r="F9" s="51"/>
      <c r="G9" s="51"/>
      <c r="H9" s="51"/>
      <c r="I9" s="51"/>
      <c r="J9" s="52"/>
      <c r="K9" s="509" t="s">
        <v>491</v>
      </c>
      <c r="L9" s="510"/>
      <c r="M9" s="510"/>
      <c r="N9" s="511"/>
      <c r="O9" s="467" t="s">
        <v>522</v>
      </c>
      <c r="P9" s="468"/>
      <c r="Q9" s="467">
        <v>10</v>
      </c>
      <c r="R9" s="468"/>
      <c r="S9" s="467"/>
      <c r="T9" s="468"/>
      <c r="U9" s="467" t="s">
        <v>496</v>
      </c>
      <c r="V9" s="468"/>
      <c r="W9" s="493" t="s">
        <v>492</v>
      </c>
      <c r="X9" s="484"/>
      <c r="Y9" s="484"/>
      <c r="Z9" s="484"/>
      <c r="AA9" s="484"/>
      <c r="AB9" s="484"/>
      <c r="AC9" s="485"/>
    </row>
    <row r="10" spans="1:29" ht="13.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467" t="s">
        <v>179</v>
      </c>
      <c r="P10" s="468"/>
      <c r="Q10" s="502">
        <v>20</v>
      </c>
      <c r="R10" s="502"/>
      <c r="S10" s="502"/>
      <c r="T10" s="502"/>
      <c r="U10" s="502" t="s">
        <v>94</v>
      </c>
      <c r="V10" s="502"/>
      <c r="W10" s="503" t="s">
        <v>353</v>
      </c>
      <c r="X10" s="501"/>
      <c r="Y10" s="501"/>
      <c r="Z10" s="501"/>
      <c r="AA10" s="501"/>
      <c r="AB10" s="501"/>
      <c r="AC10" s="501"/>
    </row>
    <row r="11" spans="1:29" ht="13.5" customHeight="1">
      <c r="B11" s="49">
        <v>1</v>
      </c>
      <c r="C11" s="50" t="s">
        <v>84</v>
      </c>
      <c r="D11" s="50"/>
      <c r="E11" s="51"/>
      <c r="F11" s="51"/>
      <c r="G11" s="51"/>
      <c r="H11" s="51"/>
      <c r="I11" s="51"/>
      <c r="J11" s="52"/>
      <c r="K11" s="483" t="s">
        <v>354</v>
      </c>
      <c r="L11" s="484"/>
      <c r="M11" s="484"/>
      <c r="N11" s="485"/>
      <c r="O11" s="467" t="s">
        <v>179</v>
      </c>
      <c r="P11" s="468"/>
      <c r="Q11" s="467">
        <v>100</v>
      </c>
      <c r="R11" s="468"/>
      <c r="S11" s="467"/>
      <c r="T11" s="468"/>
      <c r="U11" s="467" t="s">
        <v>94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172">
        <v>1</v>
      </c>
      <c r="C12" s="174" t="s">
        <v>764</v>
      </c>
      <c r="D12" s="174"/>
      <c r="E12" s="174"/>
      <c r="F12" s="174"/>
      <c r="G12" s="174"/>
      <c r="H12" s="174"/>
      <c r="I12" s="174"/>
      <c r="J12" s="175"/>
      <c r="K12" s="483" t="s">
        <v>356</v>
      </c>
      <c r="L12" s="484"/>
      <c r="M12" s="484"/>
      <c r="N12" s="485"/>
      <c r="O12" s="467" t="s">
        <v>95</v>
      </c>
      <c r="P12" s="468"/>
      <c r="Q12" s="467">
        <v>8</v>
      </c>
      <c r="R12" s="468"/>
      <c r="S12" s="467"/>
      <c r="T12" s="468"/>
      <c r="U12" s="502" t="s">
        <v>763</v>
      </c>
      <c r="V12" s="502"/>
      <c r="W12" s="483" t="s">
        <v>357</v>
      </c>
      <c r="X12" s="484"/>
      <c r="Y12" s="484"/>
      <c r="Z12" s="484"/>
      <c r="AA12" s="484"/>
      <c r="AB12" s="484"/>
      <c r="AC12" s="485"/>
    </row>
    <row r="13" spans="1:29" ht="13.5" customHeight="1">
      <c r="B13" s="172">
        <v>1</v>
      </c>
      <c r="C13" s="174" t="s">
        <v>420</v>
      </c>
      <c r="D13" s="174"/>
      <c r="E13" s="174"/>
      <c r="F13" s="174"/>
      <c r="G13" s="174"/>
      <c r="H13" s="174"/>
      <c r="I13" s="174"/>
      <c r="J13" s="175"/>
      <c r="K13" s="483" t="s">
        <v>768</v>
      </c>
      <c r="L13" s="484"/>
      <c r="M13" s="484"/>
      <c r="N13" s="485"/>
      <c r="O13" s="467" t="s">
        <v>769</v>
      </c>
      <c r="P13" s="468"/>
      <c r="Q13" s="467">
        <v>6</v>
      </c>
      <c r="R13" s="468"/>
      <c r="S13" s="467"/>
      <c r="T13" s="468"/>
      <c r="U13" s="502" t="s">
        <v>763</v>
      </c>
      <c r="V13" s="502"/>
      <c r="W13" s="483" t="s">
        <v>771</v>
      </c>
      <c r="X13" s="484"/>
      <c r="Y13" s="484"/>
      <c r="Z13" s="484"/>
      <c r="AA13" s="484"/>
      <c r="AB13" s="484"/>
      <c r="AC13" s="485"/>
    </row>
    <row r="14" spans="1:29">
      <c r="B14" s="58">
        <v>1</v>
      </c>
      <c r="C14" s="59" t="s">
        <v>129</v>
      </c>
      <c r="D14" s="59"/>
      <c r="E14" s="59"/>
      <c r="F14" s="59"/>
      <c r="G14" s="59"/>
      <c r="H14" s="59"/>
      <c r="I14" s="59"/>
      <c r="J14" s="60"/>
      <c r="K14" s="634" t="s">
        <v>504</v>
      </c>
      <c r="L14" s="634"/>
      <c r="M14" s="634"/>
      <c r="N14" s="634"/>
      <c r="O14" s="472"/>
      <c r="P14" s="473"/>
      <c r="Q14" s="611"/>
      <c r="R14" s="611"/>
      <c r="S14" s="611"/>
      <c r="T14" s="611"/>
      <c r="U14" s="611"/>
      <c r="V14" s="611"/>
      <c r="W14" s="646"/>
      <c r="X14" s="634"/>
      <c r="Y14" s="634"/>
      <c r="Z14" s="634"/>
      <c r="AA14" s="634"/>
      <c r="AB14" s="634"/>
      <c r="AC14" s="634"/>
    </row>
    <row r="15" spans="1:29">
      <c r="B15" s="49">
        <v>2</v>
      </c>
      <c r="C15" s="51"/>
      <c r="D15" s="51" t="s">
        <v>130</v>
      </c>
      <c r="E15" s="51"/>
      <c r="F15" s="51"/>
      <c r="G15" s="51"/>
      <c r="H15" s="51"/>
      <c r="I15" s="51"/>
      <c r="J15" s="52"/>
      <c r="K15" s="501" t="s">
        <v>493</v>
      </c>
      <c r="L15" s="501"/>
      <c r="M15" s="501"/>
      <c r="N15" s="501"/>
      <c r="O15" s="494" t="s">
        <v>498</v>
      </c>
      <c r="P15" s="496"/>
      <c r="Q15" s="502">
        <v>20</v>
      </c>
      <c r="R15" s="502"/>
      <c r="S15" s="502" t="s">
        <v>495</v>
      </c>
      <c r="T15" s="502"/>
      <c r="U15" s="502" t="s">
        <v>496</v>
      </c>
      <c r="V15" s="502"/>
      <c r="W15" s="643" t="s">
        <v>497</v>
      </c>
      <c r="X15" s="644"/>
      <c r="Y15" s="644"/>
      <c r="Z15" s="644"/>
      <c r="AA15" s="644"/>
      <c r="AB15" s="644"/>
      <c r="AC15" s="645"/>
    </row>
    <row r="16" spans="1:29">
      <c r="B16" s="49">
        <v>2</v>
      </c>
      <c r="C16" s="50"/>
      <c r="D16" s="51" t="s">
        <v>691</v>
      </c>
      <c r="E16" s="51"/>
      <c r="F16" s="51"/>
      <c r="G16" s="51"/>
      <c r="H16" s="51"/>
      <c r="I16" s="51"/>
      <c r="J16" s="52"/>
      <c r="K16" s="483" t="s">
        <v>692</v>
      </c>
      <c r="L16" s="484"/>
      <c r="M16" s="484"/>
      <c r="N16" s="485"/>
      <c r="O16" s="467" t="s">
        <v>62</v>
      </c>
      <c r="P16" s="468"/>
      <c r="Q16" s="467">
        <v>50</v>
      </c>
      <c r="R16" s="468"/>
      <c r="S16" s="502" t="s">
        <v>63</v>
      </c>
      <c r="T16" s="502"/>
      <c r="U16" s="467" t="s">
        <v>57</v>
      </c>
      <c r="V16" s="468"/>
      <c r="W16" s="494" t="s">
        <v>674</v>
      </c>
      <c r="X16" s="495"/>
      <c r="Y16" s="495"/>
      <c r="Z16" s="495"/>
      <c r="AA16" s="495"/>
      <c r="AB16" s="495"/>
      <c r="AC16" s="496"/>
    </row>
    <row r="17" spans="2:29">
      <c r="B17" s="58">
        <v>2</v>
      </c>
      <c r="C17" s="106"/>
      <c r="D17" s="106" t="s">
        <v>135</v>
      </c>
      <c r="E17" s="59"/>
      <c r="F17" s="59"/>
      <c r="G17" s="106"/>
      <c r="H17" s="106"/>
      <c r="I17" s="106"/>
      <c r="J17" s="107"/>
      <c r="K17" s="593" t="s">
        <v>59</v>
      </c>
      <c r="L17" s="594"/>
      <c r="M17" s="594"/>
      <c r="N17" s="595"/>
      <c r="O17" s="611"/>
      <c r="P17" s="611"/>
      <c r="Q17" s="611"/>
      <c r="R17" s="611"/>
      <c r="S17" s="611"/>
      <c r="T17" s="611"/>
      <c r="U17" s="611"/>
      <c r="V17" s="611"/>
      <c r="W17" s="634"/>
      <c r="X17" s="634"/>
      <c r="Y17" s="634"/>
      <c r="Z17" s="634"/>
      <c r="AA17" s="634"/>
      <c r="AB17" s="634"/>
      <c r="AC17" s="634"/>
    </row>
    <row r="18" spans="2:29">
      <c r="B18" s="49">
        <v>3</v>
      </c>
      <c r="C18" s="61"/>
      <c r="D18" s="62"/>
      <c r="E18" s="51" t="s">
        <v>131</v>
      </c>
      <c r="F18" s="51"/>
      <c r="G18" s="62"/>
      <c r="H18" s="62"/>
      <c r="I18" s="62"/>
      <c r="J18" s="63"/>
      <c r="K18" s="483" t="s">
        <v>524</v>
      </c>
      <c r="L18" s="484"/>
      <c r="M18" s="484"/>
      <c r="N18" s="485"/>
      <c r="O18" s="467" t="s">
        <v>498</v>
      </c>
      <c r="P18" s="468"/>
      <c r="Q18" s="502">
        <v>20</v>
      </c>
      <c r="R18" s="502"/>
      <c r="S18" s="502" t="s">
        <v>495</v>
      </c>
      <c r="T18" s="502"/>
      <c r="U18" s="502" t="s">
        <v>496</v>
      </c>
      <c r="V18" s="502"/>
      <c r="W18" s="464" t="s">
        <v>525</v>
      </c>
      <c r="X18" s="465"/>
      <c r="Y18" s="465"/>
      <c r="Z18" s="465"/>
      <c r="AA18" s="465"/>
      <c r="AB18" s="465"/>
      <c r="AC18" s="466"/>
    </row>
    <row r="19" spans="2:29">
      <c r="B19" s="49">
        <v>3</v>
      </c>
      <c r="C19" s="61"/>
      <c r="D19" s="62"/>
      <c r="E19" s="62" t="s">
        <v>132</v>
      </c>
      <c r="F19" s="62"/>
      <c r="G19" s="62"/>
      <c r="H19" s="62"/>
      <c r="I19" s="62"/>
      <c r="J19" s="63"/>
      <c r="K19" s="608" t="s">
        <v>133</v>
      </c>
      <c r="L19" s="609"/>
      <c r="M19" s="609"/>
      <c r="N19" s="610"/>
      <c r="O19" s="502" t="s">
        <v>522</v>
      </c>
      <c r="P19" s="502"/>
      <c r="Q19" s="467">
        <v>10</v>
      </c>
      <c r="R19" s="468"/>
      <c r="S19" s="502"/>
      <c r="T19" s="502"/>
      <c r="U19" s="502" t="s">
        <v>496</v>
      </c>
      <c r="V19" s="502"/>
      <c r="W19" s="483" t="s">
        <v>528</v>
      </c>
      <c r="X19" s="484"/>
      <c r="Y19" s="484"/>
      <c r="Z19" s="484"/>
      <c r="AA19" s="484"/>
      <c r="AB19" s="484"/>
      <c r="AC19" s="485"/>
    </row>
    <row r="20" spans="2:29">
      <c r="B20" s="49">
        <v>3</v>
      </c>
      <c r="C20" s="61"/>
      <c r="D20" s="62"/>
      <c r="E20" s="62" t="s">
        <v>529</v>
      </c>
      <c r="F20" s="62"/>
      <c r="G20" s="62"/>
      <c r="H20" s="62"/>
      <c r="I20" s="62"/>
      <c r="J20" s="63"/>
      <c r="K20" s="608" t="s">
        <v>530</v>
      </c>
      <c r="L20" s="609"/>
      <c r="M20" s="609"/>
      <c r="N20" s="610"/>
      <c r="O20" s="502" t="s">
        <v>522</v>
      </c>
      <c r="P20" s="502"/>
      <c r="Q20" s="467">
        <v>10</v>
      </c>
      <c r="R20" s="468"/>
      <c r="S20" s="502"/>
      <c r="T20" s="502"/>
      <c r="U20" s="502" t="s">
        <v>496</v>
      </c>
      <c r="V20" s="502"/>
      <c r="W20" s="483" t="s">
        <v>531</v>
      </c>
      <c r="X20" s="484"/>
      <c r="Y20" s="484"/>
      <c r="Z20" s="484"/>
      <c r="AA20" s="484"/>
      <c r="AB20" s="484"/>
      <c r="AC20" s="485"/>
    </row>
    <row r="21" spans="2:29">
      <c r="B21" s="49">
        <v>3</v>
      </c>
      <c r="C21" s="61"/>
      <c r="D21" s="62"/>
      <c r="E21" s="62" t="s">
        <v>752</v>
      </c>
      <c r="F21" s="62"/>
      <c r="G21" s="62"/>
      <c r="H21" s="62"/>
      <c r="I21" s="62"/>
      <c r="J21" s="63"/>
      <c r="K21" s="608" t="s">
        <v>532</v>
      </c>
      <c r="L21" s="609"/>
      <c r="M21" s="609"/>
      <c r="N21" s="610"/>
      <c r="O21" s="467" t="s">
        <v>498</v>
      </c>
      <c r="P21" s="468"/>
      <c r="Q21" s="467">
        <v>20</v>
      </c>
      <c r="R21" s="468"/>
      <c r="S21" s="467"/>
      <c r="T21" s="468"/>
      <c r="U21" s="467"/>
      <c r="V21" s="468"/>
      <c r="W21" s="494"/>
      <c r="X21" s="495"/>
      <c r="Y21" s="495"/>
      <c r="Z21" s="495"/>
      <c r="AA21" s="495"/>
      <c r="AB21" s="495"/>
      <c r="AC21" s="496"/>
    </row>
    <row r="22" spans="2:29" ht="13.5" customHeight="1">
      <c r="B22" s="49">
        <v>3</v>
      </c>
      <c r="C22" s="61"/>
      <c r="D22" s="62"/>
      <c r="E22" s="228" t="s">
        <v>1356</v>
      </c>
      <c r="F22" s="62"/>
      <c r="G22" s="62"/>
      <c r="H22" s="62"/>
      <c r="I22" s="62"/>
      <c r="J22" s="63"/>
      <c r="K22" s="483" t="s">
        <v>533</v>
      </c>
      <c r="L22" s="484"/>
      <c r="M22" s="484"/>
      <c r="N22" s="485"/>
      <c r="O22" s="467" t="s">
        <v>498</v>
      </c>
      <c r="P22" s="468"/>
      <c r="Q22" s="467">
        <v>1000</v>
      </c>
      <c r="R22" s="468"/>
      <c r="S22" s="467"/>
      <c r="T22" s="468"/>
      <c r="U22" s="467"/>
      <c r="V22" s="468"/>
      <c r="W22" s="469"/>
      <c r="X22" s="470"/>
      <c r="Y22" s="470"/>
      <c r="Z22" s="470"/>
      <c r="AA22" s="470"/>
      <c r="AB22" s="470"/>
      <c r="AC22" s="471"/>
    </row>
    <row r="23" spans="2:29">
      <c r="B23" s="486"/>
      <c r="C23" s="486"/>
      <c r="D23" s="486"/>
      <c r="E23" s="486"/>
      <c r="F23" s="486"/>
      <c r="G23" s="486"/>
      <c r="H23" s="486"/>
      <c r="I23" s="486"/>
      <c r="J23" s="486"/>
      <c r="K23" s="486"/>
      <c r="L23" s="486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</row>
    <row r="24" spans="2:29" ht="16.5">
      <c r="B24" s="586" t="s">
        <v>499</v>
      </c>
      <c r="C24" s="587"/>
      <c r="D24" s="587"/>
      <c r="E24" s="588"/>
      <c r="F24" s="589"/>
      <c r="G24" s="590"/>
      <c r="H24" s="590"/>
      <c r="I24" s="590"/>
      <c r="J24" s="590"/>
      <c r="K24" s="590"/>
      <c r="L24" s="590"/>
      <c r="M24" s="590"/>
      <c r="N24" s="590"/>
      <c r="O24" s="590"/>
      <c r="P24" s="590"/>
      <c r="Q24" s="590"/>
      <c r="R24" s="590"/>
      <c r="S24" s="590"/>
      <c r="T24" s="590"/>
      <c r="U24" s="590"/>
      <c r="V24" s="590"/>
      <c r="W24" s="590"/>
      <c r="X24" s="590"/>
      <c r="Y24" s="590"/>
      <c r="Z24" s="590"/>
      <c r="AA24" s="590"/>
      <c r="AB24" s="590"/>
      <c r="AC24" s="591"/>
    </row>
    <row r="25" spans="2:29">
      <c r="B25" s="4" t="s">
        <v>482</v>
      </c>
      <c r="C25" s="512" t="s">
        <v>500</v>
      </c>
      <c r="D25" s="592"/>
      <c r="E25" s="592"/>
      <c r="F25" s="592"/>
      <c r="G25" s="592"/>
      <c r="H25" s="592"/>
      <c r="I25" s="592"/>
      <c r="J25" s="513"/>
      <c r="K25" s="512" t="s">
        <v>501</v>
      </c>
      <c r="L25" s="592"/>
      <c r="M25" s="592"/>
      <c r="N25" s="513"/>
      <c r="O25" s="512" t="s">
        <v>485</v>
      </c>
      <c r="P25" s="513"/>
      <c r="Q25" s="512" t="s">
        <v>486</v>
      </c>
      <c r="R25" s="513"/>
      <c r="S25" s="512" t="s">
        <v>487</v>
      </c>
      <c r="T25" s="513"/>
      <c r="U25" s="512" t="s">
        <v>488</v>
      </c>
      <c r="V25" s="513"/>
      <c r="W25" s="512" t="s">
        <v>489</v>
      </c>
      <c r="X25" s="592"/>
      <c r="Y25" s="592"/>
      <c r="Z25" s="592"/>
      <c r="AA25" s="592"/>
      <c r="AB25" s="592"/>
      <c r="AC25" s="513"/>
    </row>
    <row r="26" spans="2:29" ht="13.5" customHeight="1">
      <c r="B26" s="49">
        <v>1</v>
      </c>
      <c r="C26" s="50" t="s">
        <v>86</v>
      </c>
      <c r="D26" s="51"/>
      <c r="E26" s="51"/>
      <c r="F26" s="51"/>
      <c r="G26" s="51"/>
      <c r="H26" s="51"/>
      <c r="I26" s="51"/>
      <c r="J26" s="52"/>
      <c r="K26" s="490" t="s">
        <v>87</v>
      </c>
      <c r="L26" s="491"/>
      <c r="M26" s="491"/>
      <c r="N26" s="492"/>
      <c r="O26" s="467" t="s">
        <v>498</v>
      </c>
      <c r="P26" s="468"/>
      <c r="Q26" s="467">
        <v>20</v>
      </c>
      <c r="R26" s="468"/>
      <c r="S26" s="467"/>
      <c r="T26" s="468"/>
      <c r="U26" s="467" t="s">
        <v>496</v>
      </c>
      <c r="V26" s="468"/>
      <c r="W26" s="493" t="s">
        <v>352</v>
      </c>
      <c r="X26" s="484"/>
      <c r="Y26" s="484"/>
      <c r="Z26" s="484"/>
      <c r="AA26" s="484"/>
      <c r="AB26" s="484"/>
      <c r="AC26" s="485"/>
    </row>
    <row r="27" spans="2:29">
      <c r="B27" s="49">
        <v>1</v>
      </c>
      <c r="C27" s="50" t="s">
        <v>89</v>
      </c>
      <c r="D27" s="51"/>
      <c r="E27" s="51"/>
      <c r="F27" s="51"/>
      <c r="G27" s="51"/>
      <c r="H27" s="51"/>
      <c r="I27" s="51"/>
      <c r="J27" s="52"/>
      <c r="K27" s="494" t="s">
        <v>502</v>
      </c>
      <c r="L27" s="495"/>
      <c r="M27" s="495"/>
      <c r="N27" s="496"/>
      <c r="O27" s="467" t="s">
        <v>498</v>
      </c>
      <c r="P27" s="468"/>
      <c r="Q27" s="467">
        <v>4000</v>
      </c>
      <c r="R27" s="468"/>
      <c r="S27" s="467"/>
      <c r="T27" s="468"/>
      <c r="U27" s="467" t="s">
        <v>496</v>
      </c>
      <c r="V27" s="468"/>
      <c r="W27" s="483" t="s">
        <v>404</v>
      </c>
      <c r="X27" s="484"/>
      <c r="Y27" s="484"/>
      <c r="Z27" s="484"/>
      <c r="AA27" s="484"/>
      <c r="AB27" s="484"/>
      <c r="AC27" s="485"/>
    </row>
    <row r="28" spans="2:29">
      <c r="B28" s="58">
        <v>1</v>
      </c>
      <c r="C28" s="59" t="s">
        <v>90</v>
      </c>
      <c r="D28" s="59"/>
      <c r="E28" s="59"/>
      <c r="F28" s="59"/>
      <c r="G28" s="59"/>
      <c r="H28" s="59"/>
      <c r="I28" s="59"/>
      <c r="J28" s="60"/>
      <c r="K28" s="497" t="s">
        <v>504</v>
      </c>
      <c r="L28" s="498"/>
      <c r="M28" s="498"/>
      <c r="N28" s="499"/>
      <c r="O28" s="472"/>
      <c r="P28" s="473"/>
      <c r="Q28" s="472"/>
      <c r="R28" s="473"/>
      <c r="S28" s="472"/>
      <c r="T28" s="473"/>
      <c r="U28" s="472"/>
      <c r="V28" s="473"/>
      <c r="W28" s="487"/>
      <c r="X28" s="488"/>
      <c r="Y28" s="488"/>
      <c r="Z28" s="488"/>
      <c r="AA28" s="488"/>
      <c r="AB28" s="488"/>
      <c r="AC28" s="489"/>
    </row>
    <row r="29" spans="2:29">
      <c r="B29" s="49">
        <v>2</v>
      </c>
      <c r="C29" s="50"/>
      <c r="D29" s="51" t="s">
        <v>130</v>
      </c>
      <c r="E29" s="51"/>
      <c r="F29" s="51"/>
      <c r="G29" s="51"/>
      <c r="H29" s="51"/>
      <c r="I29" s="51"/>
      <c r="J29" s="52"/>
      <c r="K29" s="494" t="s">
        <v>493</v>
      </c>
      <c r="L29" s="495"/>
      <c r="M29" s="495"/>
      <c r="N29" s="496"/>
      <c r="O29" s="467" t="s">
        <v>403</v>
      </c>
      <c r="P29" s="468"/>
      <c r="Q29" s="467">
        <v>20</v>
      </c>
      <c r="R29" s="468"/>
      <c r="S29" s="467" t="s">
        <v>495</v>
      </c>
      <c r="T29" s="468"/>
      <c r="U29" s="467" t="s">
        <v>496</v>
      </c>
      <c r="V29" s="468"/>
      <c r="W29" s="464" t="s">
        <v>497</v>
      </c>
      <c r="X29" s="465"/>
      <c r="Y29" s="465"/>
      <c r="Z29" s="465"/>
      <c r="AA29" s="465"/>
      <c r="AB29" s="465"/>
      <c r="AC29" s="466"/>
    </row>
    <row r="30" spans="2:29">
      <c r="B30" s="49">
        <v>2</v>
      </c>
      <c r="C30" s="50"/>
      <c r="D30" s="51" t="s">
        <v>691</v>
      </c>
      <c r="E30" s="51"/>
      <c r="F30" s="51"/>
      <c r="G30" s="51"/>
      <c r="H30" s="51"/>
      <c r="I30" s="51"/>
      <c r="J30" s="52"/>
      <c r="K30" s="483" t="s">
        <v>692</v>
      </c>
      <c r="L30" s="484"/>
      <c r="M30" s="484"/>
      <c r="N30" s="485"/>
      <c r="O30" s="467" t="s">
        <v>62</v>
      </c>
      <c r="P30" s="468"/>
      <c r="Q30" s="467">
        <v>50</v>
      </c>
      <c r="R30" s="468"/>
      <c r="S30" s="502" t="s">
        <v>63</v>
      </c>
      <c r="T30" s="502"/>
      <c r="U30" s="467" t="s">
        <v>57</v>
      </c>
      <c r="V30" s="468"/>
      <c r="W30" s="494" t="s">
        <v>674</v>
      </c>
      <c r="X30" s="495"/>
      <c r="Y30" s="495"/>
      <c r="Z30" s="495"/>
      <c r="AA30" s="495"/>
      <c r="AB30" s="495"/>
      <c r="AC30" s="496"/>
    </row>
    <row r="31" spans="2:29" ht="13.5" customHeight="1">
      <c r="B31" s="49">
        <v>2</v>
      </c>
      <c r="C31" s="61"/>
      <c r="D31" s="62" t="s">
        <v>516</v>
      </c>
      <c r="E31" s="51"/>
      <c r="F31" s="51"/>
      <c r="G31" s="62"/>
      <c r="H31" s="62"/>
      <c r="I31" s="62"/>
      <c r="J31" s="63"/>
      <c r="K31" s="469" t="s">
        <v>517</v>
      </c>
      <c r="L31" s="470"/>
      <c r="M31" s="470"/>
      <c r="N31" s="471"/>
      <c r="O31" s="467" t="s">
        <v>498</v>
      </c>
      <c r="P31" s="468"/>
      <c r="Q31" s="467">
        <v>1</v>
      </c>
      <c r="R31" s="468"/>
      <c r="S31" s="467"/>
      <c r="T31" s="468"/>
      <c r="U31" s="467" t="s">
        <v>496</v>
      </c>
      <c r="V31" s="468"/>
      <c r="W31" s="493" t="s">
        <v>352</v>
      </c>
      <c r="X31" s="484"/>
      <c r="Y31" s="484"/>
      <c r="Z31" s="484"/>
      <c r="AA31" s="484"/>
      <c r="AB31" s="484"/>
      <c r="AC31" s="485"/>
    </row>
    <row r="32" spans="2:29">
      <c r="B32" s="49">
        <v>2</v>
      </c>
      <c r="C32" s="61"/>
      <c r="D32" s="62" t="s">
        <v>405</v>
      </c>
      <c r="E32" s="51"/>
      <c r="F32" s="51"/>
      <c r="G32" s="62"/>
      <c r="H32" s="62"/>
      <c r="I32" s="62"/>
      <c r="J32" s="63"/>
      <c r="K32" s="469" t="s">
        <v>506</v>
      </c>
      <c r="L32" s="470"/>
      <c r="M32" s="470"/>
      <c r="N32" s="471"/>
      <c r="O32" s="467" t="s">
        <v>498</v>
      </c>
      <c r="P32" s="468"/>
      <c r="Q32" s="467">
        <v>100</v>
      </c>
      <c r="R32" s="468"/>
      <c r="S32" s="467"/>
      <c r="T32" s="468"/>
      <c r="U32" s="467"/>
      <c r="V32" s="468"/>
      <c r="W32" s="464" t="s">
        <v>507</v>
      </c>
      <c r="X32" s="465"/>
      <c r="Y32" s="465"/>
      <c r="Z32" s="465"/>
      <c r="AA32" s="465"/>
      <c r="AB32" s="465"/>
      <c r="AC32" s="466"/>
    </row>
    <row r="33" spans="2:29" ht="16.5"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  <c r="AC33" s="625"/>
    </row>
    <row r="34" spans="2:29">
      <c r="B34" s="474" t="s">
        <v>527</v>
      </c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  <c r="AB34" s="475"/>
      <c r="AC34" s="476"/>
    </row>
    <row r="35" spans="2:29" ht="13.5" customHeight="1">
      <c r="B35" s="568" t="s">
        <v>697</v>
      </c>
      <c r="C35" s="478"/>
      <c r="D35" s="478"/>
      <c r="E35" s="478"/>
      <c r="F35" s="478"/>
      <c r="G35" s="478"/>
      <c r="H35" s="478"/>
      <c r="I35" s="478"/>
      <c r="J35" s="478"/>
      <c r="K35" s="478"/>
      <c r="L35" s="478"/>
      <c r="M35" s="478"/>
      <c r="N35" s="478"/>
      <c r="O35" s="478"/>
      <c r="P35" s="478"/>
      <c r="Q35" s="478"/>
      <c r="R35" s="478"/>
      <c r="S35" s="478"/>
      <c r="T35" s="478"/>
      <c r="U35" s="478"/>
      <c r="V35" s="478"/>
      <c r="W35" s="478"/>
      <c r="X35" s="478"/>
      <c r="Y35" s="478"/>
      <c r="Z35" s="478"/>
      <c r="AA35" s="478"/>
      <c r="AB35" s="478"/>
      <c r="AC35" s="479"/>
    </row>
    <row r="36" spans="2:29">
      <c r="B36" s="480"/>
      <c r="C36" s="481"/>
      <c r="D36" s="481"/>
      <c r="E36" s="481"/>
      <c r="F36" s="481"/>
      <c r="G36" s="481"/>
      <c r="H36" s="481"/>
      <c r="I36" s="481"/>
      <c r="J36" s="481"/>
      <c r="K36" s="481"/>
      <c r="L36" s="481"/>
      <c r="M36" s="481"/>
      <c r="N36" s="481"/>
      <c r="O36" s="481"/>
      <c r="P36" s="481"/>
      <c r="Q36" s="481"/>
      <c r="R36" s="481"/>
      <c r="S36" s="481"/>
      <c r="T36" s="481"/>
      <c r="U36" s="481"/>
      <c r="V36" s="481"/>
      <c r="W36" s="481"/>
      <c r="X36" s="481"/>
      <c r="Y36" s="481"/>
      <c r="Z36" s="481"/>
      <c r="AA36" s="481"/>
      <c r="AB36" s="481"/>
      <c r="AC36" s="482"/>
    </row>
    <row r="37" spans="2:29" ht="16.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</sheetData>
  <mergeCells count="163">
    <mergeCell ref="K12:N12"/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K30:N30"/>
    <mergeCell ref="O30:P30"/>
    <mergeCell ref="Q30:R30"/>
    <mergeCell ref="S30:T30"/>
    <mergeCell ref="U30:V30"/>
    <mergeCell ref="W30:AC30"/>
    <mergeCell ref="B5:D5"/>
    <mergeCell ref="E5:N5"/>
    <mergeCell ref="O5:Q5"/>
    <mergeCell ref="R5:AC5"/>
    <mergeCell ref="K16:N16"/>
    <mergeCell ref="O16:P16"/>
    <mergeCell ref="Q16:R16"/>
    <mergeCell ref="S16:T16"/>
    <mergeCell ref="U16:V16"/>
    <mergeCell ref="W16:AC16"/>
    <mergeCell ref="K11:N11"/>
    <mergeCell ref="O11:P11"/>
    <mergeCell ref="Q11:R11"/>
    <mergeCell ref="S11:T11"/>
    <mergeCell ref="U11:V11"/>
    <mergeCell ref="K9:N9"/>
    <mergeCell ref="O9:P9"/>
    <mergeCell ref="Q9:R9"/>
    <mergeCell ref="B2:D2"/>
    <mergeCell ref="E2:N2"/>
    <mergeCell ref="O2:Q2"/>
    <mergeCell ref="R2:AC2"/>
    <mergeCell ref="B3:D3"/>
    <mergeCell ref="E3:AC3"/>
    <mergeCell ref="C8:J8"/>
    <mergeCell ref="K8:N8"/>
    <mergeCell ref="O8:P8"/>
    <mergeCell ref="Q8:R8"/>
    <mergeCell ref="S8:T8"/>
    <mergeCell ref="U8:V8"/>
    <mergeCell ref="B4:D4"/>
    <mergeCell ref="E4:N4"/>
    <mergeCell ref="O4:Q4"/>
    <mergeCell ref="R4:AC4"/>
    <mergeCell ref="B6:AB6"/>
    <mergeCell ref="B7:E7"/>
    <mergeCell ref="F7:AC7"/>
    <mergeCell ref="W8:AC8"/>
    <mergeCell ref="S9:T9"/>
    <mergeCell ref="U9:V9"/>
    <mergeCell ref="W9:AC9"/>
    <mergeCell ref="K10:N10"/>
    <mergeCell ref="O10:P10"/>
    <mergeCell ref="Q10:R10"/>
    <mergeCell ref="S10:T10"/>
    <mergeCell ref="U10:V10"/>
    <mergeCell ref="W10:AC10"/>
    <mergeCell ref="K15:N15"/>
    <mergeCell ref="O15:P15"/>
    <mergeCell ref="Q15:R15"/>
    <mergeCell ref="S15:T15"/>
    <mergeCell ref="U15:V15"/>
    <mergeCell ref="W15:AC15"/>
    <mergeCell ref="K14:N14"/>
    <mergeCell ref="O14:P14"/>
    <mergeCell ref="Q14:R14"/>
    <mergeCell ref="S14:T14"/>
    <mergeCell ref="U14:V14"/>
    <mergeCell ref="W14:AC14"/>
    <mergeCell ref="K18:N18"/>
    <mergeCell ref="O18:P18"/>
    <mergeCell ref="Q18:R18"/>
    <mergeCell ref="S18:T18"/>
    <mergeCell ref="U18:V18"/>
    <mergeCell ref="W18:AC18"/>
    <mergeCell ref="K17:N17"/>
    <mergeCell ref="O17:P17"/>
    <mergeCell ref="Q17:R17"/>
    <mergeCell ref="S17:T17"/>
    <mergeCell ref="U17:V17"/>
    <mergeCell ref="W17:AC17"/>
    <mergeCell ref="K20:N20"/>
    <mergeCell ref="O20:P20"/>
    <mergeCell ref="Q20:R20"/>
    <mergeCell ref="S20:T20"/>
    <mergeCell ref="U20:V20"/>
    <mergeCell ref="W20:AC20"/>
    <mergeCell ref="K19:N19"/>
    <mergeCell ref="O19:P19"/>
    <mergeCell ref="Q19:R19"/>
    <mergeCell ref="S19:T19"/>
    <mergeCell ref="U19:V19"/>
    <mergeCell ref="W19:AC19"/>
    <mergeCell ref="K22:N22"/>
    <mergeCell ref="O22:P22"/>
    <mergeCell ref="Q22:R22"/>
    <mergeCell ref="S22:T22"/>
    <mergeCell ref="U22:V22"/>
    <mergeCell ref="W22:AC22"/>
    <mergeCell ref="K21:N21"/>
    <mergeCell ref="O21:P21"/>
    <mergeCell ref="Q21:R21"/>
    <mergeCell ref="S21:T21"/>
    <mergeCell ref="U21:V21"/>
    <mergeCell ref="W21:AC21"/>
    <mergeCell ref="K26:N26"/>
    <mergeCell ref="O26:P26"/>
    <mergeCell ref="Q26:R26"/>
    <mergeCell ref="S26:T26"/>
    <mergeCell ref="U26:V26"/>
    <mergeCell ref="W26:AC26"/>
    <mergeCell ref="B23:AC23"/>
    <mergeCell ref="B24:E24"/>
    <mergeCell ref="F24:AC24"/>
    <mergeCell ref="C25:J25"/>
    <mergeCell ref="K25:N25"/>
    <mergeCell ref="O25:P25"/>
    <mergeCell ref="Q25:R25"/>
    <mergeCell ref="S25:T25"/>
    <mergeCell ref="U25:V25"/>
    <mergeCell ref="W25:AC25"/>
    <mergeCell ref="Q28:R28"/>
    <mergeCell ref="S28:T28"/>
    <mergeCell ref="U28:V28"/>
    <mergeCell ref="W28:AC28"/>
    <mergeCell ref="K27:N27"/>
    <mergeCell ref="O27:P27"/>
    <mergeCell ref="Q27:R27"/>
    <mergeCell ref="S27:T27"/>
    <mergeCell ref="U27:V27"/>
    <mergeCell ref="W27:AC27"/>
    <mergeCell ref="W11:AC11"/>
    <mergeCell ref="B33:AC33"/>
    <mergeCell ref="B34:AC34"/>
    <mergeCell ref="B35:AC36"/>
    <mergeCell ref="K32:N32"/>
    <mergeCell ref="O32:P32"/>
    <mergeCell ref="Q32:R32"/>
    <mergeCell ref="S32:T32"/>
    <mergeCell ref="U32:V32"/>
    <mergeCell ref="W32:AC32"/>
    <mergeCell ref="K31:N31"/>
    <mergeCell ref="O31:P31"/>
    <mergeCell ref="Q31:R31"/>
    <mergeCell ref="S31:T31"/>
    <mergeCell ref="U31:V31"/>
    <mergeCell ref="W31:AC31"/>
    <mergeCell ref="K29:N29"/>
    <mergeCell ref="O29:P29"/>
    <mergeCell ref="Q29:R29"/>
    <mergeCell ref="S29:T29"/>
    <mergeCell ref="U29:V29"/>
    <mergeCell ref="W29:AC29"/>
    <mergeCell ref="K28:N28"/>
    <mergeCell ref="O28:P28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FFE699"/>
    <pageSetUpPr fitToPage="1"/>
  </sheetPr>
  <dimension ref="A1:AC34"/>
  <sheetViews>
    <sheetView zoomScaleSheetLayoutView="100" zoomScalePageLayoutView="55" workbookViewId="0"/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534</v>
      </c>
    </row>
    <row r="2" spans="1:29" ht="20.25" customHeight="1">
      <c r="B2" s="514" t="s">
        <v>535</v>
      </c>
      <c r="C2" s="514"/>
      <c r="D2" s="514"/>
      <c r="E2" s="515" t="str">
        <f xml:space="preserve"> ERP_인터페이스목록!C23</f>
        <v>삭제오더 처리결과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ERP_인터페이스목록!G23</f>
        <v>W2O_OB_CLE_ODR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478</v>
      </c>
      <c r="C3" s="514"/>
      <c r="D3" s="514"/>
      <c r="E3" s="515" t="str">
        <f>ERP_인터페이스목록!J23</f>
        <v>/{bizSeq}/sif/w2o/cxl/result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536</v>
      </c>
      <c r="C4" s="516"/>
      <c r="D4" s="516"/>
      <c r="E4" s="515" t="str">
        <f>ERP_인터페이스목록!L23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510</v>
      </c>
      <c r="P4" s="516"/>
      <c r="Q4" s="516"/>
      <c r="R4" s="515" t="s">
        <v>511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ERP_인터페이스목록!D23</f>
        <v>WMS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ERP_인터페이스목록!E23</f>
        <v>OMS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481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4" t="s">
        <v>537</v>
      </c>
      <c r="C8" s="500" t="s">
        <v>500</v>
      </c>
      <c r="D8" s="500"/>
      <c r="E8" s="500"/>
      <c r="F8" s="500"/>
      <c r="G8" s="500"/>
      <c r="H8" s="500"/>
      <c r="I8" s="500"/>
      <c r="J8" s="500"/>
      <c r="K8" s="500" t="s">
        <v>538</v>
      </c>
      <c r="L8" s="500"/>
      <c r="M8" s="500"/>
      <c r="N8" s="500"/>
      <c r="O8" s="500" t="s">
        <v>539</v>
      </c>
      <c r="P8" s="500"/>
      <c r="Q8" s="500" t="s">
        <v>540</v>
      </c>
      <c r="R8" s="500"/>
      <c r="S8" s="500" t="s">
        <v>541</v>
      </c>
      <c r="T8" s="500"/>
      <c r="U8" s="500" t="s">
        <v>542</v>
      </c>
      <c r="V8" s="500"/>
      <c r="W8" s="500" t="s">
        <v>489</v>
      </c>
      <c r="X8" s="500"/>
      <c r="Y8" s="500"/>
      <c r="Z8" s="500"/>
      <c r="AA8" s="500"/>
      <c r="AB8" s="500"/>
      <c r="AC8" s="500"/>
    </row>
    <row r="9" spans="1:29" ht="31.15" customHeight="1">
      <c r="B9" s="49">
        <v>1</v>
      </c>
      <c r="C9" s="50" t="s">
        <v>543</v>
      </c>
      <c r="D9" s="51"/>
      <c r="E9" s="51"/>
      <c r="F9" s="51"/>
      <c r="G9" s="51"/>
      <c r="H9" s="51"/>
      <c r="I9" s="51"/>
      <c r="J9" s="52"/>
      <c r="K9" s="509" t="s">
        <v>544</v>
      </c>
      <c r="L9" s="510"/>
      <c r="M9" s="510"/>
      <c r="N9" s="511"/>
      <c r="O9" s="467" t="s">
        <v>545</v>
      </c>
      <c r="P9" s="468"/>
      <c r="Q9" s="467">
        <v>10</v>
      </c>
      <c r="R9" s="468"/>
      <c r="S9" s="467"/>
      <c r="T9" s="468"/>
      <c r="U9" s="467" t="s">
        <v>546</v>
      </c>
      <c r="V9" s="468"/>
      <c r="W9" s="493" t="s">
        <v>492</v>
      </c>
      <c r="X9" s="484"/>
      <c r="Y9" s="484"/>
      <c r="Z9" s="484"/>
      <c r="AA9" s="484"/>
      <c r="AB9" s="484"/>
      <c r="AC9" s="485"/>
    </row>
    <row r="10" spans="1:29" ht="13.5" customHeight="1">
      <c r="B10" s="49">
        <v>1</v>
      </c>
      <c r="C10" s="50" t="s">
        <v>81</v>
      </c>
      <c r="D10" s="50"/>
      <c r="E10" s="51"/>
      <c r="F10" s="51"/>
      <c r="G10" s="51"/>
      <c r="H10" s="51"/>
      <c r="I10" s="51"/>
      <c r="J10" s="52"/>
      <c r="K10" s="501" t="s">
        <v>170</v>
      </c>
      <c r="L10" s="501"/>
      <c r="M10" s="501"/>
      <c r="N10" s="501"/>
      <c r="O10" s="467" t="s">
        <v>179</v>
      </c>
      <c r="P10" s="468"/>
      <c r="Q10" s="502">
        <v>20</v>
      </c>
      <c r="R10" s="502"/>
      <c r="S10" s="502"/>
      <c r="T10" s="502"/>
      <c r="U10" s="502" t="s">
        <v>94</v>
      </c>
      <c r="V10" s="502"/>
      <c r="W10" s="503" t="s">
        <v>353</v>
      </c>
      <c r="X10" s="501"/>
      <c r="Y10" s="501"/>
      <c r="Z10" s="501"/>
      <c r="AA10" s="501"/>
      <c r="AB10" s="501"/>
      <c r="AC10" s="501"/>
    </row>
    <row r="11" spans="1:29" ht="13.5" customHeight="1">
      <c r="B11" s="49">
        <v>1</v>
      </c>
      <c r="C11" s="50" t="s">
        <v>84</v>
      </c>
      <c r="D11" s="50"/>
      <c r="E11" s="51"/>
      <c r="F11" s="51"/>
      <c r="G11" s="51"/>
      <c r="H11" s="51"/>
      <c r="I11" s="51"/>
      <c r="J11" s="52"/>
      <c r="K11" s="483" t="s">
        <v>354</v>
      </c>
      <c r="L11" s="484"/>
      <c r="M11" s="484"/>
      <c r="N11" s="485"/>
      <c r="O11" s="467" t="s">
        <v>179</v>
      </c>
      <c r="P11" s="468"/>
      <c r="Q11" s="467">
        <v>100</v>
      </c>
      <c r="R11" s="468"/>
      <c r="S11" s="467"/>
      <c r="T11" s="468"/>
      <c r="U11" s="467" t="s">
        <v>94</v>
      </c>
      <c r="V11" s="468"/>
      <c r="W11" s="493" t="s">
        <v>355</v>
      </c>
      <c r="X11" s="544"/>
      <c r="Y11" s="544"/>
      <c r="Z11" s="544"/>
      <c r="AA11" s="544"/>
      <c r="AB11" s="544"/>
      <c r="AC11" s="545"/>
    </row>
    <row r="12" spans="1:29" ht="13.5" customHeight="1">
      <c r="B12" s="172">
        <v>1</v>
      </c>
      <c r="C12" s="174" t="s">
        <v>764</v>
      </c>
      <c r="D12" s="174"/>
      <c r="E12" s="174"/>
      <c r="F12" s="174"/>
      <c r="G12" s="174"/>
      <c r="H12" s="174"/>
      <c r="I12" s="174"/>
      <c r="J12" s="175"/>
      <c r="K12" s="483" t="s">
        <v>356</v>
      </c>
      <c r="L12" s="484"/>
      <c r="M12" s="484"/>
      <c r="N12" s="485"/>
      <c r="O12" s="467" t="s">
        <v>95</v>
      </c>
      <c r="P12" s="468"/>
      <c r="Q12" s="467">
        <v>8</v>
      </c>
      <c r="R12" s="468"/>
      <c r="S12" s="467"/>
      <c r="T12" s="468"/>
      <c r="U12" s="502" t="s">
        <v>763</v>
      </c>
      <c r="V12" s="502"/>
      <c r="W12" s="483" t="s">
        <v>357</v>
      </c>
      <c r="X12" s="484"/>
      <c r="Y12" s="484"/>
      <c r="Z12" s="484"/>
      <c r="AA12" s="484"/>
      <c r="AB12" s="484"/>
      <c r="AC12" s="485"/>
    </row>
    <row r="13" spans="1:29" ht="13.5" customHeight="1">
      <c r="B13" s="172">
        <v>1</v>
      </c>
      <c r="C13" s="174" t="s">
        <v>420</v>
      </c>
      <c r="D13" s="174"/>
      <c r="E13" s="174"/>
      <c r="F13" s="174"/>
      <c r="G13" s="174"/>
      <c r="H13" s="174"/>
      <c r="I13" s="174"/>
      <c r="J13" s="175"/>
      <c r="K13" s="483" t="s">
        <v>768</v>
      </c>
      <c r="L13" s="484"/>
      <c r="M13" s="484"/>
      <c r="N13" s="485"/>
      <c r="O13" s="467" t="s">
        <v>769</v>
      </c>
      <c r="P13" s="468"/>
      <c r="Q13" s="467">
        <v>6</v>
      </c>
      <c r="R13" s="468"/>
      <c r="S13" s="467"/>
      <c r="T13" s="468"/>
      <c r="U13" s="502" t="s">
        <v>763</v>
      </c>
      <c r="V13" s="502"/>
      <c r="W13" s="483" t="s">
        <v>771</v>
      </c>
      <c r="X13" s="484"/>
      <c r="Y13" s="484"/>
      <c r="Z13" s="484"/>
      <c r="AA13" s="484"/>
      <c r="AB13" s="484"/>
      <c r="AC13" s="485"/>
    </row>
    <row r="14" spans="1:29">
      <c r="B14" s="58">
        <v>1</v>
      </c>
      <c r="C14" s="59" t="s">
        <v>129</v>
      </c>
      <c r="D14" s="59"/>
      <c r="E14" s="59"/>
      <c r="F14" s="59"/>
      <c r="G14" s="59"/>
      <c r="H14" s="59"/>
      <c r="I14" s="59"/>
      <c r="J14" s="60"/>
      <c r="K14" s="634" t="s">
        <v>266</v>
      </c>
      <c r="L14" s="634"/>
      <c r="M14" s="634"/>
      <c r="N14" s="634"/>
      <c r="O14" s="472"/>
      <c r="P14" s="473"/>
      <c r="Q14" s="611"/>
      <c r="R14" s="611"/>
      <c r="S14" s="611"/>
      <c r="T14" s="611"/>
      <c r="U14" s="611"/>
      <c r="V14" s="611"/>
      <c r="W14" s="646"/>
      <c r="X14" s="634"/>
      <c r="Y14" s="634"/>
      <c r="Z14" s="634"/>
      <c r="AA14" s="634"/>
      <c r="AB14" s="634"/>
      <c r="AC14" s="634"/>
    </row>
    <row r="15" spans="1:29">
      <c r="B15" s="49">
        <v>2</v>
      </c>
      <c r="C15" s="51"/>
      <c r="D15" s="51" t="s">
        <v>130</v>
      </c>
      <c r="E15" s="51"/>
      <c r="F15" s="51"/>
      <c r="G15" s="51"/>
      <c r="H15" s="51"/>
      <c r="I15" s="51"/>
      <c r="J15" s="52"/>
      <c r="K15" s="501" t="s">
        <v>547</v>
      </c>
      <c r="L15" s="501"/>
      <c r="M15" s="501"/>
      <c r="N15" s="501"/>
      <c r="O15" s="494" t="s">
        <v>62</v>
      </c>
      <c r="P15" s="496"/>
      <c r="Q15" s="502">
        <v>20</v>
      </c>
      <c r="R15" s="502"/>
      <c r="S15" s="502" t="s">
        <v>548</v>
      </c>
      <c r="T15" s="502"/>
      <c r="U15" s="502" t="s">
        <v>546</v>
      </c>
      <c r="V15" s="502"/>
      <c r="W15" s="643" t="s">
        <v>497</v>
      </c>
      <c r="X15" s="644"/>
      <c r="Y15" s="644"/>
      <c r="Z15" s="644"/>
      <c r="AA15" s="644"/>
      <c r="AB15" s="644"/>
      <c r="AC15" s="645"/>
    </row>
    <row r="16" spans="1:29">
      <c r="B16" s="49">
        <v>2</v>
      </c>
      <c r="C16" s="50"/>
      <c r="D16" s="51" t="s">
        <v>691</v>
      </c>
      <c r="E16" s="51"/>
      <c r="F16" s="51"/>
      <c r="G16" s="51"/>
      <c r="H16" s="51"/>
      <c r="I16" s="51"/>
      <c r="J16" s="52"/>
      <c r="K16" s="483" t="s">
        <v>692</v>
      </c>
      <c r="L16" s="484"/>
      <c r="M16" s="484"/>
      <c r="N16" s="485"/>
      <c r="O16" s="467" t="s">
        <v>62</v>
      </c>
      <c r="P16" s="468"/>
      <c r="Q16" s="467">
        <v>50</v>
      </c>
      <c r="R16" s="468"/>
      <c r="S16" s="502" t="s">
        <v>63</v>
      </c>
      <c r="T16" s="502"/>
      <c r="U16" s="467" t="s">
        <v>57</v>
      </c>
      <c r="V16" s="468"/>
      <c r="W16" s="494" t="s">
        <v>674</v>
      </c>
      <c r="X16" s="495"/>
      <c r="Y16" s="495"/>
      <c r="Z16" s="495"/>
      <c r="AA16" s="495"/>
      <c r="AB16" s="495"/>
      <c r="AC16" s="496"/>
    </row>
    <row r="17" spans="2:29" ht="13.5" customHeight="1">
      <c r="B17" s="58">
        <v>2</v>
      </c>
      <c r="C17" s="106"/>
      <c r="D17" s="106" t="s">
        <v>135</v>
      </c>
      <c r="E17" s="59"/>
      <c r="F17" s="59"/>
      <c r="G17" s="106"/>
      <c r="H17" s="106"/>
      <c r="I17" s="106"/>
      <c r="J17" s="107"/>
      <c r="K17" s="593" t="s">
        <v>59</v>
      </c>
      <c r="L17" s="594"/>
      <c r="M17" s="594"/>
      <c r="N17" s="595"/>
      <c r="O17" s="472"/>
      <c r="P17" s="473"/>
      <c r="Q17" s="472"/>
      <c r="R17" s="473"/>
      <c r="S17" s="472"/>
      <c r="T17" s="473"/>
      <c r="U17" s="472"/>
      <c r="V17" s="473"/>
      <c r="W17" s="593"/>
      <c r="X17" s="594"/>
      <c r="Y17" s="594"/>
      <c r="Z17" s="594"/>
      <c r="AA17" s="594"/>
      <c r="AB17" s="594"/>
      <c r="AC17" s="595"/>
    </row>
    <row r="18" spans="2:29" ht="13.5" customHeight="1">
      <c r="B18" s="49">
        <v>3</v>
      </c>
      <c r="C18" s="61"/>
      <c r="D18" s="62"/>
      <c r="E18" s="51" t="s">
        <v>131</v>
      </c>
      <c r="F18" s="51"/>
      <c r="G18" s="62"/>
      <c r="H18" s="62"/>
      <c r="I18" s="62"/>
      <c r="J18" s="63"/>
      <c r="K18" s="483" t="s">
        <v>551</v>
      </c>
      <c r="L18" s="484"/>
      <c r="M18" s="484"/>
      <c r="N18" s="485"/>
      <c r="O18" s="467" t="s">
        <v>549</v>
      </c>
      <c r="P18" s="468"/>
      <c r="Q18" s="467">
        <v>20</v>
      </c>
      <c r="R18" s="468"/>
      <c r="S18" s="467" t="s">
        <v>495</v>
      </c>
      <c r="T18" s="468"/>
      <c r="U18" s="467" t="s">
        <v>550</v>
      </c>
      <c r="V18" s="468"/>
      <c r="W18" s="464" t="s">
        <v>552</v>
      </c>
      <c r="X18" s="465"/>
      <c r="Y18" s="465"/>
      <c r="Z18" s="465"/>
      <c r="AA18" s="465"/>
      <c r="AB18" s="465"/>
      <c r="AC18" s="466"/>
    </row>
    <row r="19" spans="2:29">
      <c r="B19" s="163">
        <v>3</v>
      </c>
      <c r="C19" s="154"/>
      <c r="D19" s="155"/>
      <c r="E19" s="158" t="s">
        <v>753</v>
      </c>
      <c r="F19" s="158"/>
      <c r="G19" s="155"/>
      <c r="H19" s="155"/>
      <c r="I19" s="155"/>
      <c r="J19" s="156"/>
      <c r="K19" s="501" t="s">
        <v>523</v>
      </c>
      <c r="L19" s="501"/>
      <c r="M19" s="501"/>
      <c r="N19" s="501"/>
      <c r="O19" s="502" t="s">
        <v>514</v>
      </c>
      <c r="P19" s="502"/>
      <c r="Q19" s="502">
        <v>1</v>
      </c>
      <c r="R19" s="502"/>
      <c r="S19" s="502"/>
      <c r="T19" s="502"/>
      <c r="U19" s="502" t="s">
        <v>515</v>
      </c>
      <c r="V19" s="502"/>
      <c r="W19" s="503" t="s">
        <v>698</v>
      </c>
      <c r="X19" s="501"/>
      <c r="Y19" s="501"/>
      <c r="Z19" s="501"/>
      <c r="AA19" s="501"/>
      <c r="AB19" s="501"/>
      <c r="AC19" s="501"/>
    </row>
    <row r="20" spans="2:29"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</row>
    <row r="21" spans="2:29" ht="16.5">
      <c r="B21" s="586" t="s">
        <v>554</v>
      </c>
      <c r="C21" s="587"/>
      <c r="D21" s="587"/>
      <c r="E21" s="588"/>
      <c r="F21" s="589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1"/>
    </row>
    <row r="22" spans="2:29">
      <c r="B22" s="4" t="s">
        <v>482</v>
      </c>
      <c r="C22" s="512" t="s">
        <v>413</v>
      </c>
      <c r="D22" s="592"/>
      <c r="E22" s="592"/>
      <c r="F22" s="592"/>
      <c r="G22" s="592"/>
      <c r="H22" s="592"/>
      <c r="I22" s="592"/>
      <c r="J22" s="513"/>
      <c r="K22" s="512" t="s">
        <v>501</v>
      </c>
      <c r="L22" s="592"/>
      <c r="M22" s="592"/>
      <c r="N22" s="513"/>
      <c r="O22" s="512" t="s">
        <v>555</v>
      </c>
      <c r="P22" s="513"/>
      <c r="Q22" s="512" t="s">
        <v>486</v>
      </c>
      <c r="R22" s="513"/>
      <c r="S22" s="512" t="s">
        <v>556</v>
      </c>
      <c r="T22" s="513"/>
      <c r="U22" s="512" t="s">
        <v>542</v>
      </c>
      <c r="V22" s="513"/>
      <c r="W22" s="512" t="s">
        <v>489</v>
      </c>
      <c r="X22" s="592"/>
      <c r="Y22" s="592"/>
      <c r="Z22" s="592"/>
      <c r="AA22" s="592"/>
      <c r="AB22" s="592"/>
      <c r="AC22" s="513"/>
    </row>
    <row r="23" spans="2:29" ht="13.5" customHeight="1">
      <c r="B23" s="49">
        <v>1</v>
      </c>
      <c r="C23" s="50" t="s">
        <v>86</v>
      </c>
      <c r="D23" s="51"/>
      <c r="E23" s="51"/>
      <c r="F23" s="51"/>
      <c r="G23" s="51"/>
      <c r="H23" s="51"/>
      <c r="I23" s="51"/>
      <c r="J23" s="52"/>
      <c r="K23" s="490" t="s">
        <v>87</v>
      </c>
      <c r="L23" s="491"/>
      <c r="M23" s="491"/>
      <c r="N23" s="492"/>
      <c r="O23" s="467" t="s">
        <v>549</v>
      </c>
      <c r="P23" s="468"/>
      <c r="Q23" s="467">
        <v>20</v>
      </c>
      <c r="R23" s="468"/>
      <c r="S23" s="467"/>
      <c r="T23" s="468"/>
      <c r="U23" s="467" t="s">
        <v>553</v>
      </c>
      <c r="V23" s="468"/>
      <c r="W23" s="493" t="s">
        <v>352</v>
      </c>
      <c r="X23" s="484"/>
      <c r="Y23" s="484"/>
      <c r="Z23" s="484"/>
      <c r="AA23" s="484"/>
      <c r="AB23" s="484"/>
      <c r="AC23" s="485"/>
    </row>
    <row r="24" spans="2:29">
      <c r="B24" s="49">
        <v>1</v>
      </c>
      <c r="C24" s="50" t="s">
        <v>89</v>
      </c>
      <c r="D24" s="51"/>
      <c r="E24" s="51"/>
      <c r="F24" s="51"/>
      <c r="G24" s="51"/>
      <c r="H24" s="51"/>
      <c r="I24" s="51"/>
      <c r="J24" s="52"/>
      <c r="K24" s="494" t="s">
        <v>557</v>
      </c>
      <c r="L24" s="495"/>
      <c r="M24" s="495"/>
      <c r="N24" s="496"/>
      <c r="O24" s="467" t="s">
        <v>558</v>
      </c>
      <c r="P24" s="468"/>
      <c r="Q24" s="467">
        <v>4000</v>
      </c>
      <c r="R24" s="468"/>
      <c r="S24" s="467"/>
      <c r="T24" s="468"/>
      <c r="U24" s="467" t="s">
        <v>550</v>
      </c>
      <c r="V24" s="468"/>
      <c r="W24" s="483" t="s">
        <v>503</v>
      </c>
      <c r="X24" s="484"/>
      <c r="Y24" s="484"/>
      <c r="Z24" s="484"/>
      <c r="AA24" s="484"/>
      <c r="AB24" s="484"/>
      <c r="AC24" s="485"/>
    </row>
    <row r="25" spans="2:29">
      <c r="B25" s="58">
        <v>1</v>
      </c>
      <c r="C25" s="59" t="s">
        <v>90</v>
      </c>
      <c r="D25" s="59"/>
      <c r="E25" s="59"/>
      <c r="F25" s="59"/>
      <c r="G25" s="59"/>
      <c r="H25" s="59"/>
      <c r="I25" s="59"/>
      <c r="J25" s="60"/>
      <c r="K25" s="497" t="s">
        <v>559</v>
      </c>
      <c r="L25" s="498"/>
      <c r="M25" s="498"/>
      <c r="N25" s="499"/>
      <c r="O25" s="472"/>
      <c r="P25" s="473"/>
      <c r="Q25" s="472"/>
      <c r="R25" s="473"/>
      <c r="S25" s="472"/>
      <c r="T25" s="473"/>
      <c r="U25" s="472"/>
      <c r="V25" s="473"/>
      <c r="W25" s="487"/>
      <c r="X25" s="488"/>
      <c r="Y25" s="488"/>
      <c r="Z25" s="488"/>
      <c r="AA25" s="488"/>
      <c r="AB25" s="488"/>
      <c r="AC25" s="489"/>
    </row>
    <row r="26" spans="2:29">
      <c r="B26" s="49">
        <v>2</v>
      </c>
      <c r="C26" s="50"/>
      <c r="D26" s="51" t="s">
        <v>130</v>
      </c>
      <c r="E26" s="51"/>
      <c r="F26" s="51"/>
      <c r="G26" s="51"/>
      <c r="H26" s="51"/>
      <c r="I26" s="51"/>
      <c r="J26" s="52"/>
      <c r="K26" s="494" t="s">
        <v>560</v>
      </c>
      <c r="L26" s="495"/>
      <c r="M26" s="495"/>
      <c r="N26" s="496"/>
      <c r="O26" s="467" t="s">
        <v>403</v>
      </c>
      <c r="P26" s="468"/>
      <c r="Q26" s="467">
        <v>20</v>
      </c>
      <c r="R26" s="468"/>
      <c r="S26" s="467" t="s">
        <v>495</v>
      </c>
      <c r="T26" s="468"/>
      <c r="U26" s="467" t="s">
        <v>496</v>
      </c>
      <c r="V26" s="468"/>
      <c r="W26" s="464" t="s">
        <v>561</v>
      </c>
      <c r="X26" s="465"/>
      <c r="Y26" s="465"/>
      <c r="Z26" s="465"/>
      <c r="AA26" s="465"/>
      <c r="AB26" s="465"/>
      <c r="AC26" s="466"/>
    </row>
    <row r="27" spans="2:29">
      <c r="B27" s="49">
        <v>2</v>
      </c>
      <c r="C27" s="50"/>
      <c r="D27" s="51" t="s">
        <v>691</v>
      </c>
      <c r="E27" s="51"/>
      <c r="F27" s="51"/>
      <c r="G27" s="51"/>
      <c r="H27" s="51"/>
      <c r="I27" s="51"/>
      <c r="J27" s="52"/>
      <c r="K27" s="483" t="s">
        <v>692</v>
      </c>
      <c r="L27" s="484"/>
      <c r="M27" s="484"/>
      <c r="N27" s="485"/>
      <c r="O27" s="467" t="s">
        <v>62</v>
      </c>
      <c r="P27" s="468"/>
      <c r="Q27" s="467">
        <v>50</v>
      </c>
      <c r="R27" s="468"/>
      <c r="S27" s="502" t="s">
        <v>63</v>
      </c>
      <c r="T27" s="502"/>
      <c r="U27" s="467" t="s">
        <v>57</v>
      </c>
      <c r="V27" s="468"/>
      <c r="W27" s="494" t="s">
        <v>674</v>
      </c>
      <c r="X27" s="495"/>
      <c r="Y27" s="495"/>
      <c r="Z27" s="495"/>
      <c r="AA27" s="495"/>
      <c r="AB27" s="495"/>
      <c r="AC27" s="496"/>
    </row>
    <row r="28" spans="2:29" ht="13.5" customHeight="1">
      <c r="B28" s="49">
        <v>2</v>
      </c>
      <c r="C28" s="61"/>
      <c r="D28" s="62" t="s">
        <v>516</v>
      </c>
      <c r="E28" s="51"/>
      <c r="F28" s="51"/>
      <c r="G28" s="62"/>
      <c r="H28" s="62"/>
      <c r="I28" s="62"/>
      <c r="J28" s="63"/>
      <c r="K28" s="469" t="s">
        <v>417</v>
      </c>
      <c r="L28" s="470"/>
      <c r="M28" s="470"/>
      <c r="N28" s="471"/>
      <c r="O28" s="467" t="s">
        <v>403</v>
      </c>
      <c r="P28" s="468"/>
      <c r="Q28" s="467">
        <v>1</v>
      </c>
      <c r="R28" s="468"/>
      <c r="S28" s="467"/>
      <c r="T28" s="468"/>
      <c r="U28" s="467" t="s">
        <v>496</v>
      </c>
      <c r="V28" s="468"/>
      <c r="W28" s="493" t="s">
        <v>352</v>
      </c>
      <c r="X28" s="484"/>
      <c r="Y28" s="484"/>
      <c r="Z28" s="484"/>
      <c r="AA28" s="484"/>
      <c r="AB28" s="484"/>
      <c r="AC28" s="485"/>
    </row>
    <row r="29" spans="2:29">
      <c r="B29" s="49">
        <v>2</v>
      </c>
      <c r="C29" s="61"/>
      <c r="D29" s="62" t="s">
        <v>518</v>
      </c>
      <c r="E29" s="51"/>
      <c r="F29" s="51"/>
      <c r="G29" s="62"/>
      <c r="H29" s="62"/>
      <c r="I29" s="62"/>
      <c r="J29" s="63"/>
      <c r="K29" s="469" t="s">
        <v>506</v>
      </c>
      <c r="L29" s="470"/>
      <c r="M29" s="470"/>
      <c r="N29" s="471"/>
      <c r="O29" s="467" t="s">
        <v>403</v>
      </c>
      <c r="P29" s="468"/>
      <c r="Q29" s="467">
        <v>100</v>
      </c>
      <c r="R29" s="468"/>
      <c r="S29" s="467"/>
      <c r="T29" s="468"/>
      <c r="U29" s="467"/>
      <c r="V29" s="468"/>
      <c r="W29" s="464" t="s">
        <v>507</v>
      </c>
      <c r="X29" s="465"/>
      <c r="Y29" s="465"/>
      <c r="Z29" s="465"/>
      <c r="AA29" s="465"/>
      <c r="AB29" s="465"/>
      <c r="AC29" s="466"/>
    </row>
    <row r="30" spans="2:29" ht="16.5">
      <c r="B30" s="625"/>
      <c r="C30" s="625"/>
      <c r="D30" s="625"/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5"/>
      <c r="R30" s="625"/>
      <c r="S30" s="625"/>
      <c r="T30" s="625"/>
      <c r="U30" s="625"/>
      <c r="V30" s="625"/>
      <c r="W30" s="625"/>
      <c r="X30" s="625"/>
      <c r="Y30" s="625"/>
      <c r="Z30" s="625"/>
      <c r="AA30" s="625"/>
      <c r="AB30" s="625"/>
      <c r="AC30" s="625"/>
    </row>
    <row r="31" spans="2:29">
      <c r="B31" s="474" t="s">
        <v>527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6"/>
    </row>
    <row r="32" spans="2:29" ht="13.5" customHeight="1">
      <c r="B32" s="568" t="s">
        <v>696</v>
      </c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478"/>
      <c r="AA32" s="478"/>
      <c r="AB32" s="478"/>
      <c r="AC32" s="479"/>
    </row>
    <row r="33" spans="2:29">
      <c r="B33" s="480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2"/>
    </row>
    <row r="34" spans="2:29" ht="16.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</sheetData>
  <mergeCells count="145">
    <mergeCell ref="O12:P12"/>
    <mergeCell ref="Q12:R12"/>
    <mergeCell ref="S12:T12"/>
    <mergeCell ref="U12:V12"/>
    <mergeCell ref="W12:AC12"/>
    <mergeCell ref="K13:N13"/>
    <mergeCell ref="O13:P13"/>
    <mergeCell ref="Q13:R13"/>
    <mergeCell ref="S13:T13"/>
    <mergeCell ref="U13:V13"/>
    <mergeCell ref="W13:AC13"/>
    <mergeCell ref="K16:N16"/>
    <mergeCell ref="O16:P16"/>
    <mergeCell ref="Q16:R16"/>
    <mergeCell ref="S16:T16"/>
    <mergeCell ref="U16:V16"/>
    <mergeCell ref="W16:AC16"/>
    <mergeCell ref="B2:D2"/>
    <mergeCell ref="E2:N2"/>
    <mergeCell ref="O2:Q2"/>
    <mergeCell ref="R2:AC2"/>
    <mergeCell ref="B3:D3"/>
    <mergeCell ref="E3:AC3"/>
    <mergeCell ref="C8:J8"/>
    <mergeCell ref="K8:N8"/>
    <mergeCell ref="O8:P8"/>
    <mergeCell ref="Q8:R8"/>
    <mergeCell ref="S8:T8"/>
    <mergeCell ref="U8:V8"/>
    <mergeCell ref="B4:D4"/>
    <mergeCell ref="E4:N4"/>
    <mergeCell ref="O4:Q4"/>
    <mergeCell ref="R4:AC4"/>
    <mergeCell ref="B6:AB6"/>
    <mergeCell ref="K11:N11"/>
    <mergeCell ref="B7:E7"/>
    <mergeCell ref="F7:AC7"/>
    <mergeCell ref="W8:AC8"/>
    <mergeCell ref="B5:D5"/>
    <mergeCell ref="E5:N5"/>
    <mergeCell ref="O5:Q5"/>
    <mergeCell ref="R5:AC5"/>
    <mergeCell ref="S9:T9"/>
    <mergeCell ref="U9:V9"/>
    <mergeCell ref="W9:AC9"/>
    <mergeCell ref="K9:N9"/>
    <mergeCell ref="O9:P9"/>
    <mergeCell ref="Q9:R9"/>
    <mergeCell ref="W10:AC10"/>
    <mergeCell ref="K15:N15"/>
    <mergeCell ref="O15:P15"/>
    <mergeCell ref="Q15:R15"/>
    <mergeCell ref="S15:T15"/>
    <mergeCell ref="U15:V15"/>
    <mergeCell ref="W15:AC15"/>
    <mergeCell ref="K14:N14"/>
    <mergeCell ref="O14:P14"/>
    <mergeCell ref="Q14:R14"/>
    <mergeCell ref="S14:T14"/>
    <mergeCell ref="U14:V14"/>
    <mergeCell ref="W14:AC14"/>
    <mergeCell ref="W11:AC11"/>
    <mergeCell ref="O11:P11"/>
    <mergeCell ref="Q11:R11"/>
    <mergeCell ref="S11:T11"/>
    <mergeCell ref="U11:V11"/>
    <mergeCell ref="K10:N10"/>
    <mergeCell ref="O10:P10"/>
    <mergeCell ref="Q10:R10"/>
    <mergeCell ref="S10:T10"/>
    <mergeCell ref="U10:V10"/>
    <mergeCell ref="K12:N12"/>
    <mergeCell ref="W17:AC17"/>
    <mergeCell ref="K17:N17"/>
    <mergeCell ref="O17:P17"/>
    <mergeCell ref="Q17:R17"/>
    <mergeCell ref="S17:T17"/>
    <mergeCell ref="U17:V17"/>
    <mergeCell ref="K18:N18"/>
    <mergeCell ref="O18:P18"/>
    <mergeCell ref="Q18:R18"/>
    <mergeCell ref="S18:T18"/>
    <mergeCell ref="U18:V18"/>
    <mergeCell ref="W18:AC18"/>
    <mergeCell ref="K23:N23"/>
    <mergeCell ref="O23:P23"/>
    <mergeCell ref="Q23:R23"/>
    <mergeCell ref="S23:T23"/>
    <mergeCell ref="U23:V23"/>
    <mergeCell ref="W23:AC23"/>
    <mergeCell ref="B20:AC20"/>
    <mergeCell ref="B21:E21"/>
    <mergeCell ref="F21:AC21"/>
    <mergeCell ref="C22:J22"/>
    <mergeCell ref="K22:N22"/>
    <mergeCell ref="O22:P22"/>
    <mergeCell ref="Q22:R22"/>
    <mergeCell ref="S22:T22"/>
    <mergeCell ref="U22:V22"/>
    <mergeCell ref="W22:AC22"/>
    <mergeCell ref="Q25:R25"/>
    <mergeCell ref="S25:T25"/>
    <mergeCell ref="U25:V25"/>
    <mergeCell ref="W25:AC25"/>
    <mergeCell ref="K24:N24"/>
    <mergeCell ref="O24:P24"/>
    <mergeCell ref="Q24:R24"/>
    <mergeCell ref="S24:T24"/>
    <mergeCell ref="U24:V24"/>
    <mergeCell ref="W24:AC24"/>
    <mergeCell ref="K25:N25"/>
    <mergeCell ref="O25:P25"/>
    <mergeCell ref="B30:AC30"/>
    <mergeCell ref="B31:AC31"/>
    <mergeCell ref="B32:AC33"/>
    <mergeCell ref="K29:N29"/>
    <mergeCell ref="O29:P29"/>
    <mergeCell ref="Q29:R29"/>
    <mergeCell ref="S29:T29"/>
    <mergeCell ref="U29:V29"/>
    <mergeCell ref="W29:AC29"/>
    <mergeCell ref="W19:AC19"/>
    <mergeCell ref="U19:V19"/>
    <mergeCell ref="S19:T19"/>
    <mergeCell ref="Q19:R19"/>
    <mergeCell ref="O19:P19"/>
    <mergeCell ref="K19:N19"/>
    <mergeCell ref="K28:N28"/>
    <mergeCell ref="O28:P28"/>
    <mergeCell ref="Q28:R28"/>
    <mergeCell ref="S28:T28"/>
    <mergeCell ref="U28:V28"/>
    <mergeCell ref="W28:AC28"/>
    <mergeCell ref="K26:N26"/>
    <mergeCell ref="O26:P26"/>
    <mergeCell ref="Q26:R26"/>
    <mergeCell ref="S26:T26"/>
    <mergeCell ref="U26:V26"/>
    <mergeCell ref="W26:AC26"/>
    <mergeCell ref="W27:AC27"/>
    <mergeCell ref="K27:N27"/>
    <mergeCell ref="O27:P27"/>
    <mergeCell ref="Q27:R27"/>
    <mergeCell ref="S27:T27"/>
    <mergeCell ref="U27:V27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E699"/>
    <pageSetUpPr fitToPage="1"/>
  </sheetPr>
  <dimension ref="A1:AC34"/>
  <sheetViews>
    <sheetView zoomScaleSheetLayoutView="100" zoomScalePageLayoutView="55" workbookViewId="0">
      <selection activeCell="AO22" sqref="AO22"/>
    </sheetView>
  </sheetViews>
  <sheetFormatPr defaultColWidth="3" defaultRowHeight="13.5"/>
  <cols>
    <col min="1" max="1" width="4.375" style="48" customWidth="1"/>
    <col min="2" max="13" width="3" style="48"/>
    <col min="14" max="14" width="6.25" style="48" customWidth="1"/>
    <col min="15" max="17" width="3" style="48"/>
    <col min="18" max="18" width="6.375" style="48" customWidth="1"/>
    <col min="19" max="16384" width="3" style="48"/>
  </cols>
  <sheetData>
    <row r="1" spans="1:29" ht="16.5">
      <c r="A1" s="64" t="s">
        <v>3312</v>
      </c>
    </row>
    <row r="2" spans="1:29" ht="20.25" customHeight="1">
      <c r="B2" s="514" t="s">
        <v>3313</v>
      </c>
      <c r="C2" s="514"/>
      <c r="D2" s="514"/>
      <c r="E2" s="515" t="str">
        <f xml:space="preserve"> ERP_인터페이스목록!C24</f>
        <v>주문 품목단가수정</v>
      </c>
      <c r="F2" s="515"/>
      <c r="G2" s="515"/>
      <c r="H2" s="515"/>
      <c r="I2" s="515"/>
      <c r="J2" s="515"/>
      <c r="K2" s="515"/>
      <c r="L2" s="515"/>
      <c r="M2" s="515"/>
      <c r="N2" s="515"/>
      <c r="O2" s="514" t="s">
        <v>40</v>
      </c>
      <c r="P2" s="514"/>
      <c r="Q2" s="514"/>
      <c r="R2" s="515" t="str">
        <f>ERP_인터페이스목록!G24</f>
        <v>O2W_OB_PROD_PRICE</v>
      </c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</row>
    <row r="3" spans="1:29" ht="20.25" customHeight="1">
      <c r="B3" s="514" t="s">
        <v>3314</v>
      </c>
      <c r="C3" s="514"/>
      <c r="D3" s="514"/>
      <c r="E3" s="515" t="str">
        <f>ERP_인터페이스목록!J24</f>
        <v>/{bizSeq}/sif/prod-price/regs</v>
      </c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5"/>
      <c r="AB3" s="515"/>
      <c r="AC3" s="515"/>
    </row>
    <row r="4" spans="1:29" ht="20.25" customHeight="1">
      <c r="B4" s="516" t="s">
        <v>3315</v>
      </c>
      <c r="C4" s="516"/>
      <c r="D4" s="516"/>
      <c r="E4" s="515" t="str">
        <f>ERP_인터페이스목록!L24</f>
        <v>POST</v>
      </c>
      <c r="F4" s="515"/>
      <c r="G4" s="515"/>
      <c r="H4" s="515"/>
      <c r="I4" s="515"/>
      <c r="J4" s="515"/>
      <c r="K4" s="515"/>
      <c r="L4" s="515"/>
      <c r="M4" s="515"/>
      <c r="N4" s="515"/>
      <c r="O4" s="516" t="s">
        <v>43</v>
      </c>
      <c r="P4" s="516"/>
      <c r="Q4" s="516"/>
      <c r="R4" s="515" t="s">
        <v>3327</v>
      </c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</row>
    <row r="5" spans="1:29" ht="20.25" customHeight="1">
      <c r="B5" s="516" t="s">
        <v>690</v>
      </c>
      <c r="C5" s="516"/>
      <c r="D5" s="516"/>
      <c r="E5" s="515" t="str">
        <f>ERP_인터페이스목록!D24</f>
        <v>OMS</v>
      </c>
      <c r="F5" s="515"/>
      <c r="G5" s="515"/>
      <c r="H5" s="515"/>
      <c r="I5" s="515"/>
      <c r="J5" s="515"/>
      <c r="K5" s="515"/>
      <c r="L5" s="515"/>
      <c r="M5" s="515"/>
      <c r="N5" s="515"/>
      <c r="O5" s="516" t="s">
        <v>638</v>
      </c>
      <c r="P5" s="516"/>
      <c r="Q5" s="516"/>
      <c r="R5" s="515" t="str">
        <f>ERP_인터페이스목록!E24</f>
        <v>WMS</v>
      </c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</row>
    <row r="6" spans="1:29" ht="6" customHeight="1">
      <c r="B6" s="504"/>
      <c r="C6" s="504"/>
      <c r="D6" s="504"/>
      <c r="E6" s="504"/>
      <c r="F6" s="504"/>
      <c r="G6" s="504"/>
      <c r="H6" s="504"/>
      <c r="I6" s="504"/>
      <c r="J6" s="504"/>
      <c r="K6" s="504"/>
      <c r="L6" s="504"/>
      <c r="M6" s="504"/>
      <c r="N6" s="504"/>
      <c r="O6" s="504"/>
      <c r="P6" s="504"/>
      <c r="Q6" s="504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</row>
    <row r="7" spans="1:29" ht="15" customHeight="1">
      <c r="B7" s="506" t="s">
        <v>3316</v>
      </c>
      <c r="C7" s="506"/>
      <c r="D7" s="506"/>
      <c r="E7" s="506"/>
      <c r="F7" s="528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 s="529"/>
      <c r="T7" s="529"/>
      <c r="U7" s="529"/>
      <c r="V7" s="529"/>
      <c r="W7" s="529"/>
      <c r="X7" s="529"/>
      <c r="Y7" s="529"/>
      <c r="Z7" s="529"/>
      <c r="AA7" s="529"/>
      <c r="AB7" s="529"/>
      <c r="AC7" s="529"/>
    </row>
    <row r="8" spans="1:29">
      <c r="B8" s="380" t="s">
        <v>46</v>
      </c>
      <c r="C8" s="500" t="s">
        <v>36</v>
      </c>
      <c r="D8" s="500"/>
      <c r="E8" s="500"/>
      <c r="F8" s="500"/>
      <c r="G8" s="500"/>
      <c r="H8" s="500"/>
      <c r="I8" s="500"/>
      <c r="J8" s="500"/>
      <c r="K8" s="500" t="s">
        <v>3317</v>
      </c>
      <c r="L8" s="500"/>
      <c r="M8" s="500"/>
      <c r="N8" s="500"/>
      <c r="O8" s="500" t="s">
        <v>3318</v>
      </c>
      <c r="P8" s="500"/>
      <c r="Q8" s="500" t="s">
        <v>3319</v>
      </c>
      <c r="R8" s="500"/>
      <c r="S8" s="500" t="s">
        <v>3320</v>
      </c>
      <c r="T8" s="500"/>
      <c r="U8" s="500" t="s">
        <v>3321</v>
      </c>
      <c r="V8" s="500"/>
      <c r="W8" s="500" t="s">
        <v>53</v>
      </c>
      <c r="X8" s="500"/>
      <c r="Y8" s="500"/>
      <c r="Z8" s="500"/>
      <c r="AA8" s="500"/>
      <c r="AB8" s="500"/>
      <c r="AC8" s="500"/>
    </row>
    <row r="9" spans="1:29">
      <c r="B9" s="395">
        <v>1</v>
      </c>
      <c r="C9" s="397" t="s">
        <v>54</v>
      </c>
      <c r="D9" s="398"/>
      <c r="E9" s="398"/>
      <c r="F9" s="398"/>
      <c r="G9" s="398"/>
      <c r="H9" s="398"/>
      <c r="I9" s="398"/>
      <c r="J9" s="399"/>
      <c r="K9" s="509" t="s">
        <v>451</v>
      </c>
      <c r="L9" s="510"/>
      <c r="M9" s="510"/>
      <c r="N9" s="511"/>
      <c r="O9" s="467" t="s">
        <v>56</v>
      </c>
      <c r="P9" s="468"/>
      <c r="Q9" s="467">
        <v>10</v>
      </c>
      <c r="R9" s="468"/>
      <c r="S9" s="467"/>
      <c r="T9" s="468"/>
      <c r="U9" s="467" t="s">
        <v>57</v>
      </c>
      <c r="V9" s="468"/>
      <c r="W9" s="493" t="s">
        <v>328</v>
      </c>
      <c r="X9" s="484"/>
      <c r="Y9" s="484"/>
      <c r="Z9" s="484"/>
      <c r="AA9" s="484"/>
      <c r="AB9" s="484"/>
      <c r="AC9" s="485"/>
    </row>
    <row r="10" spans="1:29" ht="15" customHeight="1">
      <c r="B10" s="395">
        <v>1</v>
      </c>
      <c r="C10" s="397" t="s">
        <v>81</v>
      </c>
      <c r="D10" s="397"/>
      <c r="E10" s="398"/>
      <c r="F10" s="398"/>
      <c r="G10" s="398"/>
      <c r="H10" s="398"/>
      <c r="I10" s="398"/>
      <c r="J10" s="399"/>
      <c r="K10" s="501" t="s">
        <v>170</v>
      </c>
      <c r="L10" s="501"/>
      <c r="M10" s="501"/>
      <c r="N10" s="501"/>
      <c r="O10" s="502" t="s">
        <v>62</v>
      </c>
      <c r="P10" s="502"/>
      <c r="Q10" s="502">
        <v>20</v>
      </c>
      <c r="R10" s="502"/>
      <c r="S10" s="502"/>
      <c r="T10" s="502"/>
      <c r="U10" s="502"/>
      <c r="V10" s="502"/>
      <c r="W10" s="503" t="s">
        <v>760</v>
      </c>
      <c r="X10" s="501"/>
      <c r="Y10" s="501"/>
      <c r="Z10" s="501"/>
      <c r="AA10" s="501"/>
      <c r="AB10" s="501"/>
      <c r="AC10" s="501"/>
    </row>
    <row r="11" spans="1:29">
      <c r="B11" s="404">
        <v>1</v>
      </c>
      <c r="C11" s="400" t="s">
        <v>129</v>
      </c>
      <c r="D11" s="400"/>
      <c r="E11" s="400"/>
      <c r="F11" s="400"/>
      <c r="G11" s="400"/>
      <c r="H11" s="400"/>
      <c r="I11" s="400"/>
      <c r="J11" s="401"/>
      <c r="K11" s="634" t="s">
        <v>141</v>
      </c>
      <c r="L11" s="634"/>
      <c r="M11" s="634"/>
      <c r="N11" s="634"/>
      <c r="O11" s="472"/>
      <c r="P11" s="473"/>
      <c r="Q11" s="611"/>
      <c r="R11" s="611"/>
      <c r="S11" s="611"/>
      <c r="T11" s="611"/>
      <c r="U11" s="611"/>
      <c r="V11" s="611"/>
      <c r="W11" s="646"/>
      <c r="X11" s="634"/>
      <c r="Y11" s="634"/>
      <c r="Z11" s="634"/>
      <c r="AA11" s="634"/>
      <c r="AB11" s="634"/>
      <c r="AC11" s="634"/>
    </row>
    <row r="12" spans="1:29">
      <c r="B12" s="395">
        <v>2</v>
      </c>
      <c r="C12" s="398"/>
      <c r="D12" s="398" t="s">
        <v>130</v>
      </c>
      <c r="E12" s="398"/>
      <c r="F12" s="398"/>
      <c r="G12" s="398"/>
      <c r="H12" s="398"/>
      <c r="I12" s="398"/>
      <c r="J12" s="399"/>
      <c r="K12" s="501" t="s">
        <v>423</v>
      </c>
      <c r="L12" s="501"/>
      <c r="M12" s="501"/>
      <c r="N12" s="501"/>
      <c r="O12" s="494" t="s">
        <v>62</v>
      </c>
      <c r="P12" s="496"/>
      <c r="Q12" s="502">
        <v>20</v>
      </c>
      <c r="R12" s="502"/>
      <c r="S12" s="502" t="s">
        <v>214</v>
      </c>
      <c r="T12" s="502"/>
      <c r="U12" s="502" t="s">
        <v>57</v>
      </c>
      <c r="V12" s="502"/>
      <c r="W12" s="643" t="s">
        <v>435</v>
      </c>
      <c r="X12" s="644"/>
      <c r="Y12" s="644"/>
      <c r="Z12" s="644"/>
      <c r="AA12" s="644"/>
      <c r="AB12" s="644"/>
      <c r="AC12" s="645"/>
    </row>
    <row r="13" spans="1:29">
      <c r="B13" s="395">
        <v>2</v>
      </c>
      <c r="C13" s="397"/>
      <c r="D13" s="398" t="s">
        <v>691</v>
      </c>
      <c r="E13" s="398"/>
      <c r="F13" s="398"/>
      <c r="G13" s="398"/>
      <c r="H13" s="398"/>
      <c r="I13" s="398"/>
      <c r="J13" s="399"/>
      <c r="K13" s="483" t="s">
        <v>692</v>
      </c>
      <c r="L13" s="484"/>
      <c r="M13" s="484"/>
      <c r="N13" s="485"/>
      <c r="O13" s="467" t="s">
        <v>62</v>
      </c>
      <c r="P13" s="468"/>
      <c r="Q13" s="467">
        <v>50</v>
      </c>
      <c r="R13" s="468"/>
      <c r="S13" s="502" t="s">
        <v>63</v>
      </c>
      <c r="T13" s="502"/>
      <c r="U13" s="467" t="s">
        <v>57</v>
      </c>
      <c r="V13" s="468"/>
      <c r="W13" s="494" t="s">
        <v>674</v>
      </c>
      <c r="X13" s="495"/>
      <c r="Y13" s="495"/>
      <c r="Z13" s="495"/>
      <c r="AA13" s="495"/>
      <c r="AB13" s="495"/>
      <c r="AC13" s="496"/>
    </row>
    <row r="14" spans="1:29">
      <c r="B14" s="395">
        <v>2</v>
      </c>
      <c r="C14" s="398"/>
      <c r="D14" s="398" t="s">
        <v>124</v>
      </c>
      <c r="E14" s="398"/>
      <c r="F14" s="398"/>
      <c r="G14" s="398"/>
      <c r="H14" s="398"/>
      <c r="I14" s="398"/>
      <c r="J14" s="399"/>
      <c r="K14" s="483" t="s">
        <v>463</v>
      </c>
      <c r="L14" s="484"/>
      <c r="M14" s="484"/>
      <c r="N14" s="485"/>
      <c r="O14" s="494" t="s">
        <v>62</v>
      </c>
      <c r="P14" s="496"/>
      <c r="Q14" s="467">
        <v>50</v>
      </c>
      <c r="R14" s="468"/>
      <c r="S14" s="467"/>
      <c r="T14" s="468"/>
      <c r="U14" s="467" t="s">
        <v>57</v>
      </c>
      <c r="V14" s="468"/>
      <c r="W14" s="641" t="s">
        <v>464</v>
      </c>
      <c r="X14" s="642"/>
      <c r="Y14" s="642"/>
      <c r="Z14" s="642"/>
      <c r="AA14" s="642"/>
      <c r="AB14" s="642"/>
      <c r="AC14" s="642"/>
    </row>
    <row r="15" spans="1:29">
      <c r="B15" s="404">
        <v>2</v>
      </c>
      <c r="C15" s="402"/>
      <c r="D15" s="402" t="s">
        <v>135</v>
      </c>
      <c r="E15" s="400"/>
      <c r="F15" s="400"/>
      <c r="G15" s="402"/>
      <c r="H15" s="402"/>
      <c r="I15" s="402"/>
      <c r="J15" s="403"/>
      <c r="K15" s="593" t="s">
        <v>59</v>
      </c>
      <c r="L15" s="594"/>
      <c r="M15" s="594"/>
      <c r="N15" s="595"/>
      <c r="O15" s="611"/>
      <c r="P15" s="611"/>
      <c r="Q15" s="611"/>
      <c r="R15" s="611"/>
      <c r="S15" s="611"/>
      <c r="T15" s="611"/>
      <c r="U15" s="611"/>
      <c r="V15" s="611"/>
      <c r="W15" s="634"/>
      <c r="X15" s="634"/>
      <c r="Y15" s="634"/>
      <c r="Z15" s="634"/>
      <c r="AA15" s="634"/>
      <c r="AB15" s="634"/>
      <c r="AC15" s="634"/>
    </row>
    <row r="16" spans="1:29">
      <c r="B16" s="395">
        <v>3</v>
      </c>
      <c r="C16" s="396"/>
      <c r="D16" s="393"/>
      <c r="E16" s="398" t="s">
        <v>131</v>
      </c>
      <c r="F16" s="398"/>
      <c r="G16" s="393"/>
      <c r="H16" s="393"/>
      <c r="I16" s="393"/>
      <c r="J16" s="394"/>
      <c r="K16" s="483" t="s">
        <v>332</v>
      </c>
      <c r="L16" s="484"/>
      <c r="M16" s="484"/>
      <c r="N16" s="485"/>
      <c r="O16" s="467" t="s">
        <v>62</v>
      </c>
      <c r="P16" s="468"/>
      <c r="Q16" s="502">
        <v>20</v>
      </c>
      <c r="R16" s="502"/>
      <c r="S16" s="502" t="s">
        <v>214</v>
      </c>
      <c r="T16" s="502"/>
      <c r="U16" s="502" t="s">
        <v>57</v>
      </c>
      <c r="V16" s="502"/>
      <c r="W16" s="464" t="s">
        <v>333</v>
      </c>
      <c r="X16" s="465"/>
      <c r="Y16" s="465"/>
      <c r="Z16" s="465"/>
      <c r="AA16" s="465"/>
      <c r="AB16" s="465"/>
      <c r="AC16" s="466"/>
    </row>
    <row r="17" spans="2:29">
      <c r="B17" s="395">
        <v>3</v>
      </c>
      <c r="C17" s="396"/>
      <c r="D17" s="393"/>
      <c r="E17" s="398" t="s">
        <v>173</v>
      </c>
      <c r="F17" s="398"/>
      <c r="G17" s="393"/>
      <c r="H17" s="393"/>
      <c r="I17" s="393"/>
      <c r="J17" s="394"/>
      <c r="K17" s="483" t="s">
        <v>65</v>
      </c>
      <c r="L17" s="484"/>
      <c r="M17" s="484"/>
      <c r="N17" s="485"/>
      <c r="O17" s="502" t="s">
        <v>62</v>
      </c>
      <c r="P17" s="502"/>
      <c r="Q17" s="527">
        <v>50</v>
      </c>
      <c r="R17" s="527"/>
      <c r="S17" s="467"/>
      <c r="T17" s="468"/>
      <c r="U17" s="502" t="s">
        <v>57</v>
      </c>
      <c r="V17" s="502"/>
      <c r="W17" s="483"/>
      <c r="X17" s="484"/>
      <c r="Y17" s="484"/>
      <c r="Z17" s="484"/>
      <c r="AA17" s="484"/>
      <c r="AB17" s="484"/>
      <c r="AC17" s="485"/>
    </row>
    <row r="18" spans="2:29">
      <c r="B18" s="395">
        <v>3</v>
      </c>
      <c r="C18" s="396"/>
      <c r="D18" s="393"/>
      <c r="E18" s="393" t="s">
        <v>654</v>
      </c>
      <c r="F18" s="393"/>
      <c r="G18" s="393"/>
      <c r="H18" s="393"/>
      <c r="I18" s="393"/>
      <c r="J18" s="394"/>
      <c r="K18" s="608" t="s">
        <v>652</v>
      </c>
      <c r="L18" s="609"/>
      <c r="M18" s="609"/>
      <c r="N18" s="610"/>
      <c r="O18" s="502" t="s">
        <v>56</v>
      </c>
      <c r="P18" s="502"/>
      <c r="Q18" s="467">
        <v>10</v>
      </c>
      <c r="R18" s="468"/>
      <c r="S18" s="502"/>
      <c r="T18" s="502"/>
      <c r="U18" s="502" t="s">
        <v>3335</v>
      </c>
      <c r="V18" s="502"/>
      <c r="W18" s="483"/>
      <c r="X18" s="484"/>
      <c r="Y18" s="484"/>
      <c r="Z18" s="484"/>
      <c r="AA18" s="484"/>
      <c r="AB18" s="484"/>
      <c r="AC18" s="485"/>
    </row>
    <row r="19" spans="2:29">
      <c r="B19" s="395">
        <v>3</v>
      </c>
      <c r="C19" s="396"/>
      <c r="D19" s="393"/>
      <c r="E19" s="393" t="s">
        <v>673</v>
      </c>
      <c r="F19" s="393"/>
      <c r="G19" s="393"/>
      <c r="H19" s="393"/>
      <c r="I19" s="393"/>
      <c r="J19" s="394"/>
      <c r="K19" s="608" t="s">
        <v>671</v>
      </c>
      <c r="L19" s="609"/>
      <c r="M19" s="609"/>
      <c r="N19" s="610"/>
      <c r="O19" s="502" t="s">
        <v>56</v>
      </c>
      <c r="P19" s="502"/>
      <c r="Q19" s="467">
        <v>10</v>
      </c>
      <c r="R19" s="468"/>
      <c r="S19" s="502"/>
      <c r="T19" s="502"/>
      <c r="U19" s="502" t="s">
        <v>3335</v>
      </c>
      <c r="V19" s="502"/>
      <c r="W19" s="483"/>
      <c r="X19" s="484"/>
      <c r="Y19" s="484"/>
      <c r="Z19" s="484"/>
      <c r="AA19" s="484"/>
      <c r="AB19" s="484"/>
      <c r="AC19" s="485"/>
    </row>
    <row r="20" spans="2:29">
      <c r="B20" s="486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</row>
    <row r="21" spans="2:29" ht="16.5">
      <c r="B21" s="586" t="s">
        <v>3323</v>
      </c>
      <c r="C21" s="587"/>
      <c r="D21" s="587"/>
      <c r="E21" s="588"/>
      <c r="F21" s="589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590"/>
      <c r="AB21" s="590"/>
      <c r="AC21" s="591"/>
    </row>
    <row r="22" spans="2:29">
      <c r="B22" s="380" t="s">
        <v>3324</v>
      </c>
      <c r="C22" s="512" t="s">
        <v>3325</v>
      </c>
      <c r="D22" s="592"/>
      <c r="E22" s="592"/>
      <c r="F22" s="592"/>
      <c r="G22" s="592"/>
      <c r="H22" s="592"/>
      <c r="I22" s="592"/>
      <c r="J22" s="513"/>
      <c r="K22" s="512" t="s">
        <v>3317</v>
      </c>
      <c r="L22" s="592"/>
      <c r="M22" s="592"/>
      <c r="N22" s="513"/>
      <c r="O22" s="512" t="s">
        <v>3318</v>
      </c>
      <c r="P22" s="513"/>
      <c r="Q22" s="512" t="s">
        <v>3319</v>
      </c>
      <c r="R22" s="513"/>
      <c r="S22" s="512" t="s">
        <v>3320</v>
      </c>
      <c r="T22" s="513"/>
      <c r="U22" s="512" t="s">
        <v>3321</v>
      </c>
      <c r="V22" s="513"/>
      <c r="W22" s="512" t="s">
        <v>3326</v>
      </c>
      <c r="X22" s="592"/>
      <c r="Y22" s="592"/>
      <c r="Z22" s="592"/>
      <c r="AA22" s="592"/>
      <c r="AB22" s="592"/>
      <c r="AC22" s="513"/>
    </row>
    <row r="23" spans="2:29" ht="13.5" customHeight="1">
      <c r="B23" s="395">
        <v>1</v>
      </c>
      <c r="C23" s="397" t="s">
        <v>86</v>
      </c>
      <c r="D23" s="398"/>
      <c r="E23" s="398"/>
      <c r="F23" s="398"/>
      <c r="G23" s="398"/>
      <c r="H23" s="398"/>
      <c r="I23" s="398"/>
      <c r="J23" s="399"/>
      <c r="K23" s="490" t="s">
        <v>87</v>
      </c>
      <c r="L23" s="491"/>
      <c r="M23" s="491"/>
      <c r="N23" s="492"/>
      <c r="O23" s="467" t="s">
        <v>62</v>
      </c>
      <c r="P23" s="468"/>
      <c r="Q23" s="467">
        <v>20</v>
      </c>
      <c r="R23" s="468"/>
      <c r="S23" s="467"/>
      <c r="T23" s="468"/>
      <c r="U23" s="467" t="s">
        <v>57</v>
      </c>
      <c r="V23" s="468"/>
      <c r="W23" s="493" t="s">
        <v>88</v>
      </c>
      <c r="X23" s="484"/>
      <c r="Y23" s="484"/>
      <c r="Z23" s="484"/>
      <c r="AA23" s="484"/>
      <c r="AB23" s="484"/>
      <c r="AC23" s="485"/>
    </row>
    <row r="24" spans="2:29">
      <c r="B24" s="395">
        <v>1</v>
      </c>
      <c r="C24" s="397" t="s">
        <v>89</v>
      </c>
      <c r="D24" s="398"/>
      <c r="E24" s="398"/>
      <c r="F24" s="398"/>
      <c r="G24" s="398"/>
      <c r="H24" s="398"/>
      <c r="I24" s="398"/>
      <c r="J24" s="399"/>
      <c r="K24" s="494" t="s">
        <v>75</v>
      </c>
      <c r="L24" s="495"/>
      <c r="M24" s="495"/>
      <c r="N24" s="496"/>
      <c r="O24" s="467" t="s">
        <v>62</v>
      </c>
      <c r="P24" s="468"/>
      <c r="Q24" s="467">
        <v>4000</v>
      </c>
      <c r="R24" s="468"/>
      <c r="S24" s="467"/>
      <c r="T24" s="468"/>
      <c r="U24" s="467" t="s">
        <v>57</v>
      </c>
      <c r="V24" s="468"/>
      <c r="W24" s="483" t="s">
        <v>76</v>
      </c>
      <c r="X24" s="484"/>
      <c r="Y24" s="484"/>
      <c r="Z24" s="484"/>
      <c r="AA24" s="484"/>
      <c r="AB24" s="484"/>
      <c r="AC24" s="485"/>
    </row>
    <row r="25" spans="2:29">
      <c r="B25" s="404">
        <v>1</v>
      </c>
      <c r="C25" s="400" t="s">
        <v>90</v>
      </c>
      <c r="D25" s="400"/>
      <c r="E25" s="400"/>
      <c r="F25" s="400"/>
      <c r="G25" s="400"/>
      <c r="H25" s="400"/>
      <c r="I25" s="400"/>
      <c r="J25" s="401"/>
      <c r="K25" s="497" t="s">
        <v>141</v>
      </c>
      <c r="L25" s="498"/>
      <c r="M25" s="498"/>
      <c r="N25" s="499"/>
      <c r="O25" s="472"/>
      <c r="P25" s="473"/>
      <c r="Q25" s="472"/>
      <c r="R25" s="473"/>
      <c r="S25" s="472"/>
      <c r="T25" s="473"/>
      <c r="U25" s="472"/>
      <c r="V25" s="473"/>
      <c r="W25" s="487"/>
      <c r="X25" s="488"/>
      <c r="Y25" s="488"/>
      <c r="Z25" s="488"/>
      <c r="AA25" s="488"/>
      <c r="AB25" s="488"/>
      <c r="AC25" s="489"/>
    </row>
    <row r="26" spans="2:29">
      <c r="B26" s="395">
        <v>2</v>
      </c>
      <c r="C26" s="397"/>
      <c r="D26" s="398" t="s">
        <v>130</v>
      </c>
      <c r="E26" s="398"/>
      <c r="F26" s="398"/>
      <c r="G26" s="398"/>
      <c r="H26" s="398"/>
      <c r="I26" s="398"/>
      <c r="J26" s="399"/>
      <c r="K26" s="494" t="s">
        <v>423</v>
      </c>
      <c r="L26" s="495"/>
      <c r="M26" s="495"/>
      <c r="N26" s="496"/>
      <c r="O26" s="467" t="s">
        <v>62</v>
      </c>
      <c r="P26" s="468"/>
      <c r="Q26" s="467">
        <v>20</v>
      </c>
      <c r="R26" s="468"/>
      <c r="S26" s="467" t="s">
        <v>317</v>
      </c>
      <c r="T26" s="468"/>
      <c r="U26" s="467" t="s">
        <v>57</v>
      </c>
      <c r="V26" s="468"/>
      <c r="W26" s="464" t="s">
        <v>435</v>
      </c>
      <c r="X26" s="465"/>
      <c r="Y26" s="465"/>
      <c r="Z26" s="465"/>
      <c r="AA26" s="465"/>
      <c r="AB26" s="465"/>
      <c r="AC26" s="466"/>
    </row>
    <row r="27" spans="2:29">
      <c r="B27" s="395">
        <v>2</v>
      </c>
      <c r="C27" s="397"/>
      <c r="D27" s="398" t="s">
        <v>691</v>
      </c>
      <c r="E27" s="398"/>
      <c r="F27" s="398"/>
      <c r="G27" s="398"/>
      <c r="H27" s="398"/>
      <c r="I27" s="398"/>
      <c r="J27" s="399"/>
      <c r="K27" s="483" t="s">
        <v>692</v>
      </c>
      <c r="L27" s="484"/>
      <c r="M27" s="484"/>
      <c r="N27" s="485"/>
      <c r="O27" s="467" t="s">
        <v>62</v>
      </c>
      <c r="P27" s="468"/>
      <c r="Q27" s="467">
        <v>50</v>
      </c>
      <c r="R27" s="468"/>
      <c r="S27" s="467"/>
      <c r="T27" s="468"/>
      <c r="U27" s="467" t="s">
        <v>57</v>
      </c>
      <c r="V27" s="468"/>
      <c r="W27" s="494" t="s">
        <v>674</v>
      </c>
      <c r="X27" s="495"/>
      <c r="Y27" s="495"/>
      <c r="Z27" s="495"/>
      <c r="AA27" s="495"/>
      <c r="AB27" s="495"/>
      <c r="AC27" s="496"/>
    </row>
    <row r="28" spans="2:29" ht="13.5" customHeight="1">
      <c r="B28" s="395">
        <v>2</v>
      </c>
      <c r="C28" s="396"/>
      <c r="D28" s="393" t="s">
        <v>77</v>
      </c>
      <c r="E28" s="398"/>
      <c r="F28" s="398"/>
      <c r="G28" s="393"/>
      <c r="H28" s="393"/>
      <c r="I28" s="393"/>
      <c r="J28" s="394"/>
      <c r="K28" s="469" t="s">
        <v>78</v>
      </c>
      <c r="L28" s="470"/>
      <c r="M28" s="470"/>
      <c r="N28" s="471"/>
      <c r="O28" s="467" t="s">
        <v>62</v>
      </c>
      <c r="P28" s="468"/>
      <c r="Q28" s="467">
        <v>1</v>
      </c>
      <c r="R28" s="468"/>
      <c r="S28" s="467"/>
      <c r="T28" s="468"/>
      <c r="U28" s="467" t="s">
        <v>64</v>
      </c>
      <c r="V28" s="468"/>
      <c r="W28" s="493" t="s">
        <v>88</v>
      </c>
      <c r="X28" s="484"/>
      <c r="Y28" s="484"/>
      <c r="Z28" s="484"/>
      <c r="AA28" s="484"/>
      <c r="AB28" s="484"/>
      <c r="AC28" s="485"/>
    </row>
    <row r="29" spans="2:29">
      <c r="B29" s="395">
        <v>2</v>
      </c>
      <c r="C29" s="396"/>
      <c r="D29" s="393" t="s">
        <v>79</v>
      </c>
      <c r="E29" s="398"/>
      <c r="F29" s="398"/>
      <c r="G29" s="393"/>
      <c r="H29" s="393"/>
      <c r="I29" s="393"/>
      <c r="J29" s="394"/>
      <c r="K29" s="469" t="s">
        <v>140</v>
      </c>
      <c r="L29" s="470"/>
      <c r="M29" s="470"/>
      <c r="N29" s="471"/>
      <c r="O29" s="467" t="s">
        <v>62</v>
      </c>
      <c r="P29" s="468"/>
      <c r="Q29" s="467">
        <v>100</v>
      </c>
      <c r="R29" s="468"/>
      <c r="S29" s="467"/>
      <c r="T29" s="468"/>
      <c r="U29" s="467"/>
      <c r="V29" s="468"/>
      <c r="W29" s="464" t="s">
        <v>274</v>
      </c>
      <c r="X29" s="465"/>
      <c r="Y29" s="465"/>
      <c r="Z29" s="465"/>
      <c r="AA29" s="465"/>
      <c r="AB29" s="465"/>
      <c r="AC29" s="466"/>
    </row>
    <row r="30" spans="2:29" ht="16.5">
      <c r="B30" s="625"/>
      <c r="C30" s="625"/>
      <c r="D30" s="625"/>
      <c r="E30" s="625"/>
      <c r="F30" s="625"/>
      <c r="G30" s="625"/>
      <c r="H30" s="625"/>
      <c r="I30" s="625"/>
      <c r="J30" s="625"/>
      <c r="K30" s="625"/>
      <c r="L30" s="625"/>
      <c r="M30" s="625"/>
      <c r="N30" s="625"/>
      <c r="O30" s="625"/>
      <c r="P30" s="625"/>
      <c r="Q30" s="625"/>
      <c r="R30" s="625"/>
      <c r="S30" s="625"/>
      <c r="T30" s="625"/>
      <c r="U30" s="625"/>
      <c r="V30" s="625"/>
      <c r="W30" s="625"/>
      <c r="X30" s="625"/>
      <c r="Y30" s="625"/>
      <c r="Z30" s="625"/>
      <c r="AA30" s="625"/>
      <c r="AB30" s="625"/>
      <c r="AC30" s="625"/>
    </row>
    <row r="31" spans="2:29">
      <c r="B31" s="474" t="s">
        <v>102</v>
      </c>
      <c r="C31" s="475"/>
      <c r="D31" s="475"/>
      <c r="E31" s="475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  <c r="AB31" s="475"/>
      <c r="AC31" s="476"/>
    </row>
    <row r="32" spans="2:29" ht="13.5" customHeight="1">
      <c r="B32" s="568" t="s">
        <v>697</v>
      </c>
      <c r="C32" s="478"/>
      <c r="D32" s="478"/>
      <c r="E32" s="478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8"/>
      <c r="Q32" s="478"/>
      <c r="R32" s="478"/>
      <c r="S32" s="478"/>
      <c r="T32" s="478"/>
      <c r="U32" s="478"/>
      <c r="V32" s="478"/>
      <c r="W32" s="478"/>
      <c r="X32" s="478"/>
      <c r="Y32" s="478"/>
      <c r="Z32" s="478"/>
      <c r="AA32" s="478"/>
      <c r="AB32" s="478"/>
      <c r="AC32" s="479"/>
    </row>
    <row r="33" spans="2:29">
      <c r="B33" s="480"/>
      <c r="C33" s="481"/>
      <c r="D33" s="481"/>
      <c r="E33" s="481"/>
      <c r="F33" s="481"/>
      <c r="G33" s="481"/>
      <c r="H33" s="481"/>
      <c r="I33" s="481"/>
      <c r="J33" s="481"/>
      <c r="K33" s="481"/>
      <c r="L33" s="481"/>
      <c r="M33" s="481"/>
      <c r="N33" s="481"/>
      <c r="O33" s="481"/>
      <c r="P33" s="481"/>
      <c r="Q33" s="481"/>
      <c r="R33" s="481"/>
      <c r="S33" s="481"/>
      <c r="T33" s="481"/>
      <c r="U33" s="481"/>
      <c r="V33" s="481"/>
      <c r="W33" s="481"/>
      <c r="X33" s="481"/>
      <c r="Y33" s="481"/>
      <c r="Z33" s="481"/>
      <c r="AA33" s="481"/>
      <c r="AB33" s="481"/>
      <c r="AC33" s="482"/>
    </row>
    <row r="34" spans="2:29" ht="16.5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</sheetData>
  <mergeCells count="145">
    <mergeCell ref="K28:N28"/>
    <mergeCell ref="O28:P28"/>
    <mergeCell ref="Q28:R28"/>
    <mergeCell ref="S28:T28"/>
    <mergeCell ref="U28:V28"/>
    <mergeCell ref="W28:AC28"/>
    <mergeCell ref="K29:N29"/>
    <mergeCell ref="O29:P29"/>
    <mergeCell ref="Q29:R29"/>
    <mergeCell ref="S29:T29"/>
    <mergeCell ref="U29:V29"/>
    <mergeCell ref="W29:AC29"/>
    <mergeCell ref="K27:N27"/>
    <mergeCell ref="O27:P27"/>
    <mergeCell ref="Q27:R27"/>
    <mergeCell ref="S27:T27"/>
    <mergeCell ref="U27:V27"/>
    <mergeCell ref="W27:AC27"/>
    <mergeCell ref="K19:N19"/>
    <mergeCell ref="O19:P19"/>
    <mergeCell ref="Q19:R19"/>
    <mergeCell ref="S19:T19"/>
    <mergeCell ref="U19:V19"/>
    <mergeCell ref="W19:AC19"/>
    <mergeCell ref="W25:AC25"/>
    <mergeCell ref="K24:N24"/>
    <mergeCell ref="O24:P24"/>
    <mergeCell ref="Q24:R24"/>
    <mergeCell ref="S24:T24"/>
    <mergeCell ref="U24:V24"/>
    <mergeCell ref="W24:AC24"/>
    <mergeCell ref="K23:N23"/>
    <mergeCell ref="O23:P23"/>
    <mergeCell ref="Q23:R23"/>
    <mergeCell ref="S23:T23"/>
    <mergeCell ref="U23:V23"/>
    <mergeCell ref="K18:N18"/>
    <mergeCell ref="O18:P18"/>
    <mergeCell ref="Q18:R18"/>
    <mergeCell ref="S18:T18"/>
    <mergeCell ref="U18:V18"/>
    <mergeCell ref="W18:AC18"/>
    <mergeCell ref="K16:N16"/>
    <mergeCell ref="O16:P16"/>
    <mergeCell ref="Q16:R16"/>
    <mergeCell ref="S16:T16"/>
    <mergeCell ref="U16:V16"/>
    <mergeCell ref="W16:AC16"/>
    <mergeCell ref="K17:N17"/>
    <mergeCell ref="O17:P17"/>
    <mergeCell ref="Q17:R17"/>
    <mergeCell ref="S17:T17"/>
    <mergeCell ref="U17:V17"/>
    <mergeCell ref="W17:AC17"/>
    <mergeCell ref="K15:N15"/>
    <mergeCell ref="O15:P15"/>
    <mergeCell ref="Q15:R15"/>
    <mergeCell ref="S15:T15"/>
    <mergeCell ref="U15:V15"/>
    <mergeCell ref="W15:AC15"/>
    <mergeCell ref="O14:P14"/>
    <mergeCell ref="K14:N14"/>
    <mergeCell ref="Q14:R14"/>
    <mergeCell ref="S14:T14"/>
    <mergeCell ref="U14:V14"/>
    <mergeCell ref="W14:AC14"/>
    <mergeCell ref="O13:P13"/>
    <mergeCell ref="Q13:R13"/>
    <mergeCell ref="S13:T13"/>
    <mergeCell ref="U13:V13"/>
    <mergeCell ref="W13:AC13"/>
    <mergeCell ref="K11:N11"/>
    <mergeCell ref="O11:P11"/>
    <mergeCell ref="Q11:R11"/>
    <mergeCell ref="S11:T11"/>
    <mergeCell ref="U11:V11"/>
    <mergeCell ref="W11:AC11"/>
    <mergeCell ref="K12:N12"/>
    <mergeCell ref="O12:P12"/>
    <mergeCell ref="Q12:R12"/>
    <mergeCell ref="S12:T12"/>
    <mergeCell ref="U12:V12"/>
    <mergeCell ref="W12:AC12"/>
    <mergeCell ref="B30:AC30"/>
    <mergeCell ref="B31:AC31"/>
    <mergeCell ref="B32:AC33"/>
    <mergeCell ref="B20:AC20"/>
    <mergeCell ref="B21:E21"/>
    <mergeCell ref="F21:AC21"/>
    <mergeCell ref="C22:J22"/>
    <mergeCell ref="K22:N22"/>
    <mergeCell ref="O22:P22"/>
    <mergeCell ref="Q22:R22"/>
    <mergeCell ref="S22:T22"/>
    <mergeCell ref="U22:V22"/>
    <mergeCell ref="W22:AC22"/>
    <mergeCell ref="K26:N26"/>
    <mergeCell ref="O26:P26"/>
    <mergeCell ref="Q26:R26"/>
    <mergeCell ref="S26:T26"/>
    <mergeCell ref="U26:V26"/>
    <mergeCell ref="W26:AC26"/>
    <mergeCell ref="K25:N25"/>
    <mergeCell ref="O25:P25"/>
    <mergeCell ref="Q25:R25"/>
    <mergeCell ref="S25:T25"/>
    <mergeCell ref="U25:V25"/>
    <mergeCell ref="W23:AC23"/>
    <mergeCell ref="B6:AB6"/>
    <mergeCell ref="B7:E7"/>
    <mergeCell ref="F7:AC7"/>
    <mergeCell ref="C8:J8"/>
    <mergeCell ref="K8:N8"/>
    <mergeCell ref="O8:P8"/>
    <mergeCell ref="Q8:R8"/>
    <mergeCell ref="S8:T8"/>
    <mergeCell ref="U8:V8"/>
    <mergeCell ref="W8:AC8"/>
    <mergeCell ref="K9:N9"/>
    <mergeCell ref="O9:P9"/>
    <mergeCell ref="Q9:R9"/>
    <mergeCell ref="S9:T9"/>
    <mergeCell ref="U9:V9"/>
    <mergeCell ref="W9:AC9"/>
    <mergeCell ref="K10:N10"/>
    <mergeCell ref="O10:P10"/>
    <mergeCell ref="Q10:R10"/>
    <mergeCell ref="S10:T10"/>
    <mergeCell ref="U10:V10"/>
    <mergeCell ref="W10:AC10"/>
    <mergeCell ref="K13:N13"/>
    <mergeCell ref="B4:D4"/>
    <mergeCell ref="E4:N4"/>
    <mergeCell ref="O4:Q4"/>
    <mergeCell ref="R4:AC4"/>
    <mergeCell ref="B5:D5"/>
    <mergeCell ref="E5:N5"/>
    <mergeCell ref="O5:Q5"/>
    <mergeCell ref="R5:AC5"/>
    <mergeCell ref="B2:D2"/>
    <mergeCell ref="E2:N2"/>
    <mergeCell ref="O2:Q2"/>
    <mergeCell ref="R2:AC2"/>
    <mergeCell ref="B3:D3"/>
    <mergeCell ref="E3:AC3"/>
  </mergeCells>
  <phoneticPr fontId="1" type="noConversion"/>
  <hyperlinks>
    <hyperlink ref="A1" location="ERP_인터페이스목록!A1" display="목록"/>
  </hyperlinks>
  <pageMargins left="0.23622047244094491" right="0.23622047244094491" top="0.23622047244094491" bottom="0.23622047244094491" header="0" footer="0"/>
  <pageSetup paperSize="9" scale="93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B1:L59"/>
  <sheetViews>
    <sheetView topLeftCell="A10" zoomScaleNormal="100" workbookViewId="0">
      <selection activeCell="G37" sqref="G37"/>
    </sheetView>
  </sheetViews>
  <sheetFormatPr defaultRowHeight="16.5"/>
  <cols>
    <col min="1" max="1" width="1.375" customWidth="1"/>
    <col min="2" max="2" width="7.375" customWidth="1"/>
    <col min="3" max="3" width="16.25" customWidth="1"/>
    <col min="4" max="4" width="7.125" customWidth="1"/>
    <col min="6" max="6" width="31.375" bestFit="1" customWidth="1"/>
    <col min="7" max="7" width="20.5" bestFit="1" customWidth="1"/>
    <col min="8" max="8" width="17.625" customWidth="1"/>
    <col min="9" max="9" width="22.75" customWidth="1"/>
    <col min="10" max="10" width="33.5" customWidth="1"/>
    <col min="11" max="11" width="30.25" customWidth="1"/>
    <col min="12" max="12" width="39.125" customWidth="1"/>
  </cols>
  <sheetData>
    <row r="1" spans="2:12" s="48" customFormat="1">
      <c r="B1" s="64" t="s">
        <v>38</v>
      </c>
    </row>
    <row r="2" spans="2:12" ht="7.15" customHeight="1"/>
    <row r="3" spans="2:12" ht="26.25">
      <c r="B3" s="658" t="s">
        <v>779</v>
      </c>
      <c r="C3" s="659"/>
      <c r="D3" s="659"/>
      <c r="E3" s="659"/>
      <c r="F3" s="659"/>
      <c r="G3" s="659"/>
      <c r="H3" s="659"/>
      <c r="I3" s="659"/>
      <c r="J3" s="659"/>
      <c r="K3" s="659"/>
      <c r="L3" s="660"/>
    </row>
    <row r="4" spans="2:12" ht="10.9" customHeight="1"/>
    <row r="5" spans="2:12">
      <c r="B5" s="649" t="s">
        <v>857</v>
      </c>
      <c r="C5" s="649"/>
      <c r="D5" s="661">
        <v>1</v>
      </c>
      <c r="E5" s="661"/>
      <c r="F5" s="661"/>
      <c r="G5" s="661"/>
      <c r="H5" s="661"/>
      <c r="I5" s="189" t="s">
        <v>858</v>
      </c>
      <c r="J5" s="652" t="s">
        <v>859</v>
      </c>
      <c r="K5" s="653"/>
      <c r="L5" s="654"/>
    </row>
    <row r="6" spans="2:12">
      <c r="B6" s="650" t="s">
        <v>860</v>
      </c>
      <c r="C6" s="651"/>
      <c r="D6" s="652" t="s">
        <v>148</v>
      </c>
      <c r="E6" s="653"/>
      <c r="F6" s="653"/>
      <c r="G6" s="653"/>
      <c r="H6" s="654"/>
      <c r="I6" s="189" t="s">
        <v>593</v>
      </c>
      <c r="J6" s="652" t="s">
        <v>861</v>
      </c>
      <c r="K6" s="653"/>
      <c r="L6" s="654"/>
    </row>
    <row r="7" spans="2:12">
      <c r="B7" s="650" t="s">
        <v>862</v>
      </c>
      <c r="C7" s="651"/>
      <c r="D7" s="652" t="s">
        <v>569</v>
      </c>
      <c r="E7" s="653"/>
      <c r="F7" s="653"/>
      <c r="G7" s="653"/>
      <c r="H7" s="654"/>
      <c r="I7" s="189" t="s">
        <v>863</v>
      </c>
      <c r="J7" s="652" t="s">
        <v>138</v>
      </c>
      <c r="K7" s="653"/>
      <c r="L7" s="654"/>
    </row>
    <row r="8" spans="2:12">
      <c r="B8" s="650" t="s">
        <v>864</v>
      </c>
      <c r="C8" s="651"/>
      <c r="D8" s="655" t="s">
        <v>1339</v>
      </c>
      <c r="E8" s="656"/>
      <c r="F8" s="656"/>
      <c r="G8" s="656"/>
      <c r="H8" s="656"/>
      <c r="I8" s="656"/>
      <c r="J8" s="656"/>
      <c r="K8" s="656"/>
      <c r="L8" s="657"/>
    </row>
    <row r="9" spans="2:12">
      <c r="B9" s="649" t="s">
        <v>572</v>
      </c>
      <c r="C9" s="649"/>
      <c r="D9" s="648" t="s">
        <v>865</v>
      </c>
      <c r="E9" s="648"/>
      <c r="F9" s="648"/>
      <c r="G9" s="648"/>
      <c r="H9" s="648"/>
      <c r="I9" s="648"/>
      <c r="J9" s="648"/>
      <c r="K9" s="648"/>
      <c r="L9" s="648"/>
    </row>
    <row r="10" spans="2:12" ht="37.15" customHeight="1">
      <c r="B10" s="649" t="s">
        <v>780</v>
      </c>
      <c r="C10" s="649"/>
      <c r="D10" s="648"/>
      <c r="E10" s="648"/>
      <c r="F10" s="648"/>
      <c r="G10" s="648"/>
      <c r="H10" s="648"/>
      <c r="I10" s="648"/>
      <c r="J10" s="648"/>
      <c r="K10" s="648"/>
      <c r="L10" s="648"/>
    </row>
    <row r="12" spans="2:12">
      <c r="B12" s="647" t="s">
        <v>866</v>
      </c>
      <c r="C12" s="647"/>
      <c r="D12" s="647"/>
      <c r="E12" s="647"/>
      <c r="F12" s="647"/>
      <c r="G12" s="647"/>
      <c r="H12" s="647"/>
      <c r="I12" s="647"/>
      <c r="J12" s="647"/>
      <c r="K12" s="647"/>
      <c r="L12" s="647"/>
    </row>
    <row r="13" spans="2:12">
      <c r="B13" s="130" t="s">
        <v>867</v>
      </c>
      <c r="C13" s="131" t="s">
        <v>49</v>
      </c>
      <c r="D13" s="130" t="s">
        <v>868</v>
      </c>
      <c r="E13" s="130" t="s">
        <v>574</v>
      </c>
      <c r="F13" s="130"/>
      <c r="G13" s="130"/>
      <c r="H13" s="131" t="s">
        <v>575</v>
      </c>
      <c r="I13" s="131" t="s">
        <v>562</v>
      </c>
      <c r="J13" s="131" t="s">
        <v>869</v>
      </c>
      <c r="K13" s="131" t="s">
        <v>870</v>
      </c>
      <c r="L13" s="131" t="s">
        <v>102</v>
      </c>
    </row>
    <row r="14" spans="2:12">
      <c r="B14" s="191">
        <v>1</v>
      </c>
      <c r="C14" s="190" t="s">
        <v>565</v>
      </c>
      <c r="D14" s="191"/>
      <c r="E14" s="191" t="s">
        <v>174</v>
      </c>
      <c r="F14" s="191"/>
      <c r="G14" s="191"/>
      <c r="H14" s="190" t="s">
        <v>785</v>
      </c>
      <c r="I14" s="190" t="s">
        <v>786</v>
      </c>
      <c r="J14" s="190"/>
      <c r="K14" s="190" t="s">
        <v>871</v>
      </c>
      <c r="L14" s="190"/>
    </row>
    <row r="15" spans="2:12">
      <c r="B15" s="191">
        <v>2</v>
      </c>
      <c r="C15" s="190" t="s">
        <v>597</v>
      </c>
      <c r="D15" s="191"/>
      <c r="E15" s="191" t="s">
        <v>174</v>
      </c>
      <c r="F15" s="191"/>
      <c r="G15" s="191"/>
      <c r="H15" s="190" t="s">
        <v>598</v>
      </c>
      <c r="I15" s="190" t="s">
        <v>872</v>
      </c>
      <c r="J15" s="190"/>
      <c r="K15" s="190"/>
      <c r="L15" s="190"/>
    </row>
    <row r="17" spans="2:12">
      <c r="B17" s="647" t="s">
        <v>873</v>
      </c>
      <c r="C17" s="647"/>
      <c r="D17" s="647"/>
      <c r="E17" s="647"/>
      <c r="F17" s="647"/>
      <c r="G17" s="647"/>
      <c r="H17" s="647"/>
      <c r="I17" s="647"/>
      <c r="J17" s="647"/>
      <c r="K17" s="647"/>
      <c r="L17" s="647"/>
    </row>
    <row r="18" spans="2:12">
      <c r="B18" s="130" t="s">
        <v>874</v>
      </c>
      <c r="C18" s="131" t="s">
        <v>49</v>
      </c>
      <c r="D18" s="130" t="s">
        <v>595</v>
      </c>
      <c r="E18" s="130" t="s">
        <v>574</v>
      </c>
      <c r="F18" s="130"/>
      <c r="G18" s="130"/>
      <c r="H18" s="131" t="s">
        <v>575</v>
      </c>
      <c r="I18" s="131" t="s">
        <v>875</v>
      </c>
      <c r="J18" s="131" t="s">
        <v>205</v>
      </c>
      <c r="K18" s="131" t="s">
        <v>596</v>
      </c>
      <c r="L18" s="131" t="s">
        <v>102</v>
      </c>
    </row>
    <row r="19" spans="2:12">
      <c r="B19" s="191">
        <v>1</v>
      </c>
      <c r="C19" s="190" t="s">
        <v>876</v>
      </c>
      <c r="D19" s="191">
        <v>255</v>
      </c>
      <c r="E19" s="191" t="s">
        <v>877</v>
      </c>
      <c r="F19" s="191"/>
      <c r="G19" s="191"/>
      <c r="H19" s="190" t="s">
        <v>878</v>
      </c>
      <c r="I19" s="190" t="s">
        <v>879</v>
      </c>
      <c r="J19" s="190" t="s">
        <v>880</v>
      </c>
      <c r="K19" s="190">
        <v>200</v>
      </c>
      <c r="L19" s="190" t="s">
        <v>881</v>
      </c>
    </row>
    <row r="20" spans="2:12">
      <c r="B20" s="191">
        <v>2</v>
      </c>
      <c r="C20" s="190" t="s">
        <v>800</v>
      </c>
      <c r="D20" s="191">
        <v>255</v>
      </c>
      <c r="E20" s="191" t="s">
        <v>882</v>
      </c>
      <c r="F20" s="191"/>
      <c r="G20" s="191"/>
      <c r="H20" s="190" t="s">
        <v>883</v>
      </c>
      <c r="I20" s="190" t="s">
        <v>884</v>
      </c>
      <c r="J20" s="190" t="s">
        <v>885</v>
      </c>
      <c r="K20" s="190" t="s">
        <v>602</v>
      </c>
      <c r="L20" s="132" t="s">
        <v>886</v>
      </c>
    </row>
    <row r="21" spans="2:12" ht="33">
      <c r="B21" s="191">
        <v>3</v>
      </c>
      <c r="C21" s="190" t="s">
        <v>887</v>
      </c>
      <c r="D21" s="191"/>
      <c r="E21" s="191" t="s">
        <v>804</v>
      </c>
      <c r="F21" s="191"/>
      <c r="G21" s="191"/>
      <c r="H21" s="190" t="s">
        <v>888</v>
      </c>
      <c r="I21" s="190" t="s">
        <v>889</v>
      </c>
      <c r="J21" s="132" t="s">
        <v>890</v>
      </c>
      <c r="K21" s="190"/>
      <c r="L21" s="190"/>
    </row>
    <row r="23" spans="2:12">
      <c r="B23" s="647" t="s">
        <v>891</v>
      </c>
      <c r="C23" s="647"/>
      <c r="D23" s="647"/>
      <c r="E23" s="647"/>
      <c r="F23" s="647"/>
      <c r="G23" s="647"/>
      <c r="H23" s="647"/>
      <c r="I23" s="647"/>
      <c r="J23" s="647"/>
      <c r="K23" s="647"/>
      <c r="L23" s="647"/>
    </row>
    <row r="24" spans="2:12">
      <c r="B24" s="130" t="s">
        <v>874</v>
      </c>
      <c r="C24" s="131" t="s">
        <v>796</v>
      </c>
      <c r="D24" s="130" t="s">
        <v>892</v>
      </c>
      <c r="E24" s="130" t="s">
        <v>893</v>
      </c>
      <c r="F24" s="193" t="s">
        <v>894</v>
      </c>
      <c r="G24" s="193" t="s">
        <v>895</v>
      </c>
      <c r="H24" s="131" t="s">
        <v>896</v>
      </c>
      <c r="I24" s="131" t="s">
        <v>875</v>
      </c>
      <c r="J24" s="131" t="s">
        <v>897</v>
      </c>
      <c r="K24" s="131" t="s">
        <v>596</v>
      </c>
      <c r="L24" s="131" t="s">
        <v>898</v>
      </c>
    </row>
    <row r="25" spans="2:12">
      <c r="B25" s="235">
        <v>1</v>
      </c>
      <c r="C25" s="236" t="s">
        <v>1358</v>
      </c>
      <c r="D25" s="235">
        <v>255</v>
      </c>
      <c r="E25" s="235" t="s">
        <v>1359</v>
      </c>
      <c r="F25" s="236"/>
      <c r="G25" s="236"/>
      <c r="H25" s="236" t="s">
        <v>1360</v>
      </c>
      <c r="I25" s="236" t="s">
        <v>1362</v>
      </c>
      <c r="J25" s="236" t="s">
        <v>1362</v>
      </c>
      <c r="K25" s="236"/>
      <c r="L25" s="236"/>
    </row>
    <row r="26" spans="2:12">
      <c r="B26" s="191">
        <v>2</v>
      </c>
      <c r="C26" s="190" t="s">
        <v>800</v>
      </c>
      <c r="D26" s="191">
        <v>255</v>
      </c>
      <c r="E26" s="191" t="s">
        <v>899</v>
      </c>
      <c r="F26" s="190" t="s">
        <v>900</v>
      </c>
      <c r="G26" s="225" t="s">
        <v>1355</v>
      </c>
      <c r="H26" s="190" t="s">
        <v>603</v>
      </c>
      <c r="I26" s="190" t="s">
        <v>901</v>
      </c>
      <c r="J26" s="190" t="s">
        <v>902</v>
      </c>
      <c r="K26" s="190" t="s">
        <v>903</v>
      </c>
      <c r="L26" s="190"/>
    </row>
    <row r="27" spans="2:12" ht="82.5">
      <c r="B27" s="235">
        <v>3</v>
      </c>
      <c r="C27" s="190" t="s">
        <v>904</v>
      </c>
      <c r="D27" s="191">
        <v>255</v>
      </c>
      <c r="E27" s="191" t="s">
        <v>899</v>
      </c>
      <c r="F27" s="190" t="s">
        <v>905</v>
      </c>
      <c r="G27" s="190" t="s">
        <v>906</v>
      </c>
      <c r="H27" s="190" t="s">
        <v>852</v>
      </c>
      <c r="I27" s="190" t="s">
        <v>907</v>
      </c>
      <c r="J27" s="132" t="s">
        <v>853</v>
      </c>
      <c r="K27" s="190" t="s">
        <v>802</v>
      </c>
      <c r="L27" s="194" t="s">
        <v>803</v>
      </c>
    </row>
    <row r="28" spans="2:12">
      <c r="B28" s="235">
        <v>4</v>
      </c>
      <c r="C28" s="190" t="s">
        <v>800</v>
      </c>
      <c r="D28" s="191">
        <v>10</v>
      </c>
      <c r="E28" s="191" t="s">
        <v>804</v>
      </c>
      <c r="F28" s="195" t="s">
        <v>900</v>
      </c>
      <c r="G28" s="195" t="s">
        <v>908</v>
      </c>
      <c r="H28" s="195" t="s">
        <v>909</v>
      </c>
      <c r="I28" s="195" t="s">
        <v>576</v>
      </c>
      <c r="J28" s="190" t="s">
        <v>910</v>
      </c>
      <c r="K28" s="133">
        <v>45870</v>
      </c>
      <c r="L28" s="132" t="s">
        <v>805</v>
      </c>
    </row>
    <row r="29" spans="2:12">
      <c r="B29" s="235">
        <v>5</v>
      </c>
      <c r="C29" s="190" t="s">
        <v>911</v>
      </c>
      <c r="D29" s="191">
        <v>255</v>
      </c>
      <c r="E29" s="191" t="s">
        <v>804</v>
      </c>
      <c r="F29" s="190" t="s">
        <v>900</v>
      </c>
      <c r="G29" s="190" t="s">
        <v>912</v>
      </c>
      <c r="H29" s="190" t="s">
        <v>913</v>
      </c>
      <c r="I29" s="190" t="s">
        <v>914</v>
      </c>
      <c r="J29" s="190" t="s">
        <v>915</v>
      </c>
      <c r="K29" s="190">
        <v>1</v>
      </c>
      <c r="L29" s="132" t="s">
        <v>916</v>
      </c>
    </row>
    <row r="30" spans="2:12">
      <c r="B30" s="235">
        <v>6</v>
      </c>
      <c r="C30" s="190" t="s">
        <v>565</v>
      </c>
      <c r="D30" s="191">
        <v>255</v>
      </c>
      <c r="E30" s="191" t="s">
        <v>804</v>
      </c>
      <c r="F30" s="190" t="s">
        <v>917</v>
      </c>
      <c r="G30" s="190" t="s">
        <v>809</v>
      </c>
      <c r="H30" s="190" t="s">
        <v>810</v>
      </c>
      <c r="I30" s="190" t="s">
        <v>918</v>
      </c>
      <c r="J30" s="190" t="s">
        <v>581</v>
      </c>
      <c r="K30" s="196" t="s">
        <v>811</v>
      </c>
      <c r="L30" s="190"/>
    </row>
    <row r="31" spans="2:12">
      <c r="B31" s="235">
        <v>7</v>
      </c>
      <c r="C31" s="190" t="s">
        <v>904</v>
      </c>
      <c r="D31" s="191">
        <v>255</v>
      </c>
      <c r="E31" s="191" t="s">
        <v>804</v>
      </c>
      <c r="F31" s="190" t="s">
        <v>919</v>
      </c>
      <c r="G31" s="190" t="s">
        <v>920</v>
      </c>
      <c r="H31" s="190" t="s">
        <v>921</v>
      </c>
      <c r="I31" s="190" t="s">
        <v>813</v>
      </c>
      <c r="J31" s="190" t="s">
        <v>922</v>
      </c>
      <c r="K31" s="190" t="s">
        <v>923</v>
      </c>
      <c r="L31" s="190"/>
    </row>
    <row r="32" spans="2:12">
      <c r="B32" s="235">
        <v>8</v>
      </c>
      <c r="C32" s="190" t="s">
        <v>565</v>
      </c>
      <c r="D32" s="197">
        <v>500</v>
      </c>
      <c r="E32" s="191" t="s">
        <v>804</v>
      </c>
      <c r="F32" s="190" t="s">
        <v>919</v>
      </c>
      <c r="G32" s="190" t="s">
        <v>924</v>
      </c>
      <c r="H32" s="190" t="s">
        <v>925</v>
      </c>
      <c r="I32" s="190" t="s">
        <v>814</v>
      </c>
      <c r="J32" s="190" t="s">
        <v>926</v>
      </c>
      <c r="K32" s="190" t="s">
        <v>927</v>
      </c>
      <c r="L32" s="190"/>
    </row>
    <row r="33" spans="2:12">
      <c r="B33" s="235">
        <v>9</v>
      </c>
      <c r="C33" s="190" t="s">
        <v>928</v>
      </c>
      <c r="D33" s="191">
        <v>255</v>
      </c>
      <c r="E33" s="191" t="s">
        <v>804</v>
      </c>
      <c r="F33" s="190" t="s">
        <v>843</v>
      </c>
      <c r="G33" s="190" t="s">
        <v>929</v>
      </c>
      <c r="H33" s="190" t="s">
        <v>816</v>
      </c>
      <c r="I33" s="190" t="s">
        <v>930</v>
      </c>
      <c r="J33" s="190" t="s">
        <v>930</v>
      </c>
      <c r="K33" s="190" t="s">
        <v>931</v>
      </c>
      <c r="L33" s="190"/>
    </row>
    <row r="34" spans="2:12">
      <c r="B34" s="235">
        <v>10</v>
      </c>
      <c r="C34" s="190" t="s">
        <v>800</v>
      </c>
      <c r="D34" s="191">
        <v>255</v>
      </c>
      <c r="E34" s="191" t="s">
        <v>804</v>
      </c>
      <c r="F34" s="190" t="s">
        <v>834</v>
      </c>
      <c r="G34" s="190" t="s">
        <v>932</v>
      </c>
      <c r="H34" s="190" t="s">
        <v>585</v>
      </c>
      <c r="I34" s="190" t="s">
        <v>822</v>
      </c>
      <c r="J34" s="190" t="s">
        <v>822</v>
      </c>
      <c r="K34" s="190" t="s">
        <v>933</v>
      </c>
      <c r="L34" s="190"/>
    </row>
    <row r="35" spans="2:12">
      <c r="B35" s="235">
        <v>11</v>
      </c>
      <c r="C35" s="190" t="s">
        <v>800</v>
      </c>
      <c r="D35" s="191">
        <v>255</v>
      </c>
      <c r="E35" s="191" t="s">
        <v>804</v>
      </c>
      <c r="F35" s="190" t="s">
        <v>820</v>
      </c>
      <c r="G35" s="190" t="s">
        <v>934</v>
      </c>
      <c r="H35" s="190" t="s">
        <v>935</v>
      </c>
      <c r="I35" s="190" t="s">
        <v>823</v>
      </c>
      <c r="J35" s="190" t="s">
        <v>823</v>
      </c>
      <c r="K35" s="190" t="s">
        <v>824</v>
      </c>
      <c r="L35" s="190"/>
    </row>
    <row r="36" spans="2:12">
      <c r="B36" s="235">
        <v>12</v>
      </c>
      <c r="C36" s="190" t="s">
        <v>936</v>
      </c>
      <c r="D36" s="191">
        <v>255</v>
      </c>
      <c r="E36" s="191" t="s">
        <v>877</v>
      </c>
      <c r="F36" s="190" t="s">
        <v>834</v>
      </c>
      <c r="G36" s="190" t="s">
        <v>1335</v>
      </c>
      <c r="H36" s="190" t="s">
        <v>937</v>
      </c>
      <c r="I36" s="190" t="s">
        <v>938</v>
      </c>
      <c r="J36" s="190" t="s">
        <v>938</v>
      </c>
      <c r="K36" s="190" t="s">
        <v>586</v>
      </c>
      <c r="L36" s="132" t="s">
        <v>939</v>
      </c>
    </row>
    <row r="37" spans="2:12">
      <c r="B37" s="235">
        <v>13</v>
      </c>
      <c r="C37" s="190" t="s">
        <v>565</v>
      </c>
      <c r="D37" s="191">
        <v>255</v>
      </c>
      <c r="E37" s="191" t="s">
        <v>804</v>
      </c>
      <c r="F37" s="190" t="s">
        <v>834</v>
      </c>
      <c r="G37" s="192" t="s">
        <v>1337</v>
      </c>
      <c r="H37" s="190" t="s">
        <v>940</v>
      </c>
      <c r="I37" s="190" t="s">
        <v>826</v>
      </c>
      <c r="J37" s="190" t="s">
        <v>941</v>
      </c>
      <c r="K37" s="190" t="s">
        <v>942</v>
      </c>
      <c r="L37" s="132" t="s">
        <v>916</v>
      </c>
    </row>
    <row r="38" spans="2:12" ht="33">
      <c r="B38" s="235">
        <v>14</v>
      </c>
      <c r="C38" s="190" t="s">
        <v>800</v>
      </c>
      <c r="D38" s="191">
        <v>255</v>
      </c>
      <c r="E38" s="191" t="s">
        <v>943</v>
      </c>
      <c r="F38" s="190" t="s">
        <v>834</v>
      </c>
      <c r="G38" s="190" t="s">
        <v>828</v>
      </c>
      <c r="H38" s="190" t="s">
        <v>944</v>
      </c>
      <c r="I38" s="190" t="s">
        <v>829</v>
      </c>
      <c r="J38" s="190" t="s">
        <v>829</v>
      </c>
      <c r="K38" s="190" t="s">
        <v>830</v>
      </c>
      <c r="L38" s="132" t="s">
        <v>945</v>
      </c>
    </row>
    <row r="39" spans="2:12">
      <c r="B39" s="235">
        <v>15</v>
      </c>
      <c r="C39" s="190" t="s">
        <v>800</v>
      </c>
      <c r="D39" s="191">
        <v>255</v>
      </c>
      <c r="E39" s="191" t="s">
        <v>174</v>
      </c>
      <c r="F39" s="190" t="s">
        <v>820</v>
      </c>
      <c r="G39" s="190" t="s">
        <v>1336</v>
      </c>
      <c r="H39" s="190" t="s">
        <v>946</v>
      </c>
      <c r="I39" s="190" t="s">
        <v>832</v>
      </c>
      <c r="J39" s="190" t="s">
        <v>832</v>
      </c>
      <c r="K39" s="190" t="s">
        <v>587</v>
      </c>
      <c r="L39" s="190" t="s">
        <v>947</v>
      </c>
    </row>
    <row r="40" spans="2:12">
      <c r="B40" s="235">
        <v>16</v>
      </c>
      <c r="C40" s="190" t="s">
        <v>948</v>
      </c>
      <c r="D40" s="191"/>
      <c r="E40" s="191" t="s">
        <v>804</v>
      </c>
      <c r="F40" s="190" t="s">
        <v>834</v>
      </c>
      <c r="G40" s="190" t="s">
        <v>949</v>
      </c>
      <c r="H40" s="190" t="s">
        <v>835</v>
      </c>
      <c r="I40" s="190" t="s">
        <v>950</v>
      </c>
      <c r="J40" s="190" t="s">
        <v>950</v>
      </c>
      <c r="K40" s="190">
        <v>20</v>
      </c>
      <c r="L40" s="190"/>
    </row>
    <row r="41" spans="2:12">
      <c r="B41" s="235">
        <v>17</v>
      </c>
      <c r="C41" s="190" t="s">
        <v>951</v>
      </c>
      <c r="D41" s="190"/>
      <c r="E41" s="191" t="s">
        <v>804</v>
      </c>
      <c r="F41" s="195"/>
      <c r="G41" s="195" t="s">
        <v>952</v>
      </c>
      <c r="H41" s="195" t="s">
        <v>953</v>
      </c>
      <c r="I41" s="195" t="s">
        <v>954</v>
      </c>
      <c r="J41" s="190" t="s">
        <v>955</v>
      </c>
      <c r="K41" s="190">
        <v>2790</v>
      </c>
      <c r="L41" s="190" t="s">
        <v>838</v>
      </c>
    </row>
    <row r="42" spans="2:12">
      <c r="B42" s="235">
        <v>18</v>
      </c>
      <c r="C42" s="190" t="s">
        <v>956</v>
      </c>
      <c r="D42" s="190"/>
      <c r="E42" s="191" t="s">
        <v>957</v>
      </c>
      <c r="F42" s="195" t="s">
        <v>958</v>
      </c>
      <c r="G42" s="195" t="s">
        <v>959</v>
      </c>
      <c r="H42" s="195" t="s">
        <v>960</v>
      </c>
      <c r="I42" s="195" t="s">
        <v>961</v>
      </c>
      <c r="J42" s="190" t="s">
        <v>962</v>
      </c>
      <c r="K42" s="190">
        <v>558</v>
      </c>
      <c r="L42" s="190" t="s">
        <v>963</v>
      </c>
    </row>
    <row r="43" spans="2:12">
      <c r="B43" s="235">
        <v>19</v>
      </c>
      <c r="C43" s="190" t="s">
        <v>956</v>
      </c>
      <c r="D43" s="190"/>
      <c r="E43" s="191" t="s">
        <v>964</v>
      </c>
      <c r="F43" s="195" t="s">
        <v>965</v>
      </c>
      <c r="G43" s="195" t="s">
        <v>966</v>
      </c>
      <c r="H43" s="195" t="s">
        <v>967</v>
      </c>
      <c r="I43" s="195" t="s">
        <v>968</v>
      </c>
      <c r="J43" s="190" t="s">
        <v>969</v>
      </c>
      <c r="K43" s="190">
        <v>565</v>
      </c>
      <c r="L43" s="190" t="s">
        <v>970</v>
      </c>
    </row>
    <row r="44" spans="2:12">
      <c r="B44" s="235">
        <v>20</v>
      </c>
      <c r="C44" s="190" t="s">
        <v>971</v>
      </c>
      <c r="D44" s="190"/>
      <c r="E44" s="191" t="s">
        <v>972</v>
      </c>
      <c r="F44" s="195" t="s">
        <v>973</v>
      </c>
      <c r="G44" s="195" t="s">
        <v>974</v>
      </c>
      <c r="H44" s="195" t="s">
        <v>975</v>
      </c>
      <c r="I44" s="195" t="s">
        <v>976</v>
      </c>
      <c r="J44" s="190" t="s">
        <v>977</v>
      </c>
      <c r="K44" s="190">
        <v>415</v>
      </c>
      <c r="L44" s="190" t="s">
        <v>978</v>
      </c>
    </row>
    <row r="45" spans="2:12">
      <c r="B45" s="235">
        <v>21</v>
      </c>
      <c r="C45" s="190" t="s">
        <v>979</v>
      </c>
      <c r="D45" s="190"/>
      <c r="E45" s="191" t="s">
        <v>957</v>
      </c>
      <c r="F45" s="195" t="s">
        <v>965</v>
      </c>
      <c r="G45" s="195" t="s">
        <v>980</v>
      </c>
      <c r="H45" s="195" t="s">
        <v>981</v>
      </c>
      <c r="I45" s="195" t="s">
        <v>982</v>
      </c>
      <c r="J45" s="190" t="s">
        <v>983</v>
      </c>
      <c r="K45" s="190">
        <v>180</v>
      </c>
      <c r="L45" s="190" t="s">
        <v>984</v>
      </c>
    </row>
    <row r="46" spans="2:12">
      <c r="B46" s="235">
        <v>22</v>
      </c>
      <c r="C46" s="190" t="s">
        <v>985</v>
      </c>
      <c r="D46" s="190"/>
      <c r="E46" s="191" t="s">
        <v>899</v>
      </c>
      <c r="F46" s="190" t="s">
        <v>986</v>
      </c>
      <c r="G46" s="190" t="s">
        <v>987</v>
      </c>
      <c r="H46" s="190" t="s">
        <v>988</v>
      </c>
      <c r="I46" s="190" t="s">
        <v>989</v>
      </c>
      <c r="J46" s="190" t="s">
        <v>989</v>
      </c>
      <c r="K46" s="190">
        <v>5</v>
      </c>
      <c r="L46" s="190" t="s">
        <v>990</v>
      </c>
    </row>
    <row r="47" spans="2:12" ht="33">
      <c r="B47" s="235">
        <v>23</v>
      </c>
      <c r="C47" s="190" t="s">
        <v>991</v>
      </c>
      <c r="D47" s="190"/>
      <c r="E47" s="191" t="s">
        <v>877</v>
      </c>
      <c r="F47" s="224" t="s">
        <v>1349</v>
      </c>
      <c r="G47" s="224" t="s">
        <v>1118</v>
      </c>
      <c r="H47" s="190" t="s">
        <v>992</v>
      </c>
      <c r="I47" s="190" t="s">
        <v>846</v>
      </c>
      <c r="J47" s="132" t="s">
        <v>993</v>
      </c>
      <c r="K47" s="138" t="s">
        <v>994</v>
      </c>
      <c r="L47" s="132" t="s">
        <v>995</v>
      </c>
    </row>
    <row r="48" spans="2:12" ht="33">
      <c r="B48" s="235">
        <v>24</v>
      </c>
      <c r="C48" s="190" t="s">
        <v>991</v>
      </c>
      <c r="D48" s="191"/>
      <c r="E48" s="191" t="s">
        <v>877</v>
      </c>
      <c r="F48" s="190" t="s">
        <v>996</v>
      </c>
      <c r="G48" s="190" t="b">
        <v>0</v>
      </c>
      <c r="H48" s="190" t="s">
        <v>997</v>
      </c>
      <c r="I48" s="190" t="s">
        <v>998</v>
      </c>
      <c r="J48" s="132" t="s">
        <v>999</v>
      </c>
      <c r="K48" s="138" t="s">
        <v>849</v>
      </c>
      <c r="L48" s="132" t="s">
        <v>995</v>
      </c>
    </row>
    <row r="49" spans="2:12">
      <c r="B49" s="235">
        <v>25</v>
      </c>
      <c r="C49" s="190" t="s">
        <v>1000</v>
      </c>
      <c r="D49" s="190"/>
      <c r="E49" s="191" t="s">
        <v>877</v>
      </c>
      <c r="F49" s="190" t="s">
        <v>996</v>
      </c>
      <c r="G49" s="190">
        <v>0</v>
      </c>
      <c r="H49" s="190" t="s">
        <v>1001</v>
      </c>
      <c r="I49" s="190" t="s">
        <v>1002</v>
      </c>
      <c r="J49" s="190" t="s">
        <v>1003</v>
      </c>
      <c r="K49" s="190">
        <v>0</v>
      </c>
      <c r="L49" s="190" t="s">
        <v>850</v>
      </c>
    </row>
    <row r="50" spans="2:12"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</row>
    <row r="51" spans="2:12">
      <c r="B51" s="647" t="s">
        <v>1004</v>
      </c>
      <c r="C51" s="647"/>
      <c r="D51" s="647"/>
      <c r="E51" s="647"/>
      <c r="F51" s="647"/>
      <c r="G51" s="647"/>
      <c r="H51" s="647"/>
      <c r="I51" s="647"/>
      <c r="J51" s="647"/>
      <c r="K51" s="647"/>
      <c r="L51" s="647"/>
    </row>
    <row r="52" spans="2:12">
      <c r="B52" s="130" t="s">
        <v>874</v>
      </c>
      <c r="C52" s="131" t="s">
        <v>1005</v>
      </c>
      <c r="D52" s="130" t="s">
        <v>892</v>
      </c>
      <c r="E52" s="130" t="s">
        <v>893</v>
      </c>
      <c r="F52" s="193" t="s">
        <v>894</v>
      </c>
      <c r="G52" s="193" t="s">
        <v>895</v>
      </c>
      <c r="H52" s="131" t="s">
        <v>1006</v>
      </c>
      <c r="I52" s="131" t="s">
        <v>875</v>
      </c>
      <c r="J52" s="131" t="s">
        <v>1007</v>
      </c>
      <c r="K52" s="131" t="s">
        <v>1008</v>
      </c>
      <c r="L52" s="131" t="s">
        <v>898</v>
      </c>
    </row>
    <row r="53" spans="2:12">
      <c r="B53" s="191">
        <v>1</v>
      </c>
      <c r="C53" s="190" t="s">
        <v>991</v>
      </c>
      <c r="D53" s="191"/>
      <c r="E53" s="191" t="s">
        <v>877</v>
      </c>
      <c r="F53" s="195"/>
      <c r="G53" s="195"/>
      <c r="H53" s="190" t="s">
        <v>1009</v>
      </c>
      <c r="I53" s="190" t="s">
        <v>1010</v>
      </c>
      <c r="J53" s="190" t="s">
        <v>1010</v>
      </c>
      <c r="K53" s="138" t="s">
        <v>1011</v>
      </c>
      <c r="L53" s="132" t="s">
        <v>995</v>
      </c>
    </row>
    <row r="54" spans="2:12">
      <c r="B54" s="191">
        <v>2</v>
      </c>
      <c r="C54" s="190" t="s">
        <v>800</v>
      </c>
      <c r="D54" s="191">
        <v>255</v>
      </c>
      <c r="E54" s="191"/>
      <c r="F54" s="195"/>
      <c r="G54" s="195"/>
      <c r="H54" s="190" t="s">
        <v>1012</v>
      </c>
      <c r="I54" s="190" t="s">
        <v>1013</v>
      </c>
      <c r="J54" s="190" t="s">
        <v>1013</v>
      </c>
      <c r="K54" s="190"/>
      <c r="L54" s="132"/>
    </row>
    <row r="55" spans="2:12">
      <c r="B55" s="191">
        <v>3</v>
      </c>
      <c r="C55" s="190" t="s">
        <v>904</v>
      </c>
      <c r="D55" s="191">
        <v>255</v>
      </c>
      <c r="E55" s="191" t="s">
        <v>877</v>
      </c>
      <c r="F55" s="195"/>
      <c r="G55" s="195"/>
      <c r="H55" s="190" t="s">
        <v>1014</v>
      </c>
      <c r="I55" s="190" t="s">
        <v>1015</v>
      </c>
      <c r="J55" s="132" t="s">
        <v>1016</v>
      </c>
      <c r="K55" s="190" t="s">
        <v>802</v>
      </c>
      <c r="L55" s="132"/>
    </row>
    <row r="56" spans="2:12">
      <c r="B56" s="191">
        <v>4</v>
      </c>
      <c r="C56" s="190" t="s">
        <v>904</v>
      </c>
      <c r="D56" s="191">
        <v>32</v>
      </c>
      <c r="E56" s="191"/>
      <c r="F56" s="195" t="s">
        <v>1341</v>
      </c>
      <c r="G56" s="195" t="s">
        <v>1342</v>
      </c>
      <c r="H56" s="190" t="s">
        <v>1017</v>
      </c>
      <c r="I56" s="190" t="s">
        <v>1018</v>
      </c>
      <c r="J56" s="132" t="s">
        <v>1019</v>
      </c>
      <c r="K56" s="138" t="s">
        <v>1020</v>
      </c>
      <c r="L56" s="135" t="s">
        <v>855</v>
      </c>
    </row>
    <row r="59" spans="2:12">
      <c r="B59" s="647" t="s">
        <v>856</v>
      </c>
      <c r="C59" s="647"/>
      <c r="D59" s="647"/>
      <c r="E59" s="647"/>
      <c r="F59" s="647"/>
      <c r="G59" s="647"/>
      <c r="H59" s="647"/>
      <c r="I59" s="647"/>
      <c r="J59" s="647"/>
      <c r="K59" s="647"/>
      <c r="L59" s="647"/>
    </row>
  </sheetData>
  <mergeCells count="21">
    <mergeCell ref="B3:L3"/>
    <mergeCell ref="B5:C5"/>
    <mergeCell ref="D5:H5"/>
    <mergeCell ref="J5:L5"/>
    <mergeCell ref="B6:C6"/>
    <mergeCell ref="D6:H6"/>
    <mergeCell ref="J6:L6"/>
    <mergeCell ref="B7:C7"/>
    <mergeCell ref="D7:H7"/>
    <mergeCell ref="J7:L7"/>
    <mergeCell ref="B8:C8"/>
    <mergeCell ref="D8:L8"/>
    <mergeCell ref="B51:L51"/>
    <mergeCell ref="B59:L59"/>
    <mergeCell ref="D9:L9"/>
    <mergeCell ref="D10:L10"/>
    <mergeCell ref="B12:L12"/>
    <mergeCell ref="B17:L17"/>
    <mergeCell ref="B23:L23"/>
    <mergeCell ref="B9:C9"/>
    <mergeCell ref="B10:C10"/>
  </mergeCells>
  <phoneticPr fontId="1" type="noConversion"/>
  <hyperlinks>
    <hyperlink ref="B1" location="ERP_인터페이스목록!A1" display="목록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B1:L59"/>
  <sheetViews>
    <sheetView workbookViewId="0">
      <selection activeCell="B1" sqref="B1"/>
    </sheetView>
  </sheetViews>
  <sheetFormatPr defaultRowHeight="16.5"/>
  <cols>
    <col min="1" max="1" width="1.375" customWidth="1"/>
    <col min="2" max="2" width="7.375" customWidth="1"/>
    <col min="3" max="3" width="16.25" customWidth="1"/>
    <col min="4" max="4" width="7.125" customWidth="1"/>
    <col min="6" max="6" width="31.375" bestFit="1" customWidth="1"/>
    <col min="7" max="7" width="20.5" bestFit="1" customWidth="1"/>
    <col min="8" max="8" width="17.625" customWidth="1"/>
    <col min="9" max="9" width="22.75" customWidth="1"/>
    <col min="10" max="10" width="33.5" customWidth="1"/>
    <col min="11" max="11" width="30.25" customWidth="1"/>
    <col min="12" max="12" width="39.125" customWidth="1"/>
  </cols>
  <sheetData>
    <row r="1" spans="2:12" s="48" customFormat="1">
      <c r="B1" s="64" t="s">
        <v>38</v>
      </c>
    </row>
    <row r="2" spans="2:12" ht="7.15" customHeight="1"/>
    <row r="3" spans="2:12" ht="26.25">
      <c r="B3" s="658" t="s">
        <v>1021</v>
      </c>
      <c r="C3" s="659"/>
      <c r="D3" s="659"/>
      <c r="E3" s="659"/>
      <c r="F3" s="659"/>
      <c r="G3" s="659"/>
      <c r="H3" s="659"/>
      <c r="I3" s="659"/>
      <c r="J3" s="659"/>
      <c r="K3" s="659"/>
      <c r="L3" s="660"/>
    </row>
    <row r="4" spans="2:12" ht="10.9" customHeight="1"/>
    <row r="5" spans="2:12">
      <c r="B5" s="649" t="s">
        <v>1022</v>
      </c>
      <c r="C5" s="649"/>
      <c r="D5" s="661">
        <v>2</v>
      </c>
      <c r="E5" s="661"/>
      <c r="F5" s="661"/>
      <c r="G5" s="661"/>
      <c r="H5" s="661"/>
      <c r="I5" s="189" t="s">
        <v>1023</v>
      </c>
      <c r="J5" s="652" t="s">
        <v>1024</v>
      </c>
      <c r="K5" s="653"/>
      <c r="L5" s="654"/>
    </row>
    <row r="6" spans="2:12">
      <c r="B6" s="650" t="s">
        <v>1025</v>
      </c>
      <c r="C6" s="651"/>
      <c r="D6" s="652" t="s">
        <v>1026</v>
      </c>
      <c r="E6" s="653"/>
      <c r="F6" s="653"/>
      <c r="G6" s="653"/>
      <c r="H6" s="654"/>
      <c r="I6" s="189" t="s">
        <v>1027</v>
      </c>
      <c r="J6" s="652" t="s">
        <v>1028</v>
      </c>
      <c r="K6" s="653"/>
      <c r="L6" s="654"/>
    </row>
    <row r="7" spans="2:12">
      <c r="B7" s="650" t="s">
        <v>1029</v>
      </c>
      <c r="C7" s="651"/>
      <c r="D7" s="652" t="s">
        <v>1030</v>
      </c>
      <c r="E7" s="653"/>
      <c r="F7" s="653"/>
      <c r="G7" s="653"/>
      <c r="H7" s="654"/>
      <c r="I7" s="189" t="s">
        <v>570</v>
      </c>
      <c r="J7" s="652" t="s">
        <v>138</v>
      </c>
      <c r="K7" s="653"/>
      <c r="L7" s="654"/>
    </row>
    <row r="8" spans="2:12">
      <c r="B8" s="650" t="s">
        <v>571</v>
      </c>
      <c r="C8" s="651"/>
      <c r="D8" s="655" t="s">
        <v>1343</v>
      </c>
      <c r="E8" s="656"/>
      <c r="F8" s="656"/>
      <c r="G8" s="656"/>
      <c r="H8" s="656"/>
      <c r="I8" s="656"/>
      <c r="J8" s="656"/>
      <c r="K8" s="656"/>
      <c r="L8" s="657"/>
    </row>
    <row r="9" spans="2:12">
      <c r="B9" s="649" t="s">
        <v>572</v>
      </c>
      <c r="C9" s="649"/>
      <c r="D9" s="648" t="s">
        <v>1031</v>
      </c>
      <c r="E9" s="648"/>
      <c r="F9" s="648"/>
      <c r="G9" s="648"/>
      <c r="H9" s="648"/>
      <c r="I9" s="648"/>
      <c r="J9" s="648"/>
      <c r="K9" s="648"/>
      <c r="L9" s="648"/>
    </row>
    <row r="10" spans="2:12" ht="37.15" customHeight="1">
      <c r="B10" s="649" t="s">
        <v>1032</v>
      </c>
      <c r="C10" s="649"/>
      <c r="D10" s="648" t="s">
        <v>1033</v>
      </c>
      <c r="E10" s="648"/>
      <c r="F10" s="648"/>
      <c r="G10" s="648"/>
      <c r="H10" s="648"/>
      <c r="I10" s="648"/>
      <c r="J10" s="648"/>
      <c r="K10" s="648"/>
      <c r="L10" s="648"/>
    </row>
    <row r="12" spans="2:12">
      <c r="B12" s="647" t="s">
        <v>594</v>
      </c>
      <c r="C12" s="647"/>
      <c r="D12" s="647"/>
      <c r="E12" s="647"/>
      <c r="F12" s="647"/>
      <c r="G12" s="647"/>
      <c r="H12" s="647"/>
      <c r="I12" s="647"/>
      <c r="J12" s="647"/>
      <c r="K12" s="647"/>
      <c r="L12" s="647"/>
    </row>
    <row r="13" spans="2:12">
      <c r="B13" s="130" t="s">
        <v>1034</v>
      </c>
      <c r="C13" s="131" t="s">
        <v>1035</v>
      </c>
      <c r="D13" s="130" t="s">
        <v>595</v>
      </c>
      <c r="E13" s="130" t="s">
        <v>797</v>
      </c>
      <c r="F13" s="130"/>
      <c r="G13" s="130"/>
      <c r="H13" s="131" t="s">
        <v>575</v>
      </c>
      <c r="I13" s="131" t="s">
        <v>1036</v>
      </c>
      <c r="J13" s="131" t="s">
        <v>205</v>
      </c>
      <c r="K13" s="131" t="s">
        <v>1037</v>
      </c>
      <c r="L13" s="131" t="s">
        <v>1038</v>
      </c>
    </row>
    <row r="14" spans="2:12">
      <c r="B14" s="191">
        <v>1</v>
      </c>
      <c r="C14" s="190" t="s">
        <v>565</v>
      </c>
      <c r="D14" s="191"/>
      <c r="E14" s="191" t="s">
        <v>1039</v>
      </c>
      <c r="F14" s="191"/>
      <c r="G14" s="191"/>
      <c r="H14" s="190" t="s">
        <v>1040</v>
      </c>
      <c r="I14" s="190" t="s">
        <v>1041</v>
      </c>
      <c r="J14" s="190"/>
      <c r="K14" s="190" t="s">
        <v>787</v>
      </c>
      <c r="L14" s="190"/>
    </row>
    <row r="15" spans="2:12">
      <c r="B15" s="191">
        <v>2</v>
      </c>
      <c r="C15" s="190" t="s">
        <v>1042</v>
      </c>
      <c r="D15" s="191"/>
      <c r="E15" s="191" t="s">
        <v>174</v>
      </c>
      <c r="F15" s="191"/>
      <c r="G15" s="191"/>
      <c r="H15" s="190" t="s">
        <v>1043</v>
      </c>
      <c r="I15" s="190" t="s">
        <v>1044</v>
      </c>
      <c r="J15" s="190"/>
      <c r="K15" s="190"/>
      <c r="L15" s="190"/>
    </row>
    <row r="17" spans="2:12">
      <c r="B17" s="647" t="s">
        <v>599</v>
      </c>
      <c r="C17" s="647"/>
      <c r="D17" s="647"/>
      <c r="E17" s="647"/>
      <c r="F17" s="647"/>
      <c r="G17" s="647"/>
      <c r="H17" s="647"/>
      <c r="I17" s="647"/>
      <c r="J17" s="647"/>
      <c r="K17" s="647"/>
      <c r="L17" s="647"/>
    </row>
    <row r="18" spans="2:12">
      <c r="B18" s="130" t="s">
        <v>1045</v>
      </c>
      <c r="C18" s="131" t="s">
        <v>49</v>
      </c>
      <c r="D18" s="130" t="s">
        <v>1046</v>
      </c>
      <c r="E18" s="130" t="s">
        <v>574</v>
      </c>
      <c r="F18" s="130"/>
      <c r="G18" s="130"/>
      <c r="H18" s="131" t="s">
        <v>1047</v>
      </c>
      <c r="I18" s="131" t="s">
        <v>1048</v>
      </c>
      <c r="J18" s="131" t="s">
        <v>1049</v>
      </c>
      <c r="K18" s="131" t="s">
        <v>596</v>
      </c>
      <c r="L18" s="131" t="s">
        <v>1038</v>
      </c>
    </row>
    <row r="19" spans="2:12">
      <c r="B19" s="191">
        <v>1</v>
      </c>
      <c r="C19" s="190" t="s">
        <v>1050</v>
      </c>
      <c r="D19" s="191">
        <v>255</v>
      </c>
      <c r="E19" s="191" t="s">
        <v>1039</v>
      </c>
      <c r="F19" s="191"/>
      <c r="G19" s="191"/>
      <c r="H19" s="190" t="s">
        <v>600</v>
      </c>
      <c r="I19" s="190" t="s">
        <v>601</v>
      </c>
      <c r="J19" s="190" t="s">
        <v>563</v>
      </c>
      <c r="K19" s="190">
        <v>200</v>
      </c>
      <c r="L19" s="190" t="s">
        <v>1051</v>
      </c>
    </row>
    <row r="20" spans="2:12">
      <c r="B20" s="191">
        <v>2</v>
      </c>
      <c r="C20" s="190" t="s">
        <v>800</v>
      </c>
      <c r="D20" s="191">
        <v>255</v>
      </c>
      <c r="E20" s="191" t="s">
        <v>1052</v>
      </c>
      <c r="F20" s="191"/>
      <c r="G20" s="191"/>
      <c r="H20" s="190" t="s">
        <v>564</v>
      </c>
      <c r="I20" s="190" t="s">
        <v>1053</v>
      </c>
      <c r="J20" s="190" t="s">
        <v>885</v>
      </c>
      <c r="K20" s="190" t="s">
        <v>1054</v>
      </c>
      <c r="L20" s="132" t="s">
        <v>793</v>
      </c>
    </row>
    <row r="21" spans="2:12">
      <c r="B21" s="191">
        <v>3</v>
      </c>
      <c r="C21" s="190" t="s">
        <v>1055</v>
      </c>
      <c r="D21" s="191"/>
      <c r="E21" s="191" t="s">
        <v>1039</v>
      </c>
      <c r="F21" s="191"/>
      <c r="G21" s="191"/>
      <c r="H21" s="190" t="s">
        <v>1056</v>
      </c>
      <c r="I21" s="190" t="s">
        <v>889</v>
      </c>
      <c r="J21" s="132" t="s">
        <v>1057</v>
      </c>
      <c r="K21" s="190"/>
      <c r="L21" s="190"/>
    </row>
    <row r="23" spans="2:12">
      <c r="B23" s="647" t="s">
        <v>1058</v>
      </c>
      <c r="C23" s="647"/>
      <c r="D23" s="647"/>
      <c r="E23" s="647"/>
      <c r="F23" s="647"/>
      <c r="G23" s="647"/>
      <c r="H23" s="647"/>
      <c r="I23" s="647"/>
      <c r="J23" s="647"/>
      <c r="K23" s="647"/>
      <c r="L23" s="647"/>
    </row>
    <row r="24" spans="2:12" ht="17.45" customHeight="1">
      <c r="B24" s="130" t="s">
        <v>1045</v>
      </c>
      <c r="C24" s="131" t="s">
        <v>1035</v>
      </c>
      <c r="D24" s="130" t="s">
        <v>595</v>
      </c>
      <c r="E24" s="130" t="s">
        <v>797</v>
      </c>
      <c r="F24" s="193" t="s">
        <v>1059</v>
      </c>
      <c r="G24" s="193" t="s">
        <v>895</v>
      </c>
      <c r="H24" s="131" t="s">
        <v>1060</v>
      </c>
      <c r="I24" s="131" t="s">
        <v>562</v>
      </c>
      <c r="J24" s="131" t="s">
        <v>1061</v>
      </c>
      <c r="K24" s="131" t="s">
        <v>1062</v>
      </c>
      <c r="L24" s="131" t="s">
        <v>1032</v>
      </c>
    </row>
    <row r="25" spans="2:12">
      <c r="B25" s="198">
        <v>1</v>
      </c>
      <c r="C25" s="199" t="s">
        <v>1363</v>
      </c>
      <c r="D25" s="198">
        <v>255</v>
      </c>
      <c r="E25" s="198" t="s">
        <v>63</v>
      </c>
      <c r="F25" s="199"/>
      <c r="G25" s="225"/>
      <c r="H25" s="199" t="s">
        <v>1361</v>
      </c>
      <c r="I25" s="200" t="s">
        <v>1361</v>
      </c>
      <c r="J25" s="199"/>
      <c r="K25" s="199"/>
      <c r="L25" s="662" t="s">
        <v>1068</v>
      </c>
    </row>
    <row r="26" spans="2:12">
      <c r="B26" s="198">
        <v>2</v>
      </c>
      <c r="C26" s="199" t="s">
        <v>783</v>
      </c>
      <c r="D26" s="198">
        <v>255</v>
      </c>
      <c r="E26" s="198" t="s">
        <v>174</v>
      </c>
      <c r="F26" s="236" t="s">
        <v>1063</v>
      </c>
      <c r="G26" s="236" t="s">
        <v>1355</v>
      </c>
      <c r="H26" s="199" t="s">
        <v>1064</v>
      </c>
      <c r="I26" s="199" t="s">
        <v>1065</v>
      </c>
      <c r="J26" s="199" t="s">
        <v>1066</v>
      </c>
      <c r="K26" s="199" t="s">
        <v>1067</v>
      </c>
      <c r="L26" s="663"/>
    </row>
    <row r="27" spans="2:12">
      <c r="B27" s="198">
        <v>3</v>
      </c>
      <c r="C27" s="199" t="s">
        <v>565</v>
      </c>
      <c r="D27" s="198">
        <v>255</v>
      </c>
      <c r="E27" s="198" t="s">
        <v>804</v>
      </c>
      <c r="F27" s="190" t="s">
        <v>801</v>
      </c>
      <c r="G27" s="190" t="s">
        <v>1069</v>
      </c>
      <c r="H27" s="199" t="s">
        <v>604</v>
      </c>
      <c r="I27" s="199" t="s">
        <v>1070</v>
      </c>
      <c r="J27" s="200" t="s">
        <v>853</v>
      </c>
      <c r="K27" s="199" t="s">
        <v>1071</v>
      </c>
      <c r="L27" s="663"/>
    </row>
    <row r="28" spans="2:12">
      <c r="B28" s="198">
        <v>4</v>
      </c>
      <c r="C28" s="199" t="s">
        <v>800</v>
      </c>
      <c r="D28" s="198">
        <v>10</v>
      </c>
      <c r="E28" s="198" t="s">
        <v>174</v>
      </c>
      <c r="F28" s="190" t="s">
        <v>900</v>
      </c>
      <c r="G28" s="190" t="s">
        <v>1072</v>
      </c>
      <c r="H28" s="199" t="s">
        <v>909</v>
      </c>
      <c r="I28" s="199" t="s">
        <v>910</v>
      </c>
      <c r="J28" s="199" t="s">
        <v>576</v>
      </c>
      <c r="K28" s="201">
        <v>45870</v>
      </c>
      <c r="L28" s="663"/>
    </row>
    <row r="29" spans="2:12">
      <c r="B29" s="198">
        <v>5</v>
      </c>
      <c r="C29" s="199" t="s">
        <v>800</v>
      </c>
      <c r="D29" s="198">
        <v>255</v>
      </c>
      <c r="E29" s="198" t="s">
        <v>174</v>
      </c>
      <c r="F29" s="190" t="s">
        <v>900</v>
      </c>
      <c r="G29" s="190" t="s">
        <v>806</v>
      </c>
      <c r="H29" s="199" t="s">
        <v>913</v>
      </c>
      <c r="I29" s="199" t="s">
        <v>1073</v>
      </c>
      <c r="J29" s="199" t="s">
        <v>579</v>
      </c>
      <c r="K29" s="199">
        <v>1</v>
      </c>
      <c r="L29" s="663"/>
    </row>
    <row r="30" spans="2:12">
      <c r="B30" s="198">
        <v>6</v>
      </c>
      <c r="C30" s="199" t="s">
        <v>1050</v>
      </c>
      <c r="D30" s="198">
        <v>255</v>
      </c>
      <c r="E30" s="198" t="s">
        <v>804</v>
      </c>
      <c r="F30" s="190" t="s">
        <v>1074</v>
      </c>
      <c r="G30" s="190" t="s">
        <v>808</v>
      </c>
      <c r="H30" s="199" t="s">
        <v>580</v>
      </c>
      <c r="I30" s="199" t="s">
        <v>581</v>
      </c>
      <c r="J30" s="199" t="s">
        <v>918</v>
      </c>
      <c r="K30" s="202" t="s">
        <v>811</v>
      </c>
      <c r="L30" s="663"/>
    </row>
    <row r="31" spans="2:12">
      <c r="B31" s="198">
        <v>7</v>
      </c>
      <c r="C31" s="199" t="s">
        <v>800</v>
      </c>
      <c r="D31" s="198">
        <v>255</v>
      </c>
      <c r="E31" s="198" t="s">
        <v>804</v>
      </c>
      <c r="F31" s="190" t="s">
        <v>807</v>
      </c>
      <c r="G31" s="190" t="s">
        <v>1075</v>
      </c>
      <c r="H31" s="199" t="s">
        <v>1076</v>
      </c>
      <c r="I31" s="199" t="s">
        <v>813</v>
      </c>
      <c r="J31" s="199" t="s">
        <v>582</v>
      </c>
      <c r="K31" s="199" t="s">
        <v>1077</v>
      </c>
      <c r="L31" s="663"/>
    </row>
    <row r="32" spans="2:12">
      <c r="B32" s="198">
        <v>8</v>
      </c>
      <c r="C32" s="199" t="s">
        <v>565</v>
      </c>
      <c r="D32" s="203">
        <v>500</v>
      </c>
      <c r="E32" s="198" t="s">
        <v>804</v>
      </c>
      <c r="F32" s="190" t="s">
        <v>807</v>
      </c>
      <c r="G32" s="190" t="s">
        <v>1078</v>
      </c>
      <c r="H32" s="199" t="s">
        <v>583</v>
      </c>
      <c r="I32" s="199" t="s">
        <v>584</v>
      </c>
      <c r="J32" s="199" t="s">
        <v>926</v>
      </c>
      <c r="K32" s="199" t="s">
        <v>815</v>
      </c>
      <c r="L32" s="663"/>
    </row>
    <row r="33" spans="2:12">
      <c r="B33" s="198">
        <v>9</v>
      </c>
      <c r="C33" s="199" t="s">
        <v>800</v>
      </c>
      <c r="D33" s="198">
        <v>255</v>
      </c>
      <c r="E33" s="198" t="s">
        <v>1079</v>
      </c>
      <c r="F33" s="190" t="s">
        <v>843</v>
      </c>
      <c r="G33" s="190" t="s">
        <v>929</v>
      </c>
      <c r="H33" s="199" t="s">
        <v>1080</v>
      </c>
      <c r="I33" s="199" t="s">
        <v>566</v>
      </c>
      <c r="J33" s="199" t="s">
        <v>817</v>
      </c>
      <c r="K33" s="199" t="s">
        <v>819</v>
      </c>
      <c r="L33" s="664"/>
    </row>
    <row r="34" spans="2:12">
      <c r="B34" s="198">
        <v>10</v>
      </c>
      <c r="C34" s="190" t="s">
        <v>565</v>
      </c>
      <c r="D34" s="191">
        <v>255</v>
      </c>
      <c r="E34" s="191" t="s">
        <v>804</v>
      </c>
      <c r="F34" s="190" t="s">
        <v>834</v>
      </c>
      <c r="G34" s="190" t="s">
        <v>932</v>
      </c>
      <c r="H34" s="190" t="s">
        <v>821</v>
      </c>
      <c r="I34" s="190" t="s">
        <v>822</v>
      </c>
      <c r="J34" s="190" t="s">
        <v>822</v>
      </c>
      <c r="K34" s="190" t="s">
        <v>1081</v>
      </c>
      <c r="L34" s="190"/>
    </row>
    <row r="35" spans="2:12">
      <c r="B35" s="198">
        <v>11</v>
      </c>
      <c r="C35" s="190" t="s">
        <v>800</v>
      </c>
      <c r="D35" s="191">
        <v>255</v>
      </c>
      <c r="E35" s="191" t="s">
        <v>1039</v>
      </c>
      <c r="F35" s="190" t="s">
        <v>1082</v>
      </c>
      <c r="G35" s="190" t="s">
        <v>934</v>
      </c>
      <c r="H35" s="190" t="s">
        <v>1083</v>
      </c>
      <c r="I35" s="190" t="s">
        <v>823</v>
      </c>
      <c r="J35" s="190" t="s">
        <v>823</v>
      </c>
      <c r="K35" s="190" t="s">
        <v>824</v>
      </c>
      <c r="L35" s="190"/>
    </row>
    <row r="36" spans="2:12">
      <c r="B36" s="198">
        <v>12</v>
      </c>
      <c r="C36" s="190" t="s">
        <v>783</v>
      </c>
      <c r="D36" s="191">
        <v>255</v>
      </c>
      <c r="E36" s="191" t="s">
        <v>174</v>
      </c>
      <c r="F36" s="190" t="s">
        <v>834</v>
      </c>
      <c r="G36" s="192" t="s">
        <v>1335</v>
      </c>
      <c r="H36" s="190" t="s">
        <v>1084</v>
      </c>
      <c r="I36" s="190" t="s">
        <v>938</v>
      </c>
      <c r="J36" s="190" t="s">
        <v>938</v>
      </c>
      <c r="K36" s="190" t="s">
        <v>825</v>
      </c>
      <c r="L36" s="132" t="s">
        <v>1085</v>
      </c>
    </row>
    <row r="37" spans="2:12">
      <c r="B37" s="198">
        <v>13</v>
      </c>
      <c r="C37" s="190" t="s">
        <v>565</v>
      </c>
      <c r="D37" s="191">
        <v>255</v>
      </c>
      <c r="E37" s="191" t="s">
        <v>804</v>
      </c>
      <c r="F37" s="190" t="s">
        <v>1086</v>
      </c>
      <c r="G37" s="192" t="s">
        <v>1337</v>
      </c>
      <c r="H37" s="190" t="s">
        <v>940</v>
      </c>
      <c r="I37" s="190" t="s">
        <v>183</v>
      </c>
      <c r="J37" s="190" t="s">
        <v>826</v>
      </c>
      <c r="K37" s="190" t="s">
        <v>1087</v>
      </c>
      <c r="L37" s="132" t="s">
        <v>792</v>
      </c>
    </row>
    <row r="38" spans="2:12" ht="33">
      <c r="B38" s="198">
        <v>14</v>
      </c>
      <c r="C38" s="190" t="s">
        <v>800</v>
      </c>
      <c r="D38" s="191">
        <v>255</v>
      </c>
      <c r="E38" s="191" t="s">
        <v>804</v>
      </c>
      <c r="F38" s="190" t="s">
        <v>834</v>
      </c>
      <c r="G38" s="190" t="s">
        <v>1088</v>
      </c>
      <c r="H38" s="190" t="s">
        <v>944</v>
      </c>
      <c r="I38" s="190" t="s">
        <v>1089</v>
      </c>
      <c r="J38" s="190" t="s">
        <v>829</v>
      </c>
      <c r="K38" s="190" t="s">
        <v>1090</v>
      </c>
      <c r="L38" s="132" t="s">
        <v>831</v>
      </c>
    </row>
    <row r="39" spans="2:12">
      <c r="B39" s="198">
        <v>15</v>
      </c>
      <c r="C39" s="190" t="s">
        <v>800</v>
      </c>
      <c r="D39" s="191">
        <v>255</v>
      </c>
      <c r="E39" s="191" t="s">
        <v>174</v>
      </c>
      <c r="F39" s="190" t="s">
        <v>834</v>
      </c>
      <c r="G39" s="190" t="s">
        <v>1338</v>
      </c>
      <c r="H39" s="190" t="s">
        <v>1091</v>
      </c>
      <c r="I39" s="190" t="s">
        <v>567</v>
      </c>
      <c r="J39" s="190" t="s">
        <v>567</v>
      </c>
      <c r="K39" s="190" t="s">
        <v>1092</v>
      </c>
      <c r="L39" s="190" t="s">
        <v>947</v>
      </c>
    </row>
    <row r="40" spans="2:12">
      <c r="B40" s="198">
        <v>16</v>
      </c>
      <c r="C40" s="190" t="s">
        <v>948</v>
      </c>
      <c r="D40" s="191"/>
      <c r="E40" s="191" t="s">
        <v>1079</v>
      </c>
      <c r="F40" s="190" t="s">
        <v>834</v>
      </c>
      <c r="G40" s="190" t="s">
        <v>949</v>
      </c>
      <c r="H40" s="190" t="s">
        <v>1093</v>
      </c>
      <c r="I40" s="190" t="s">
        <v>836</v>
      </c>
      <c r="J40" s="190" t="s">
        <v>1094</v>
      </c>
      <c r="K40" s="190">
        <v>20</v>
      </c>
      <c r="L40" s="190"/>
    </row>
    <row r="41" spans="2:12">
      <c r="B41" s="198">
        <v>17</v>
      </c>
      <c r="C41" s="190" t="s">
        <v>1095</v>
      </c>
      <c r="D41" s="190"/>
      <c r="E41" s="191" t="s">
        <v>1096</v>
      </c>
      <c r="F41" s="190"/>
      <c r="G41" s="195" t="s">
        <v>1097</v>
      </c>
      <c r="H41" s="190" t="s">
        <v>1098</v>
      </c>
      <c r="I41" s="190" t="s">
        <v>1099</v>
      </c>
      <c r="J41" s="190" t="s">
        <v>837</v>
      </c>
      <c r="K41" s="190">
        <v>2790</v>
      </c>
      <c r="L41" s="190" t="s">
        <v>1100</v>
      </c>
    </row>
    <row r="42" spans="2:12">
      <c r="B42" s="198">
        <v>18</v>
      </c>
      <c r="C42" s="190" t="s">
        <v>588</v>
      </c>
      <c r="D42" s="190"/>
      <c r="E42" s="191" t="s">
        <v>174</v>
      </c>
      <c r="F42" s="190" t="s">
        <v>834</v>
      </c>
      <c r="G42" s="190" t="s">
        <v>1101</v>
      </c>
      <c r="H42" s="190" t="s">
        <v>1102</v>
      </c>
      <c r="I42" s="190" t="s">
        <v>839</v>
      </c>
      <c r="J42" s="190" t="s">
        <v>840</v>
      </c>
      <c r="K42" s="190">
        <v>558</v>
      </c>
      <c r="L42" s="190" t="s">
        <v>1100</v>
      </c>
    </row>
    <row r="43" spans="2:12">
      <c r="B43" s="198">
        <v>19</v>
      </c>
      <c r="C43" s="190" t="s">
        <v>951</v>
      </c>
      <c r="D43" s="190"/>
      <c r="E43" s="191" t="s">
        <v>174</v>
      </c>
      <c r="F43" s="190" t="s">
        <v>834</v>
      </c>
      <c r="G43" s="190" t="s">
        <v>1103</v>
      </c>
      <c r="H43" s="190" t="s">
        <v>1104</v>
      </c>
      <c r="I43" s="190" t="s">
        <v>1105</v>
      </c>
      <c r="J43" s="190" t="s">
        <v>1105</v>
      </c>
      <c r="K43" s="190">
        <v>565</v>
      </c>
      <c r="L43" s="190" t="s">
        <v>1106</v>
      </c>
    </row>
    <row r="44" spans="2:12">
      <c r="B44" s="198">
        <v>20</v>
      </c>
      <c r="C44" s="190" t="s">
        <v>1107</v>
      </c>
      <c r="D44" s="190"/>
      <c r="E44" s="191" t="s">
        <v>804</v>
      </c>
      <c r="F44" s="190" t="s">
        <v>834</v>
      </c>
      <c r="G44" s="190" t="s">
        <v>1108</v>
      </c>
      <c r="H44" s="190" t="s">
        <v>841</v>
      </c>
      <c r="I44" s="190" t="s">
        <v>1109</v>
      </c>
      <c r="J44" s="190" t="s">
        <v>1109</v>
      </c>
      <c r="K44" s="190">
        <v>415</v>
      </c>
      <c r="L44" s="190" t="s">
        <v>1106</v>
      </c>
    </row>
    <row r="45" spans="2:12">
      <c r="B45" s="198">
        <v>21</v>
      </c>
      <c r="C45" s="190" t="s">
        <v>1107</v>
      </c>
      <c r="D45" s="190"/>
      <c r="E45" s="191" t="s">
        <v>804</v>
      </c>
      <c r="F45" s="190" t="s">
        <v>834</v>
      </c>
      <c r="G45" s="190" t="s">
        <v>1110</v>
      </c>
      <c r="H45" s="190" t="s">
        <v>842</v>
      </c>
      <c r="I45" s="190" t="s">
        <v>1111</v>
      </c>
      <c r="J45" s="190" t="s">
        <v>1111</v>
      </c>
      <c r="K45" s="190">
        <v>180</v>
      </c>
      <c r="L45" s="190" t="s">
        <v>1112</v>
      </c>
    </row>
    <row r="46" spans="2:12">
      <c r="B46" s="198">
        <v>22</v>
      </c>
      <c r="C46" s="190" t="s">
        <v>1113</v>
      </c>
      <c r="D46" s="190"/>
      <c r="E46" s="191" t="s">
        <v>1039</v>
      </c>
      <c r="F46" s="190" t="s">
        <v>1114</v>
      </c>
      <c r="G46" s="190" t="s">
        <v>1115</v>
      </c>
      <c r="H46" s="190" t="s">
        <v>845</v>
      </c>
      <c r="I46" s="190" t="s">
        <v>846</v>
      </c>
      <c r="J46" s="190" t="s">
        <v>1116</v>
      </c>
      <c r="K46" s="190">
        <v>5</v>
      </c>
      <c r="L46" s="190" t="s">
        <v>847</v>
      </c>
    </row>
    <row r="47" spans="2:12" ht="33">
      <c r="B47" s="198">
        <v>23</v>
      </c>
      <c r="C47" s="190" t="s">
        <v>1117</v>
      </c>
      <c r="D47" s="190"/>
      <c r="E47" s="191" t="s">
        <v>804</v>
      </c>
      <c r="F47" s="190" t="s">
        <v>1349</v>
      </c>
      <c r="G47" s="190" t="s">
        <v>1118</v>
      </c>
      <c r="H47" s="190" t="s">
        <v>1119</v>
      </c>
      <c r="I47" s="190" t="s">
        <v>1120</v>
      </c>
      <c r="J47" s="132" t="s">
        <v>1121</v>
      </c>
      <c r="K47" s="190" t="s">
        <v>849</v>
      </c>
      <c r="L47" s="132" t="s">
        <v>1122</v>
      </c>
    </row>
    <row r="48" spans="2:12" ht="33">
      <c r="B48" s="198">
        <v>24</v>
      </c>
      <c r="C48" s="199" t="s">
        <v>1117</v>
      </c>
      <c r="D48" s="199"/>
      <c r="E48" s="198" t="s">
        <v>1039</v>
      </c>
      <c r="F48" s="190" t="s">
        <v>848</v>
      </c>
      <c r="G48" s="190" t="b">
        <v>0</v>
      </c>
      <c r="H48" s="199" t="s">
        <v>1123</v>
      </c>
      <c r="I48" s="199" t="s">
        <v>1124</v>
      </c>
      <c r="J48" s="200" t="s">
        <v>1125</v>
      </c>
      <c r="K48" s="204" t="s">
        <v>1126</v>
      </c>
      <c r="L48" s="205" t="s">
        <v>1127</v>
      </c>
    </row>
    <row r="49" spans="2:12">
      <c r="B49" s="198">
        <v>25</v>
      </c>
      <c r="C49" s="190" t="s">
        <v>1113</v>
      </c>
      <c r="D49" s="190"/>
      <c r="E49" s="191" t="s">
        <v>1039</v>
      </c>
      <c r="F49" s="190" t="s">
        <v>1128</v>
      </c>
      <c r="G49" s="190">
        <v>0</v>
      </c>
      <c r="H49" s="190" t="s">
        <v>1129</v>
      </c>
      <c r="I49" s="190" t="s">
        <v>1130</v>
      </c>
      <c r="J49" s="190" t="s">
        <v>1130</v>
      </c>
      <c r="K49" s="190">
        <v>0</v>
      </c>
      <c r="L49" s="190" t="s">
        <v>1131</v>
      </c>
    </row>
    <row r="51" spans="2:12">
      <c r="B51" s="647" t="s">
        <v>1132</v>
      </c>
      <c r="C51" s="647"/>
      <c r="D51" s="647"/>
      <c r="E51" s="647"/>
      <c r="F51" s="647"/>
      <c r="G51" s="647"/>
      <c r="H51" s="647"/>
      <c r="I51" s="647"/>
      <c r="J51" s="647"/>
      <c r="K51" s="647"/>
      <c r="L51" s="647"/>
    </row>
    <row r="52" spans="2:12">
      <c r="B52" s="130" t="s">
        <v>1034</v>
      </c>
      <c r="C52" s="131" t="s">
        <v>1133</v>
      </c>
      <c r="D52" s="130" t="s">
        <v>1134</v>
      </c>
      <c r="E52" s="130" t="s">
        <v>1135</v>
      </c>
      <c r="F52" s="130"/>
      <c r="G52" s="130"/>
      <c r="H52" s="131" t="s">
        <v>1047</v>
      </c>
      <c r="I52" s="131" t="s">
        <v>1136</v>
      </c>
      <c r="J52" s="131" t="s">
        <v>1061</v>
      </c>
      <c r="K52" s="131" t="s">
        <v>1137</v>
      </c>
      <c r="L52" s="131" t="s">
        <v>1138</v>
      </c>
    </row>
    <row r="53" spans="2:12">
      <c r="B53" s="191">
        <v>1</v>
      </c>
      <c r="C53" s="190" t="s">
        <v>1117</v>
      </c>
      <c r="D53" s="191"/>
      <c r="E53" s="191" t="s">
        <v>1039</v>
      </c>
      <c r="F53" s="191"/>
      <c r="G53" s="191"/>
      <c r="H53" s="190" t="s">
        <v>1139</v>
      </c>
      <c r="I53" s="190" t="s">
        <v>1140</v>
      </c>
      <c r="J53" s="190" t="s">
        <v>1140</v>
      </c>
      <c r="K53" s="138" t="s">
        <v>851</v>
      </c>
      <c r="L53" s="132" t="s">
        <v>1141</v>
      </c>
    </row>
    <row r="54" spans="2:12">
      <c r="B54" s="191">
        <v>2</v>
      </c>
      <c r="C54" s="190" t="s">
        <v>1142</v>
      </c>
      <c r="D54" s="191">
        <v>255</v>
      </c>
      <c r="E54" s="191"/>
      <c r="F54" s="191"/>
      <c r="G54" s="191"/>
      <c r="H54" s="190" t="s">
        <v>1143</v>
      </c>
      <c r="I54" s="190" t="s">
        <v>1144</v>
      </c>
      <c r="J54" s="190" t="s">
        <v>1144</v>
      </c>
      <c r="K54" s="190"/>
      <c r="L54" s="132"/>
    </row>
    <row r="55" spans="2:12">
      <c r="B55" s="191">
        <v>3</v>
      </c>
      <c r="C55" s="190" t="s">
        <v>1142</v>
      </c>
      <c r="D55" s="191">
        <v>255</v>
      </c>
      <c r="E55" s="191" t="s">
        <v>1039</v>
      </c>
      <c r="F55" s="191"/>
      <c r="G55" s="191"/>
      <c r="H55" s="190" t="s">
        <v>1145</v>
      </c>
      <c r="I55" s="190" t="s">
        <v>1070</v>
      </c>
      <c r="J55" s="132" t="s">
        <v>853</v>
      </c>
      <c r="K55" s="190" t="s">
        <v>1146</v>
      </c>
      <c r="L55" s="132"/>
    </row>
    <row r="56" spans="2:12">
      <c r="B56" s="191">
        <v>4</v>
      </c>
      <c r="C56" s="190" t="s">
        <v>800</v>
      </c>
      <c r="D56" s="191">
        <v>32</v>
      </c>
      <c r="E56" s="191"/>
      <c r="F56" s="191"/>
      <c r="G56" s="191"/>
      <c r="H56" s="190" t="s">
        <v>1147</v>
      </c>
      <c r="I56" s="190" t="s">
        <v>1148</v>
      </c>
      <c r="J56" s="132" t="s">
        <v>1149</v>
      </c>
      <c r="K56" s="138" t="s">
        <v>1150</v>
      </c>
      <c r="L56" s="135" t="s">
        <v>1151</v>
      </c>
    </row>
    <row r="59" spans="2:12">
      <c r="B59" s="647" t="s">
        <v>856</v>
      </c>
      <c r="C59" s="647"/>
      <c r="D59" s="647"/>
      <c r="E59" s="647"/>
      <c r="F59" s="647"/>
      <c r="G59" s="647"/>
      <c r="H59" s="647"/>
      <c r="I59" s="647"/>
      <c r="J59" s="647"/>
      <c r="K59" s="647"/>
      <c r="L59" s="647"/>
    </row>
  </sheetData>
  <mergeCells count="22">
    <mergeCell ref="B9:C9"/>
    <mergeCell ref="D9:L9"/>
    <mergeCell ref="B3:L3"/>
    <mergeCell ref="B5:C5"/>
    <mergeCell ref="D5:H5"/>
    <mergeCell ref="J5:L5"/>
    <mergeCell ref="B6:C6"/>
    <mergeCell ref="D6:H6"/>
    <mergeCell ref="J6:L6"/>
    <mergeCell ref="B7:C7"/>
    <mergeCell ref="D7:H7"/>
    <mergeCell ref="J7:L7"/>
    <mergeCell ref="B8:C8"/>
    <mergeCell ref="D8:L8"/>
    <mergeCell ref="B23:L23"/>
    <mergeCell ref="L25:L33"/>
    <mergeCell ref="B51:L51"/>
    <mergeCell ref="B59:L59"/>
    <mergeCell ref="B10:C10"/>
    <mergeCell ref="D10:L10"/>
    <mergeCell ref="B12:L12"/>
    <mergeCell ref="B17:L17"/>
  </mergeCells>
  <phoneticPr fontId="1" type="noConversion"/>
  <hyperlinks>
    <hyperlink ref="B1" location="ERP_인터페이스목록!A1" display="목록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B1:M124"/>
  <sheetViews>
    <sheetView zoomScaleNormal="100" workbookViewId="0">
      <selection activeCell="B1" sqref="B1"/>
    </sheetView>
  </sheetViews>
  <sheetFormatPr defaultRowHeight="16.5"/>
  <cols>
    <col min="1" max="1" width="1.375" customWidth="1"/>
    <col min="2" max="2" width="7.375" customWidth="1"/>
    <col min="3" max="3" width="16.25" customWidth="1"/>
    <col min="4" max="4" width="7.125" customWidth="1"/>
    <col min="6" max="6" width="16.75" bestFit="1" customWidth="1"/>
    <col min="7" max="7" width="19.5" bestFit="1" customWidth="1"/>
    <col min="8" max="8" width="23.125" customWidth="1"/>
    <col min="9" max="9" width="22.75" customWidth="1"/>
    <col min="10" max="10" width="33.5" customWidth="1"/>
    <col min="11" max="11" width="30.25" customWidth="1"/>
    <col min="12" max="12" width="39.125" customWidth="1"/>
    <col min="13" max="13" width="23.625" customWidth="1"/>
  </cols>
  <sheetData>
    <row r="1" spans="2:12" s="48" customFormat="1">
      <c r="B1" s="64" t="s">
        <v>38</v>
      </c>
    </row>
    <row r="2" spans="2:12" ht="7.15" customHeight="1"/>
    <row r="3" spans="2:12" ht="26.25">
      <c r="B3" s="658" t="s">
        <v>3387</v>
      </c>
      <c r="C3" s="659"/>
      <c r="D3" s="659"/>
      <c r="E3" s="659"/>
      <c r="F3" s="659"/>
      <c r="G3" s="659"/>
      <c r="H3" s="659"/>
      <c r="I3" s="659"/>
      <c r="J3" s="659"/>
      <c r="K3" s="659"/>
      <c r="L3" s="660"/>
    </row>
    <row r="4" spans="2:12" ht="10.9" customHeight="1">
      <c r="F4" s="206"/>
      <c r="G4" s="206"/>
    </row>
    <row r="5" spans="2:12">
      <c r="B5" s="649" t="s">
        <v>1152</v>
      </c>
      <c r="C5" s="649"/>
      <c r="D5" s="661">
        <v>3</v>
      </c>
      <c r="E5" s="661"/>
      <c r="F5" s="661"/>
      <c r="G5" s="661"/>
      <c r="H5" s="661"/>
      <c r="I5" s="189" t="s">
        <v>592</v>
      </c>
      <c r="J5" s="652" t="s">
        <v>1153</v>
      </c>
      <c r="K5" s="653"/>
      <c r="L5" s="654"/>
    </row>
    <row r="6" spans="2:12">
      <c r="B6" s="650" t="s">
        <v>1154</v>
      </c>
      <c r="C6" s="651"/>
      <c r="D6" s="652" t="s">
        <v>148</v>
      </c>
      <c r="E6" s="653"/>
      <c r="F6" s="653"/>
      <c r="G6" s="653"/>
      <c r="H6" s="654"/>
      <c r="I6" s="189" t="s">
        <v>1155</v>
      </c>
      <c r="J6" s="652" t="s">
        <v>1156</v>
      </c>
      <c r="K6" s="653"/>
      <c r="L6" s="654"/>
    </row>
    <row r="7" spans="2:12">
      <c r="B7" s="650" t="s">
        <v>568</v>
      </c>
      <c r="C7" s="651"/>
      <c r="D7" s="652" t="s">
        <v>1157</v>
      </c>
      <c r="E7" s="653"/>
      <c r="F7" s="653"/>
      <c r="G7" s="653"/>
      <c r="H7" s="654"/>
      <c r="I7" s="189" t="s">
        <v>1158</v>
      </c>
      <c r="J7" s="652" t="s">
        <v>1159</v>
      </c>
      <c r="K7" s="653"/>
      <c r="L7" s="654"/>
    </row>
    <row r="8" spans="2:12">
      <c r="B8" s="650" t="s">
        <v>1160</v>
      </c>
      <c r="C8" s="651"/>
      <c r="D8" s="655" t="s">
        <v>1340</v>
      </c>
      <c r="E8" s="656"/>
      <c r="F8" s="656"/>
      <c r="G8" s="656"/>
      <c r="H8" s="656"/>
      <c r="I8" s="656"/>
      <c r="J8" s="656"/>
      <c r="K8" s="656"/>
      <c r="L8" s="657"/>
    </row>
    <row r="9" spans="2:12">
      <c r="B9" s="649" t="s">
        <v>572</v>
      </c>
      <c r="C9" s="649"/>
      <c r="D9" s="648" t="s">
        <v>1161</v>
      </c>
      <c r="E9" s="648"/>
      <c r="F9" s="648"/>
      <c r="G9" s="648"/>
      <c r="H9" s="648"/>
      <c r="I9" s="648"/>
      <c r="J9" s="648"/>
      <c r="K9" s="648"/>
      <c r="L9" s="648"/>
    </row>
    <row r="10" spans="2:12" ht="37.15" customHeight="1">
      <c r="B10" s="649" t="s">
        <v>1162</v>
      </c>
      <c r="C10" s="649"/>
      <c r="D10" s="648"/>
      <c r="E10" s="648"/>
      <c r="F10" s="648"/>
      <c r="G10" s="648"/>
      <c r="H10" s="648"/>
      <c r="I10" s="648"/>
      <c r="J10" s="648"/>
      <c r="K10" s="648"/>
      <c r="L10" s="648"/>
    </row>
    <row r="11" spans="2:12">
      <c r="F11" s="206"/>
      <c r="G11" s="206"/>
    </row>
    <row r="12" spans="2:12">
      <c r="B12" s="647" t="s">
        <v>781</v>
      </c>
      <c r="C12" s="647"/>
      <c r="D12" s="647"/>
      <c r="E12" s="647"/>
      <c r="F12" s="647"/>
      <c r="G12" s="647"/>
      <c r="H12" s="647"/>
      <c r="I12" s="647"/>
      <c r="J12" s="647"/>
      <c r="K12" s="647"/>
      <c r="L12" s="647"/>
    </row>
    <row r="13" spans="2:12">
      <c r="B13" s="130" t="s">
        <v>573</v>
      </c>
      <c r="C13" s="131" t="s">
        <v>49</v>
      </c>
      <c r="D13" s="130" t="s">
        <v>1163</v>
      </c>
      <c r="E13" s="130" t="s">
        <v>1164</v>
      </c>
      <c r="F13" s="207"/>
      <c r="G13" s="207"/>
      <c r="H13" s="131" t="s">
        <v>782</v>
      </c>
      <c r="I13" s="131" t="s">
        <v>562</v>
      </c>
      <c r="J13" s="131" t="s">
        <v>1165</v>
      </c>
      <c r="K13" s="131" t="s">
        <v>790</v>
      </c>
      <c r="L13" s="131" t="s">
        <v>1166</v>
      </c>
    </row>
    <row r="14" spans="2:12">
      <c r="B14" s="191">
        <v>1</v>
      </c>
      <c r="C14" s="190" t="s">
        <v>812</v>
      </c>
      <c r="D14" s="191"/>
      <c r="E14" s="191" t="s">
        <v>784</v>
      </c>
      <c r="F14" s="190"/>
      <c r="G14" s="190"/>
      <c r="H14" s="190" t="s">
        <v>1167</v>
      </c>
      <c r="I14" s="190" t="s">
        <v>786</v>
      </c>
      <c r="J14" s="190"/>
      <c r="K14" s="190" t="s">
        <v>1168</v>
      </c>
      <c r="L14" s="190"/>
    </row>
    <row r="15" spans="2:12">
      <c r="B15" s="191">
        <v>2</v>
      </c>
      <c r="C15" s="190" t="s">
        <v>565</v>
      </c>
      <c r="D15" s="191"/>
      <c r="E15" s="191"/>
      <c r="F15" s="190"/>
      <c r="G15" s="190"/>
      <c r="H15" s="190" t="s">
        <v>578</v>
      </c>
      <c r="I15" s="190" t="s">
        <v>1169</v>
      </c>
      <c r="J15" s="190" t="s">
        <v>1170</v>
      </c>
      <c r="K15" s="190">
        <v>1</v>
      </c>
      <c r="L15" s="132" t="s">
        <v>827</v>
      </c>
    </row>
    <row r="16" spans="2:12">
      <c r="B16" s="191">
        <v>3</v>
      </c>
      <c r="C16" s="190" t="s">
        <v>812</v>
      </c>
      <c r="D16" s="191">
        <v>10</v>
      </c>
      <c r="E16" s="191"/>
      <c r="F16" s="190"/>
      <c r="G16" s="190"/>
      <c r="H16" s="190" t="s">
        <v>1171</v>
      </c>
      <c r="I16" s="190" t="s">
        <v>1172</v>
      </c>
      <c r="J16" s="190" t="s">
        <v>1173</v>
      </c>
      <c r="K16" s="133">
        <v>45870</v>
      </c>
      <c r="L16" s="132" t="s">
        <v>577</v>
      </c>
    </row>
    <row r="17" spans="2:13">
      <c r="B17" s="191">
        <v>4</v>
      </c>
      <c r="C17" s="190" t="s">
        <v>565</v>
      </c>
      <c r="D17" s="191">
        <v>10</v>
      </c>
      <c r="E17" s="191"/>
      <c r="F17" s="190"/>
      <c r="G17" s="190"/>
      <c r="H17" s="190" t="s">
        <v>1174</v>
      </c>
      <c r="I17" s="190" t="s">
        <v>1175</v>
      </c>
      <c r="J17" s="190" t="s">
        <v>1176</v>
      </c>
      <c r="K17" s="133">
        <v>45870</v>
      </c>
      <c r="L17" s="132" t="s">
        <v>805</v>
      </c>
    </row>
    <row r="18" spans="2:13">
      <c r="B18" s="235">
        <v>5</v>
      </c>
      <c r="C18" s="236" t="s">
        <v>565</v>
      </c>
      <c r="D18" s="235"/>
      <c r="E18" s="235"/>
      <c r="F18" s="236"/>
      <c r="G18" s="236"/>
      <c r="H18" s="236" t="s">
        <v>1364</v>
      </c>
      <c r="I18" s="236" t="s">
        <v>1365</v>
      </c>
      <c r="J18" s="236" t="s">
        <v>1365</v>
      </c>
      <c r="K18" s="241"/>
      <c r="L18" s="132"/>
    </row>
    <row r="19" spans="2:13">
      <c r="B19" s="235">
        <v>6</v>
      </c>
      <c r="C19" s="190" t="s">
        <v>1177</v>
      </c>
      <c r="D19" s="191"/>
      <c r="E19" s="191"/>
      <c r="F19" s="190"/>
      <c r="G19" s="190"/>
      <c r="H19" s="190" t="s">
        <v>598</v>
      </c>
      <c r="I19" s="190" t="s">
        <v>1178</v>
      </c>
      <c r="J19" s="190" t="s">
        <v>1179</v>
      </c>
      <c r="K19" s="190"/>
      <c r="L19" s="190" t="s">
        <v>1180</v>
      </c>
    </row>
    <row r="20" spans="2:13">
      <c r="F20" s="206"/>
      <c r="G20" s="206"/>
    </row>
    <row r="21" spans="2:13">
      <c r="B21" s="647" t="s">
        <v>788</v>
      </c>
      <c r="C21" s="647"/>
      <c r="D21" s="647"/>
      <c r="E21" s="647"/>
      <c r="F21" s="647"/>
      <c r="G21" s="647"/>
      <c r="H21" s="647"/>
      <c r="I21" s="647"/>
      <c r="J21" s="647"/>
      <c r="K21" s="647"/>
      <c r="L21" s="647"/>
    </row>
    <row r="22" spans="2:13">
      <c r="B22" s="130" t="s">
        <v>1181</v>
      </c>
      <c r="C22" s="131" t="s">
        <v>796</v>
      </c>
      <c r="D22" s="130" t="s">
        <v>595</v>
      </c>
      <c r="E22" s="130" t="s">
        <v>574</v>
      </c>
      <c r="F22" s="207"/>
      <c r="G22" s="207"/>
      <c r="H22" s="131" t="s">
        <v>782</v>
      </c>
      <c r="I22" s="131" t="s">
        <v>562</v>
      </c>
      <c r="J22" s="131" t="s">
        <v>1165</v>
      </c>
      <c r="K22" s="131" t="s">
        <v>790</v>
      </c>
      <c r="L22" s="131" t="s">
        <v>1166</v>
      </c>
    </row>
    <row r="23" spans="2:13">
      <c r="B23" s="191">
        <v>1</v>
      </c>
      <c r="C23" s="190" t="s">
        <v>565</v>
      </c>
      <c r="D23" s="191">
        <v>255</v>
      </c>
      <c r="E23" s="191" t="s">
        <v>795</v>
      </c>
      <c r="F23" s="190"/>
      <c r="G23" s="190"/>
      <c r="H23" s="190" t="s">
        <v>1182</v>
      </c>
      <c r="I23" s="190" t="s">
        <v>601</v>
      </c>
      <c r="J23" s="190" t="s">
        <v>791</v>
      </c>
      <c r="K23" s="190">
        <v>200</v>
      </c>
      <c r="L23" s="190" t="s">
        <v>827</v>
      </c>
    </row>
    <row r="24" spans="2:13">
      <c r="B24" s="191">
        <v>2</v>
      </c>
      <c r="C24" s="190" t="s">
        <v>1183</v>
      </c>
      <c r="D24" s="191">
        <v>255</v>
      </c>
      <c r="E24" s="191" t="s">
        <v>784</v>
      </c>
      <c r="F24" s="190"/>
      <c r="G24" s="190"/>
      <c r="H24" s="190" t="s">
        <v>1184</v>
      </c>
      <c r="I24" s="190" t="s">
        <v>1185</v>
      </c>
      <c r="J24" s="190" t="s">
        <v>1186</v>
      </c>
      <c r="K24" s="190" t="s">
        <v>602</v>
      </c>
      <c r="L24" s="132" t="s">
        <v>794</v>
      </c>
    </row>
    <row r="25" spans="2:13">
      <c r="B25" s="191">
        <v>3</v>
      </c>
      <c r="C25" s="190" t="s">
        <v>1177</v>
      </c>
      <c r="D25" s="191"/>
      <c r="E25" s="191" t="s">
        <v>1187</v>
      </c>
      <c r="F25" s="190"/>
      <c r="G25" s="190"/>
      <c r="H25" s="190" t="s">
        <v>1188</v>
      </c>
      <c r="I25" s="190" t="s">
        <v>1189</v>
      </c>
      <c r="J25" s="190" t="s">
        <v>1190</v>
      </c>
      <c r="K25" s="190"/>
      <c r="L25" s="190"/>
    </row>
    <row r="26" spans="2:13">
      <c r="F26" s="206"/>
      <c r="G26" s="206"/>
    </row>
    <row r="27" spans="2:13">
      <c r="B27" s="647" t="s">
        <v>1191</v>
      </c>
      <c r="C27" s="647"/>
      <c r="D27" s="647"/>
      <c r="E27" s="647"/>
      <c r="F27" s="647"/>
      <c r="G27" s="647"/>
      <c r="H27" s="647"/>
      <c r="I27" s="647"/>
      <c r="J27" s="647"/>
      <c r="K27" s="647"/>
      <c r="L27" s="647"/>
    </row>
    <row r="28" spans="2:13">
      <c r="B28" s="130" t="s">
        <v>573</v>
      </c>
      <c r="C28" s="131" t="s">
        <v>49</v>
      </c>
      <c r="D28" s="130" t="s">
        <v>1192</v>
      </c>
      <c r="E28" s="130" t="s">
        <v>1164</v>
      </c>
      <c r="F28" s="207"/>
      <c r="G28" s="207"/>
      <c r="H28" s="131" t="s">
        <v>782</v>
      </c>
      <c r="I28" s="131" t="s">
        <v>798</v>
      </c>
      <c r="J28" s="131" t="s">
        <v>205</v>
      </c>
      <c r="K28" s="131" t="s">
        <v>790</v>
      </c>
      <c r="L28" s="131" t="s">
        <v>898</v>
      </c>
    </row>
    <row r="29" spans="2:13">
      <c r="B29" s="191">
        <v>1</v>
      </c>
      <c r="C29" s="190" t="s">
        <v>565</v>
      </c>
      <c r="D29" s="191">
        <v>255</v>
      </c>
      <c r="E29" s="191" t="s">
        <v>804</v>
      </c>
      <c r="F29" s="190"/>
      <c r="G29" s="190"/>
      <c r="H29" s="190" t="s">
        <v>604</v>
      </c>
      <c r="I29" s="190" t="s">
        <v>1193</v>
      </c>
      <c r="J29" s="132" t="s">
        <v>1194</v>
      </c>
      <c r="K29" s="190" t="s">
        <v>854</v>
      </c>
      <c r="L29" s="132"/>
    </row>
    <row r="30" spans="2:13"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</row>
    <row r="31" spans="2:13">
      <c r="B31" s="647" t="s">
        <v>1195</v>
      </c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131"/>
    </row>
    <row r="32" spans="2:13">
      <c r="B32" s="130" t="s">
        <v>789</v>
      </c>
      <c r="C32" s="131" t="s">
        <v>796</v>
      </c>
      <c r="D32" s="130" t="s">
        <v>1192</v>
      </c>
      <c r="E32" s="130" t="s">
        <v>1164</v>
      </c>
      <c r="F32" s="193" t="s">
        <v>1196</v>
      </c>
      <c r="G32" s="193" t="s">
        <v>1197</v>
      </c>
      <c r="H32" s="131" t="s">
        <v>575</v>
      </c>
      <c r="I32" s="131" t="s">
        <v>1198</v>
      </c>
      <c r="J32" s="131" t="s">
        <v>1165</v>
      </c>
      <c r="K32" s="131" t="s">
        <v>790</v>
      </c>
      <c r="L32" s="131" t="s">
        <v>1166</v>
      </c>
      <c r="M32" s="131" t="s">
        <v>1199</v>
      </c>
    </row>
    <row r="33" spans="2:13">
      <c r="B33" s="191">
        <v>1</v>
      </c>
      <c r="C33" s="236" t="s">
        <v>1366</v>
      </c>
      <c r="D33" s="235">
        <v>255</v>
      </c>
      <c r="E33" s="235" t="s">
        <v>63</v>
      </c>
      <c r="F33" s="236"/>
      <c r="G33" s="190"/>
      <c r="H33" s="236" t="s">
        <v>1364</v>
      </c>
      <c r="I33" s="236" t="s">
        <v>1367</v>
      </c>
      <c r="J33" s="236" t="s">
        <v>1367</v>
      </c>
      <c r="K33" s="190"/>
      <c r="L33" s="132"/>
      <c r="M33" s="136" t="s">
        <v>1203</v>
      </c>
    </row>
    <row r="34" spans="2:13">
      <c r="B34" s="235">
        <v>2</v>
      </c>
      <c r="C34" s="236" t="s">
        <v>1372</v>
      </c>
      <c r="D34" s="235">
        <v>255</v>
      </c>
      <c r="E34" s="235" t="s">
        <v>1373</v>
      </c>
      <c r="F34" s="236"/>
      <c r="G34" s="236"/>
      <c r="H34" s="236" t="s">
        <v>1368</v>
      </c>
      <c r="I34" s="236" t="s">
        <v>1369</v>
      </c>
      <c r="J34" s="236" t="s">
        <v>1370</v>
      </c>
      <c r="K34" s="236" t="s">
        <v>1371</v>
      </c>
      <c r="L34" s="132"/>
      <c r="M34" s="136"/>
    </row>
    <row r="35" spans="2:13">
      <c r="B35" s="235">
        <v>3</v>
      </c>
      <c r="C35" s="236" t="s">
        <v>800</v>
      </c>
      <c r="D35" s="235">
        <v>255</v>
      </c>
      <c r="E35" s="235" t="s">
        <v>174</v>
      </c>
      <c r="F35" s="236" t="s">
        <v>1200</v>
      </c>
      <c r="G35" s="236" t="s">
        <v>1201</v>
      </c>
      <c r="H35" s="236" t="s">
        <v>852</v>
      </c>
      <c r="I35" s="236" t="s">
        <v>605</v>
      </c>
      <c r="J35" s="132" t="s">
        <v>1194</v>
      </c>
      <c r="K35" s="236" t="s">
        <v>1071</v>
      </c>
      <c r="L35" s="132"/>
      <c r="M35" s="136" t="s">
        <v>1203</v>
      </c>
    </row>
    <row r="36" spans="2:13">
      <c r="B36" s="235">
        <v>4</v>
      </c>
      <c r="C36" s="190" t="s">
        <v>565</v>
      </c>
      <c r="D36" s="191">
        <v>32</v>
      </c>
      <c r="E36" s="191" t="s">
        <v>174</v>
      </c>
      <c r="F36" s="190" t="s">
        <v>843</v>
      </c>
      <c r="G36" s="190" t="s">
        <v>1204</v>
      </c>
      <c r="H36" s="190" t="s">
        <v>589</v>
      </c>
      <c r="I36" s="190" t="s">
        <v>1018</v>
      </c>
      <c r="J36" s="132" t="s">
        <v>590</v>
      </c>
      <c r="K36" s="138" t="s">
        <v>1205</v>
      </c>
      <c r="L36" s="135" t="s">
        <v>591</v>
      </c>
      <c r="M36" s="136" t="s">
        <v>1206</v>
      </c>
    </row>
    <row r="37" spans="2:13">
      <c r="B37" s="235">
        <v>5</v>
      </c>
      <c r="C37" s="190" t="s">
        <v>812</v>
      </c>
      <c r="D37" s="191">
        <v>10</v>
      </c>
      <c r="E37" s="191" t="s">
        <v>784</v>
      </c>
      <c r="F37" s="190" t="s">
        <v>799</v>
      </c>
      <c r="G37" s="190" t="s">
        <v>1207</v>
      </c>
      <c r="H37" s="190" t="s">
        <v>1208</v>
      </c>
      <c r="I37" s="190" t="s">
        <v>1209</v>
      </c>
      <c r="J37" s="190" t="s">
        <v>1210</v>
      </c>
      <c r="K37" s="133">
        <v>45870</v>
      </c>
      <c r="L37" s="132" t="s">
        <v>1211</v>
      </c>
      <c r="M37" s="136" t="s">
        <v>1212</v>
      </c>
    </row>
    <row r="38" spans="2:13">
      <c r="B38" s="235">
        <v>6</v>
      </c>
      <c r="C38" s="190" t="s">
        <v>812</v>
      </c>
      <c r="D38" s="191">
        <v>255</v>
      </c>
      <c r="E38" s="191" t="s">
        <v>174</v>
      </c>
      <c r="F38" s="190" t="s">
        <v>799</v>
      </c>
      <c r="G38" s="190" t="s">
        <v>1213</v>
      </c>
      <c r="H38" s="190" t="s">
        <v>578</v>
      </c>
      <c r="I38" s="190" t="s">
        <v>914</v>
      </c>
      <c r="J38" s="190" t="s">
        <v>1170</v>
      </c>
      <c r="K38" s="190">
        <v>1</v>
      </c>
      <c r="L38" s="132" t="s">
        <v>792</v>
      </c>
      <c r="M38" s="136" t="s">
        <v>1212</v>
      </c>
    </row>
    <row r="39" spans="2:13" ht="33">
      <c r="B39" s="235">
        <v>7</v>
      </c>
      <c r="C39" s="190" t="s">
        <v>565</v>
      </c>
      <c r="D39" s="191">
        <v>32</v>
      </c>
      <c r="E39" s="191"/>
      <c r="F39" s="190" t="s">
        <v>1214</v>
      </c>
      <c r="G39" s="190" t="s">
        <v>1215</v>
      </c>
      <c r="H39" s="190" t="s">
        <v>1216</v>
      </c>
      <c r="I39" s="190" t="s">
        <v>1217</v>
      </c>
      <c r="J39" s="132" t="s">
        <v>1218</v>
      </c>
      <c r="K39" s="138" t="s">
        <v>1219</v>
      </c>
      <c r="L39" s="135" t="s">
        <v>591</v>
      </c>
      <c r="M39" s="97" t="s">
        <v>607</v>
      </c>
    </row>
    <row r="40" spans="2:13">
      <c r="B40" s="235">
        <v>8</v>
      </c>
      <c r="C40" s="190" t="s">
        <v>565</v>
      </c>
      <c r="D40" s="191">
        <v>255</v>
      </c>
      <c r="E40" s="191"/>
      <c r="F40" s="190" t="s">
        <v>1220</v>
      </c>
      <c r="G40" s="190" t="s">
        <v>929</v>
      </c>
      <c r="H40" s="190" t="s">
        <v>608</v>
      </c>
      <c r="I40" s="190" t="s">
        <v>609</v>
      </c>
      <c r="J40" s="190" t="s">
        <v>1221</v>
      </c>
      <c r="K40" s="190" t="s">
        <v>818</v>
      </c>
      <c r="L40" s="137"/>
      <c r="M40" s="97" t="s">
        <v>1222</v>
      </c>
    </row>
    <row r="41" spans="2:13">
      <c r="B41" s="235">
        <v>9</v>
      </c>
      <c r="C41" s="190" t="s">
        <v>812</v>
      </c>
      <c r="D41" s="191">
        <v>255</v>
      </c>
      <c r="E41" s="191"/>
      <c r="F41" s="190"/>
      <c r="G41" s="190"/>
      <c r="H41" s="190" t="s">
        <v>610</v>
      </c>
      <c r="I41" s="190" t="s">
        <v>1223</v>
      </c>
      <c r="J41" s="190" t="s">
        <v>611</v>
      </c>
      <c r="K41" s="137" t="s">
        <v>1224</v>
      </c>
      <c r="L41" s="137"/>
      <c r="M41" s="97" t="s">
        <v>1222</v>
      </c>
    </row>
    <row r="42" spans="2:13">
      <c r="B42" s="235">
        <v>10</v>
      </c>
      <c r="C42" s="190" t="s">
        <v>800</v>
      </c>
      <c r="D42" s="191">
        <v>255</v>
      </c>
      <c r="E42" s="191"/>
      <c r="F42" s="190"/>
      <c r="G42" s="190"/>
      <c r="H42" s="190" t="s">
        <v>1226</v>
      </c>
      <c r="I42" s="190" t="s">
        <v>1227</v>
      </c>
      <c r="J42" s="190" t="s">
        <v>1228</v>
      </c>
      <c r="K42" s="137" t="s">
        <v>1229</v>
      </c>
      <c r="L42" s="137"/>
      <c r="M42" s="97" t="s">
        <v>1230</v>
      </c>
    </row>
    <row r="43" spans="2:13">
      <c r="B43" s="235">
        <v>11</v>
      </c>
      <c r="C43" s="190" t="s">
        <v>812</v>
      </c>
      <c r="D43" s="191">
        <v>20</v>
      </c>
      <c r="E43" s="191"/>
      <c r="F43" s="190" t="s">
        <v>1231</v>
      </c>
      <c r="G43" s="190" t="s">
        <v>1232</v>
      </c>
      <c r="H43" s="137" t="s">
        <v>612</v>
      </c>
      <c r="I43" s="190" t="s">
        <v>613</v>
      </c>
      <c r="J43" s="190" t="s">
        <v>1233</v>
      </c>
      <c r="K43" s="190">
        <v>1</v>
      </c>
      <c r="L43" s="137"/>
      <c r="M43" s="97" t="s">
        <v>607</v>
      </c>
    </row>
    <row r="44" spans="2:13">
      <c r="B44" s="235">
        <v>12</v>
      </c>
      <c r="C44" s="190" t="s">
        <v>800</v>
      </c>
      <c r="D44" s="191">
        <v>8</v>
      </c>
      <c r="E44" s="191"/>
      <c r="F44" s="190"/>
      <c r="G44" s="190"/>
      <c r="H44" s="190" t="s">
        <v>1234</v>
      </c>
      <c r="I44" s="190" t="s">
        <v>614</v>
      </c>
      <c r="J44" s="190" t="s">
        <v>1235</v>
      </c>
      <c r="K44" s="138" t="s">
        <v>1236</v>
      </c>
      <c r="L44" s="132" t="s">
        <v>1237</v>
      </c>
      <c r="M44" s="97" t="s">
        <v>607</v>
      </c>
    </row>
    <row r="45" spans="2:13">
      <c r="B45" s="235">
        <v>13</v>
      </c>
      <c r="C45" s="190" t="s">
        <v>812</v>
      </c>
      <c r="D45" s="191">
        <v>255</v>
      </c>
      <c r="E45" s="191"/>
      <c r="F45" s="190"/>
      <c r="G45" s="190"/>
      <c r="H45" s="190" t="s">
        <v>615</v>
      </c>
      <c r="I45" s="190" t="s">
        <v>1238</v>
      </c>
      <c r="J45" s="190" t="s">
        <v>1239</v>
      </c>
      <c r="K45" s="138" t="s">
        <v>1240</v>
      </c>
      <c r="L45" s="132"/>
      <c r="M45" s="97" t="s">
        <v>607</v>
      </c>
    </row>
    <row r="46" spans="2:13">
      <c r="B46" s="235">
        <v>14</v>
      </c>
      <c r="C46" s="190" t="s">
        <v>783</v>
      </c>
      <c r="D46" s="191">
        <v>255</v>
      </c>
      <c r="E46" s="191"/>
      <c r="F46" s="427" t="s">
        <v>801</v>
      </c>
      <c r="G46" s="427" t="s">
        <v>1225</v>
      </c>
      <c r="H46" s="190" t="s">
        <v>1241</v>
      </c>
      <c r="I46" s="190" t="s">
        <v>616</v>
      </c>
      <c r="J46" s="190" t="s">
        <v>1242</v>
      </c>
      <c r="K46" s="137" t="s">
        <v>1243</v>
      </c>
      <c r="L46" s="137"/>
      <c r="M46" s="97" t="s">
        <v>1222</v>
      </c>
    </row>
    <row r="47" spans="2:13">
      <c r="B47" s="235">
        <v>15</v>
      </c>
      <c r="C47" s="190" t="s">
        <v>812</v>
      </c>
      <c r="D47" s="191">
        <v>20</v>
      </c>
      <c r="E47" s="191"/>
      <c r="F47" s="190" t="s">
        <v>1244</v>
      </c>
      <c r="G47" s="190" t="s">
        <v>1245</v>
      </c>
      <c r="H47" s="190" t="s">
        <v>617</v>
      </c>
      <c r="I47" s="190" t="s">
        <v>618</v>
      </c>
      <c r="J47" s="190" t="s">
        <v>1246</v>
      </c>
      <c r="K47" s="137" t="s">
        <v>1247</v>
      </c>
      <c r="L47" s="137"/>
      <c r="M47" s="97" t="s">
        <v>1248</v>
      </c>
    </row>
    <row r="48" spans="2:13">
      <c r="B48" s="235">
        <v>16</v>
      </c>
      <c r="C48" s="190" t="s">
        <v>812</v>
      </c>
      <c r="D48" s="191">
        <v>30</v>
      </c>
      <c r="E48" s="191"/>
      <c r="F48" s="190" t="s">
        <v>1249</v>
      </c>
      <c r="G48" s="190" t="s">
        <v>1250</v>
      </c>
      <c r="H48" s="190" t="s">
        <v>619</v>
      </c>
      <c r="I48" s="190" t="s">
        <v>1251</v>
      </c>
      <c r="J48" s="190" t="s">
        <v>620</v>
      </c>
      <c r="K48" s="137" t="s">
        <v>1252</v>
      </c>
      <c r="L48" s="137"/>
      <c r="M48" s="97" t="s">
        <v>1222</v>
      </c>
    </row>
    <row r="49" spans="2:13">
      <c r="B49" s="235">
        <v>17</v>
      </c>
      <c r="C49" s="190" t="s">
        <v>1183</v>
      </c>
      <c r="D49" s="191">
        <v>20</v>
      </c>
      <c r="E49" s="191"/>
      <c r="F49" s="190" t="s">
        <v>1244</v>
      </c>
      <c r="G49" s="190" t="s">
        <v>1253</v>
      </c>
      <c r="H49" s="190" t="s">
        <v>1254</v>
      </c>
      <c r="I49" s="190" t="s">
        <v>621</v>
      </c>
      <c r="J49" s="190" t="s">
        <v>1255</v>
      </c>
      <c r="K49" s="208" t="s">
        <v>1256</v>
      </c>
      <c r="L49" s="137"/>
      <c r="M49" s="97" t="s">
        <v>607</v>
      </c>
    </row>
    <row r="50" spans="2:13">
      <c r="B50" s="235">
        <v>18</v>
      </c>
      <c r="C50" s="190" t="s">
        <v>812</v>
      </c>
      <c r="D50" s="191">
        <v>255</v>
      </c>
      <c r="E50" s="191"/>
      <c r="F50" s="190"/>
      <c r="G50" s="190"/>
      <c r="H50" s="190" t="s">
        <v>1257</v>
      </c>
      <c r="I50" s="190" t="s">
        <v>1258</v>
      </c>
      <c r="J50" s="190" t="s">
        <v>1259</v>
      </c>
      <c r="K50" s="137" t="s">
        <v>1260</v>
      </c>
      <c r="L50" s="137"/>
      <c r="M50" s="97" t="s">
        <v>1222</v>
      </c>
    </row>
    <row r="51" spans="2:13">
      <c r="B51" s="235">
        <v>19</v>
      </c>
      <c r="C51" s="190" t="s">
        <v>622</v>
      </c>
      <c r="D51" s="191"/>
      <c r="E51" s="191"/>
      <c r="F51" s="190"/>
      <c r="G51" s="190"/>
      <c r="H51" s="190" t="s">
        <v>1261</v>
      </c>
      <c r="I51" s="190" t="s">
        <v>1262</v>
      </c>
      <c r="J51" s="190" t="s">
        <v>623</v>
      </c>
      <c r="K51" s="139">
        <v>3.5</v>
      </c>
      <c r="L51" s="137"/>
      <c r="M51" s="97" t="s">
        <v>1222</v>
      </c>
    </row>
    <row r="52" spans="2:13">
      <c r="B52" s="235">
        <v>20</v>
      </c>
      <c r="C52" s="190" t="s">
        <v>1263</v>
      </c>
      <c r="D52" s="190"/>
      <c r="E52" s="191" t="s">
        <v>174</v>
      </c>
      <c r="F52" s="190" t="s">
        <v>1244</v>
      </c>
      <c r="G52" s="190" t="s">
        <v>844</v>
      </c>
      <c r="H52" s="190" t="s">
        <v>845</v>
      </c>
      <c r="I52" s="190" t="s">
        <v>1264</v>
      </c>
      <c r="J52" s="190" t="s">
        <v>1265</v>
      </c>
      <c r="K52" s="190">
        <v>5</v>
      </c>
      <c r="L52" s="190"/>
      <c r="M52" s="136" t="s">
        <v>1202</v>
      </c>
    </row>
    <row r="53" spans="2:13">
      <c r="B53" s="235">
        <v>21</v>
      </c>
      <c r="C53" s="190" t="s">
        <v>1266</v>
      </c>
      <c r="D53" s="191"/>
      <c r="E53" s="191"/>
      <c r="F53" s="190" t="s">
        <v>1267</v>
      </c>
      <c r="G53" s="190" t="s">
        <v>1268</v>
      </c>
      <c r="H53" s="190" t="s">
        <v>1269</v>
      </c>
      <c r="I53" s="190" t="s">
        <v>1270</v>
      </c>
      <c r="J53" s="190" t="s">
        <v>624</v>
      </c>
      <c r="K53" s="190">
        <v>5</v>
      </c>
      <c r="L53" s="137"/>
      <c r="M53" s="140" t="s">
        <v>1271</v>
      </c>
    </row>
    <row r="54" spans="2:13">
      <c r="B54" s="235">
        <v>22</v>
      </c>
      <c r="C54" s="190" t="s">
        <v>1266</v>
      </c>
      <c r="D54" s="191"/>
      <c r="E54" s="191"/>
      <c r="F54" s="190"/>
      <c r="G54" s="190"/>
      <c r="H54" s="190" t="s">
        <v>1272</v>
      </c>
      <c r="I54" s="190" t="s">
        <v>1273</v>
      </c>
      <c r="J54" s="190" t="s">
        <v>1274</v>
      </c>
      <c r="K54" s="190">
        <v>5</v>
      </c>
      <c r="L54" s="137"/>
      <c r="M54" s="137" t="s">
        <v>1275</v>
      </c>
    </row>
    <row r="55" spans="2:13">
      <c r="B55" s="235">
        <v>23</v>
      </c>
      <c r="C55" s="190" t="s">
        <v>833</v>
      </c>
      <c r="D55" s="191"/>
      <c r="E55" s="191"/>
      <c r="F55" s="190"/>
      <c r="G55" s="190"/>
      <c r="H55" s="190" t="s">
        <v>1276</v>
      </c>
      <c r="I55" s="190" t="s">
        <v>1277</v>
      </c>
      <c r="J55" s="190" t="s">
        <v>626</v>
      </c>
      <c r="K55" s="190">
        <v>5</v>
      </c>
      <c r="L55" s="137"/>
      <c r="M55" s="137" t="s">
        <v>1278</v>
      </c>
    </row>
    <row r="56" spans="2:13">
      <c r="B56" s="235">
        <v>24</v>
      </c>
      <c r="C56" s="190" t="s">
        <v>1266</v>
      </c>
      <c r="D56" s="191"/>
      <c r="E56" s="191"/>
      <c r="F56" s="190"/>
      <c r="G56" s="190"/>
      <c r="H56" s="190" t="s">
        <v>1279</v>
      </c>
      <c r="I56" s="190" t="s">
        <v>1280</v>
      </c>
      <c r="J56" s="190" t="s">
        <v>1281</v>
      </c>
      <c r="K56" s="190">
        <v>5</v>
      </c>
      <c r="L56" s="137"/>
      <c r="M56" s="137" t="s">
        <v>1278</v>
      </c>
    </row>
    <row r="57" spans="2:13">
      <c r="B57" s="235">
        <v>25</v>
      </c>
      <c r="C57" s="190" t="s">
        <v>833</v>
      </c>
      <c r="D57" s="191"/>
      <c r="E57" s="191"/>
      <c r="F57" s="190"/>
      <c r="G57" s="190"/>
      <c r="H57" s="190" t="s">
        <v>1282</v>
      </c>
      <c r="I57" s="190" t="s">
        <v>1283</v>
      </c>
      <c r="J57" s="190" t="s">
        <v>1284</v>
      </c>
      <c r="K57" s="139">
        <v>0</v>
      </c>
      <c r="L57" s="137"/>
      <c r="M57" s="137" t="s">
        <v>625</v>
      </c>
    </row>
    <row r="58" spans="2:13">
      <c r="B58" s="235">
        <v>26</v>
      </c>
      <c r="C58" s="190" t="s">
        <v>1266</v>
      </c>
      <c r="D58" s="191"/>
      <c r="E58" s="191"/>
      <c r="F58" s="190"/>
      <c r="G58" s="190"/>
      <c r="H58" s="190" t="s">
        <v>1285</v>
      </c>
      <c r="I58" s="190" t="s">
        <v>1286</v>
      </c>
      <c r="J58" s="190" t="s">
        <v>1287</v>
      </c>
      <c r="K58" s="139">
        <v>0</v>
      </c>
      <c r="L58" s="137"/>
      <c r="M58" s="137" t="s">
        <v>1288</v>
      </c>
    </row>
    <row r="59" spans="2:13">
      <c r="B59" s="235">
        <v>27</v>
      </c>
      <c r="C59" s="190" t="s">
        <v>1266</v>
      </c>
      <c r="D59" s="191"/>
      <c r="E59" s="191"/>
      <c r="F59" s="190"/>
      <c r="G59" s="190"/>
      <c r="H59" s="190" t="s">
        <v>1289</v>
      </c>
      <c r="I59" s="190" t="s">
        <v>1290</v>
      </c>
      <c r="J59" s="190" t="s">
        <v>1291</v>
      </c>
      <c r="K59" s="139">
        <v>0</v>
      </c>
      <c r="L59" s="137"/>
      <c r="M59" s="137" t="s">
        <v>1278</v>
      </c>
    </row>
    <row r="60" spans="2:13">
      <c r="B60" s="235">
        <v>28</v>
      </c>
      <c r="C60" s="190" t="s">
        <v>1266</v>
      </c>
      <c r="D60" s="191"/>
      <c r="E60" s="191"/>
      <c r="F60" s="190"/>
      <c r="G60" s="190"/>
      <c r="H60" s="190" t="s">
        <v>1292</v>
      </c>
      <c r="I60" s="190" t="s">
        <v>1293</v>
      </c>
      <c r="J60" s="190" t="s">
        <v>1294</v>
      </c>
      <c r="K60" s="139">
        <v>0</v>
      </c>
      <c r="L60" s="137"/>
      <c r="M60" s="137" t="s">
        <v>1278</v>
      </c>
    </row>
    <row r="61" spans="2:13">
      <c r="B61" s="235">
        <v>29</v>
      </c>
      <c r="C61" s="190" t="s">
        <v>1183</v>
      </c>
      <c r="D61" s="191">
        <v>30</v>
      </c>
      <c r="E61" s="191" t="s">
        <v>174</v>
      </c>
      <c r="F61" s="190"/>
      <c r="G61" s="190"/>
      <c r="H61" s="190" t="s">
        <v>1295</v>
      </c>
      <c r="I61" s="190" t="s">
        <v>1296</v>
      </c>
      <c r="J61" s="190" t="s">
        <v>1297</v>
      </c>
      <c r="K61" s="137" t="s">
        <v>1298</v>
      </c>
      <c r="L61" s="132" t="s">
        <v>916</v>
      </c>
      <c r="M61" s="136" t="s">
        <v>1299</v>
      </c>
    </row>
    <row r="62" spans="2:13">
      <c r="B62" s="235">
        <v>30</v>
      </c>
      <c r="C62" s="190" t="s">
        <v>800</v>
      </c>
      <c r="D62" s="191">
        <v>19</v>
      </c>
      <c r="E62" s="191" t="s">
        <v>784</v>
      </c>
      <c r="F62" s="190"/>
      <c r="G62" s="190"/>
      <c r="H62" s="190" t="s">
        <v>1300</v>
      </c>
      <c r="I62" s="190" t="s">
        <v>1301</v>
      </c>
      <c r="J62" s="190" t="s">
        <v>1302</v>
      </c>
      <c r="K62" s="138" t="s">
        <v>1303</v>
      </c>
      <c r="L62" s="132" t="s">
        <v>1304</v>
      </c>
      <c r="M62" s="136" t="s">
        <v>1305</v>
      </c>
    </row>
    <row r="63" spans="2:13">
      <c r="B63" s="235">
        <v>31</v>
      </c>
      <c r="C63" s="190" t="s">
        <v>1183</v>
      </c>
      <c r="D63" s="191">
        <v>19</v>
      </c>
      <c r="E63" s="191"/>
      <c r="F63" s="190" t="s">
        <v>1306</v>
      </c>
      <c r="G63" s="190" t="s">
        <v>1307</v>
      </c>
      <c r="H63" s="190" t="s">
        <v>627</v>
      </c>
      <c r="I63" s="190" t="s">
        <v>1308</v>
      </c>
      <c r="J63" s="190" t="s">
        <v>1309</v>
      </c>
      <c r="K63" s="138" t="s">
        <v>1303</v>
      </c>
      <c r="L63" s="132" t="s">
        <v>1310</v>
      </c>
      <c r="M63" s="97" t="s">
        <v>1311</v>
      </c>
    </row>
    <row r="64" spans="2:13">
      <c r="B64" s="235">
        <v>32</v>
      </c>
      <c r="C64" s="190" t="s">
        <v>565</v>
      </c>
      <c r="D64" s="191">
        <v>19</v>
      </c>
      <c r="E64" s="191"/>
      <c r="F64" s="190" t="s">
        <v>1306</v>
      </c>
      <c r="G64" s="190" t="s">
        <v>1312</v>
      </c>
      <c r="H64" s="190" t="s">
        <v>1313</v>
      </c>
      <c r="I64" s="190" t="s">
        <v>628</v>
      </c>
      <c r="J64" s="190" t="s">
        <v>1314</v>
      </c>
      <c r="K64" s="138" t="s">
        <v>1303</v>
      </c>
      <c r="L64" s="132" t="s">
        <v>1315</v>
      </c>
      <c r="M64" s="140" t="s">
        <v>1316</v>
      </c>
    </row>
    <row r="65" spans="2:13">
      <c r="B65" s="235">
        <v>33</v>
      </c>
      <c r="C65" s="190" t="s">
        <v>800</v>
      </c>
      <c r="D65" s="191">
        <v>19</v>
      </c>
      <c r="E65" s="191"/>
      <c r="F65" s="190"/>
      <c r="G65" s="190"/>
      <c r="H65" s="190" t="s">
        <v>1317</v>
      </c>
      <c r="I65" s="190" t="s">
        <v>1318</v>
      </c>
      <c r="J65" s="190" t="s">
        <v>629</v>
      </c>
      <c r="K65" s="138" t="s">
        <v>1303</v>
      </c>
      <c r="L65" s="132" t="s">
        <v>1319</v>
      </c>
      <c r="M65" s="137" t="s">
        <v>1320</v>
      </c>
    </row>
    <row r="66" spans="2:13">
      <c r="B66" s="235">
        <v>34</v>
      </c>
      <c r="C66" s="190" t="s">
        <v>1183</v>
      </c>
      <c r="D66" s="191">
        <v>19</v>
      </c>
      <c r="E66" s="191"/>
      <c r="F66" s="190"/>
      <c r="G66" s="190"/>
      <c r="H66" s="190" t="s">
        <v>1321</v>
      </c>
      <c r="I66" s="190" t="s">
        <v>1322</v>
      </c>
      <c r="J66" s="190" t="s">
        <v>1323</v>
      </c>
      <c r="K66" s="138" t="s">
        <v>1324</v>
      </c>
      <c r="L66" s="132" t="s">
        <v>1319</v>
      </c>
      <c r="M66" s="137" t="s">
        <v>1278</v>
      </c>
    </row>
    <row r="67" spans="2:13">
      <c r="B67" s="235">
        <v>35</v>
      </c>
      <c r="C67" s="190" t="s">
        <v>1266</v>
      </c>
      <c r="D67" s="191"/>
      <c r="E67" s="191"/>
      <c r="F67" s="190"/>
      <c r="G67" s="190"/>
      <c r="H67" s="190" t="s">
        <v>1325</v>
      </c>
      <c r="I67" s="190" t="s">
        <v>1326</v>
      </c>
      <c r="J67" s="190" t="s">
        <v>1327</v>
      </c>
      <c r="K67" s="139">
        <v>3</v>
      </c>
      <c r="L67" s="137"/>
      <c r="M67" s="97" t="s">
        <v>1311</v>
      </c>
    </row>
    <row r="68" spans="2:13" ht="82.5">
      <c r="B68" s="235">
        <v>36</v>
      </c>
      <c r="C68" s="190" t="s">
        <v>1328</v>
      </c>
      <c r="D68" s="191"/>
      <c r="E68" s="191"/>
      <c r="F68" s="190"/>
      <c r="G68" s="190"/>
      <c r="H68" s="209" t="s">
        <v>1329</v>
      </c>
      <c r="I68" s="209" t="s">
        <v>1330</v>
      </c>
      <c r="J68" s="209" t="s">
        <v>1331</v>
      </c>
      <c r="K68" s="210" t="s">
        <v>1332</v>
      </c>
      <c r="L68" s="211" t="s">
        <v>1333</v>
      </c>
      <c r="M68" s="137"/>
    </row>
    <row r="69" spans="2:13">
      <c r="F69" s="206"/>
      <c r="G69" s="206"/>
    </row>
    <row r="70" spans="2:13">
      <c r="B70" s="647" t="s">
        <v>1334</v>
      </c>
      <c r="C70" s="647"/>
      <c r="D70" s="647"/>
      <c r="E70" s="647"/>
      <c r="F70" s="647"/>
      <c r="G70" s="647"/>
      <c r="H70" s="647"/>
      <c r="I70" s="647"/>
      <c r="J70" s="647"/>
      <c r="K70" s="647"/>
      <c r="L70" s="647"/>
    </row>
    <row r="71" spans="2:13">
      <c r="F71" s="206"/>
      <c r="G71" s="206"/>
    </row>
    <row r="72" spans="2:13">
      <c r="F72" s="206"/>
      <c r="G72" s="206"/>
    </row>
    <row r="73" spans="2:13">
      <c r="F73" s="206"/>
      <c r="G73" s="206"/>
    </row>
    <row r="74" spans="2:13">
      <c r="F74" s="206"/>
      <c r="G74" s="206"/>
    </row>
    <row r="75" spans="2:13">
      <c r="F75" s="206"/>
      <c r="G75" s="206"/>
    </row>
    <row r="76" spans="2:13">
      <c r="F76" s="206"/>
      <c r="G76" s="206"/>
    </row>
    <row r="77" spans="2:13">
      <c r="F77" s="206"/>
      <c r="G77" s="206"/>
    </row>
    <row r="78" spans="2:13">
      <c r="F78" s="206"/>
      <c r="G78" s="206"/>
    </row>
    <row r="79" spans="2:13">
      <c r="F79" s="206"/>
      <c r="G79" s="206"/>
    </row>
    <row r="80" spans="2:13">
      <c r="F80" s="206"/>
      <c r="G80" s="206"/>
    </row>
    <row r="81" spans="6:7">
      <c r="F81" s="206"/>
      <c r="G81" s="206"/>
    </row>
    <row r="82" spans="6:7">
      <c r="F82" s="206"/>
      <c r="G82" s="206"/>
    </row>
    <row r="83" spans="6:7">
      <c r="F83" s="206"/>
      <c r="G83" s="206"/>
    </row>
    <row r="84" spans="6:7">
      <c r="F84" s="206"/>
      <c r="G84" s="206"/>
    </row>
    <row r="85" spans="6:7">
      <c r="F85" s="206"/>
      <c r="G85" s="206"/>
    </row>
    <row r="86" spans="6:7">
      <c r="F86" s="206"/>
      <c r="G86" s="206"/>
    </row>
    <row r="87" spans="6:7">
      <c r="F87" s="206"/>
      <c r="G87" s="206"/>
    </row>
    <row r="88" spans="6:7">
      <c r="F88" s="206"/>
      <c r="G88" s="206"/>
    </row>
    <row r="89" spans="6:7">
      <c r="F89" s="206"/>
      <c r="G89" s="206"/>
    </row>
    <row r="90" spans="6:7">
      <c r="F90" s="206"/>
      <c r="G90" s="206"/>
    </row>
    <row r="91" spans="6:7">
      <c r="F91" s="206"/>
      <c r="G91" s="206"/>
    </row>
    <row r="92" spans="6:7">
      <c r="F92" s="206"/>
      <c r="G92" s="206"/>
    </row>
    <row r="93" spans="6:7">
      <c r="F93" s="206"/>
      <c r="G93" s="206"/>
    </row>
    <row r="94" spans="6:7">
      <c r="F94" s="206"/>
      <c r="G94" s="206"/>
    </row>
    <row r="95" spans="6:7">
      <c r="F95" s="206"/>
      <c r="G95" s="206"/>
    </row>
    <row r="96" spans="6:7">
      <c r="F96" s="206"/>
      <c r="G96" s="206"/>
    </row>
    <row r="97" spans="6:7">
      <c r="F97" s="206"/>
      <c r="G97" s="206"/>
    </row>
    <row r="98" spans="6:7">
      <c r="F98" s="206"/>
      <c r="G98" s="206"/>
    </row>
    <row r="99" spans="6:7">
      <c r="F99" s="206"/>
      <c r="G99" s="206"/>
    </row>
    <row r="100" spans="6:7">
      <c r="F100" s="206"/>
      <c r="G100" s="206"/>
    </row>
    <row r="101" spans="6:7">
      <c r="F101" s="206"/>
      <c r="G101" s="206"/>
    </row>
    <row r="102" spans="6:7">
      <c r="F102" s="206"/>
      <c r="G102" s="206"/>
    </row>
    <row r="103" spans="6:7">
      <c r="F103" s="206"/>
      <c r="G103" s="206"/>
    </row>
    <row r="104" spans="6:7">
      <c r="F104" s="206"/>
      <c r="G104" s="206"/>
    </row>
    <row r="105" spans="6:7">
      <c r="F105" s="206"/>
      <c r="G105" s="206"/>
    </row>
    <row r="106" spans="6:7">
      <c r="F106" s="206"/>
      <c r="G106" s="206"/>
    </row>
    <row r="107" spans="6:7">
      <c r="F107" s="206"/>
      <c r="G107" s="206"/>
    </row>
    <row r="108" spans="6:7">
      <c r="F108" s="206"/>
      <c r="G108" s="206"/>
    </row>
    <row r="109" spans="6:7">
      <c r="F109" s="206"/>
      <c r="G109" s="206"/>
    </row>
    <row r="110" spans="6:7">
      <c r="F110" s="206"/>
      <c r="G110" s="206"/>
    </row>
    <row r="111" spans="6:7">
      <c r="F111" s="206"/>
      <c r="G111" s="206"/>
    </row>
    <row r="112" spans="6:7">
      <c r="F112" s="206"/>
      <c r="G112" s="206"/>
    </row>
    <row r="113" spans="6:7">
      <c r="F113" s="206"/>
      <c r="G113" s="206"/>
    </row>
    <row r="114" spans="6:7">
      <c r="F114" s="206"/>
      <c r="G114" s="206"/>
    </row>
    <row r="115" spans="6:7">
      <c r="F115" s="206"/>
      <c r="G115" s="206"/>
    </row>
    <row r="116" spans="6:7">
      <c r="F116" s="206"/>
      <c r="G116" s="206"/>
    </row>
    <row r="117" spans="6:7">
      <c r="F117" s="206"/>
      <c r="G117" s="206"/>
    </row>
    <row r="118" spans="6:7">
      <c r="F118" s="206"/>
      <c r="G118" s="206"/>
    </row>
    <row r="119" spans="6:7">
      <c r="F119" s="206"/>
      <c r="G119" s="206"/>
    </row>
    <row r="120" spans="6:7">
      <c r="F120" s="206"/>
      <c r="G120" s="206"/>
    </row>
    <row r="121" spans="6:7">
      <c r="F121" s="206"/>
      <c r="G121" s="206"/>
    </row>
    <row r="122" spans="6:7">
      <c r="F122" s="206"/>
      <c r="G122" s="206"/>
    </row>
    <row r="123" spans="6:7">
      <c r="F123" s="206"/>
      <c r="G123" s="206"/>
    </row>
    <row r="124" spans="6:7">
      <c r="F124" s="206"/>
      <c r="G124" s="206"/>
    </row>
  </sheetData>
  <mergeCells count="21">
    <mergeCell ref="B3:L3"/>
    <mergeCell ref="B5:C5"/>
    <mergeCell ref="D5:H5"/>
    <mergeCell ref="J5:L5"/>
    <mergeCell ref="B6:C6"/>
    <mergeCell ref="D6:H6"/>
    <mergeCell ref="J6:L6"/>
    <mergeCell ref="B70:L70"/>
    <mergeCell ref="B31:L31"/>
    <mergeCell ref="B7:C7"/>
    <mergeCell ref="D7:H7"/>
    <mergeCell ref="J7:L7"/>
    <mergeCell ref="B8:C8"/>
    <mergeCell ref="D8:L8"/>
    <mergeCell ref="B9:C9"/>
    <mergeCell ref="D9:L9"/>
    <mergeCell ref="B10:C10"/>
    <mergeCell ref="D10:L10"/>
    <mergeCell ref="B12:L12"/>
    <mergeCell ref="B21:L21"/>
    <mergeCell ref="B27:L27"/>
  </mergeCells>
  <phoneticPr fontId="1" type="noConversion"/>
  <hyperlinks>
    <hyperlink ref="B1" location="ERP_인터페이스목록!A1" display="목록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B1:I34"/>
  <sheetViews>
    <sheetView workbookViewId="0">
      <selection activeCell="B1" sqref="B1"/>
    </sheetView>
  </sheetViews>
  <sheetFormatPr defaultRowHeight="16.5"/>
  <cols>
    <col min="1" max="1" width="1.125" customWidth="1"/>
    <col min="2" max="2" width="18.25" customWidth="1"/>
    <col min="3" max="3" width="23.875" customWidth="1"/>
    <col min="4" max="4" width="56.75" customWidth="1"/>
  </cols>
  <sheetData>
    <row r="1" spans="2:9" s="48" customFormat="1">
      <c r="B1" s="64" t="s">
        <v>38</v>
      </c>
    </row>
    <row r="2" spans="2:9" ht="7.15" customHeight="1"/>
    <row r="3" spans="2:9" ht="26.25">
      <c r="B3" s="658" t="s">
        <v>630</v>
      </c>
      <c r="C3" s="659"/>
      <c r="D3" s="660"/>
      <c r="E3" s="141"/>
      <c r="F3" s="141"/>
      <c r="G3" s="141"/>
      <c r="H3" s="141"/>
      <c r="I3" s="141"/>
    </row>
    <row r="5" spans="2:9">
      <c r="B5" s="665" t="s">
        <v>3350</v>
      </c>
      <c r="C5" s="665"/>
      <c r="D5" s="665"/>
    </row>
    <row r="6" spans="2:9">
      <c r="B6" s="424" t="s">
        <v>3351</v>
      </c>
      <c r="C6" s="424" t="s">
        <v>572</v>
      </c>
      <c r="D6" s="424" t="s">
        <v>122</v>
      </c>
    </row>
    <row r="7" spans="2:9">
      <c r="B7" s="425">
        <v>200</v>
      </c>
      <c r="C7" s="423" t="s">
        <v>3352</v>
      </c>
      <c r="D7" s="423"/>
    </row>
    <row r="8" spans="2:9">
      <c r="B8" s="425">
        <v>400</v>
      </c>
      <c r="C8" s="423" t="s">
        <v>3353</v>
      </c>
      <c r="D8" s="423" t="s">
        <v>3354</v>
      </c>
    </row>
    <row r="9" spans="2:9">
      <c r="B9" s="425">
        <v>500</v>
      </c>
      <c r="C9" s="423" t="s">
        <v>3355</v>
      </c>
      <c r="D9" s="423"/>
    </row>
    <row r="10" spans="2:9">
      <c r="B10" s="426"/>
      <c r="C10" s="422"/>
      <c r="D10" s="422"/>
    </row>
    <row r="11" spans="2:9">
      <c r="B11" s="647" t="s">
        <v>3356</v>
      </c>
      <c r="C11" s="647"/>
      <c r="D11" s="647"/>
    </row>
    <row r="12" spans="2:9">
      <c r="B12" s="424" t="s">
        <v>3351</v>
      </c>
      <c r="C12" s="424" t="s">
        <v>572</v>
      </c>
      <c r="D12" s="424" t="s">
        <v>122</v>
      </c>
    </row>
    <row r="13" spans="2:9">
      <c r="B13" s="425">
        <v>1</v>
      </c>
      <c r="C13" s="423" t="s">
        <v>3357</v>
      </c>
      <c r="D13" s="423"/>
    </row>
    <row r="14" spans="2:9">
      <c r="B14" s="425">
        <v>2</v>
      </c>
      <c r="C14" s="423" t="s">
        <v>3358</v>
      </c>
      <c r="D14" s="423"/>
    </row>
    <row r="15" spans="2:9">
      <c r="B15" s="425">
        <v>3</v>
      </c>
      <c r="C15" s="423" t="s">
        <v>3359</v>
      </c>
      <c r="D15" s="423"/>
    </row>
    <row r="16" spans="2:9">
      <c r="B16" s="425">
        <v>4</v>
      </c>
      <c r="C16" s="423" t="s">
        <v>3360</v>
      </c>
      <c r="D16" s="423"/>
    </row>
    <row r="17" spans="2:4">
      <c r="B17" s="425">
        <v>5</v>
      </c>
      <c r="C17" s="423" t="s">
        <v>3361</v>
      </c>
      <c r="D17" s="422"/>
    </row>
    <row r="18" spans="2:4">
      <c r="B18" s="425">
        <v>6</v>
      </c>
      <c r="C18" s="423" t="s">
        <v>3362</v>
      </c>
      <c r="D18" s="423"/>
    </row>
    <row r="19" spans="2:4">
      <c r="B19" s="425">
        <v>7</v>
      </c>
      <c r="C19" s="423" t="s">
        <v>3363</v>
      </c>
      <c r="D19" s="423"/>
    </row>
    <row r="20" spans="2:4">
      <c r="B20" s="425">
        <v>8</v>
      </c>
      <c r="C20" s="423" t="s">
        <v>3364</v>
      </c>
      <c r="D20" s="423"/>
    </row>
    <row r="21" spans="2:4">
      <c r="B21" s="419"/>
      <c r="C21" s="419"/>
      <c r="D21" s="419"/>
    </row>
    <row r="22" spans="2:4">
      <c r="B22" s="647" t="s">
        <v>3365</v>
      </c>
      <c r="C22" s="647"/>
      <c r="D22" s="647"/>
    </row>
    <row r="23" spans="2:4">
      <c r="B23" s="424" t="s">
        <v>3351</v>
      </c>
      <c r="C23" s="424" t="s">
        <v>572</v>
      </c>
      <c r="D23" s="424" t="s">
        <v>122</v>
      </c>
    </row>
    <row r="24" spans="2:4">
      <c r="B24" s="425">
        <v>200</v>
      </c>
      <c r="C24" s="423" t="s">
        <v>3366</v>
      </c>
      <c r="D24" s="423"/>
    </row>
    <row r="25" spans="2:4">
      <c r="B25" s="425">
        <v>100</v>
      </c>
      <c r="C25" s="423" t="s">
        <v>3367</v>
      </c>
      <c r="D25" s="423"/>
    </row>
    <row r="26" spans="2:4">
      <c r="B26" s="425">
        <v>300</v>
      </c>
      <c r="C26" s="423" t="s">
        <v>3368</v>
      </c>
      <c r="D26" s="423"/>
    </row>
    <row r="27" spans="2:4">
      <c r="B27" s="421"/>
      <c r="C27" s="420"/>
      <c r="D27" s="420"/>
    </row>
    <row r="28" spans="2:4">
      <c r="B28" s="647" t="s">
        <v>3369</v>
      </c>
      <c r="C28" s="647"/>
      <c r="D28" s="647"/>
    </row>
    <row r="29" spans="2:4">
      <c r="B29" s="424" t="s">
        <v>3351</v>
      </c>
      <c r="C29" s="424" t="s">
        <v>572</v>
      </c>
      <c r="D29" s="424" t="s">
        <v>122</v>
      </c>
    </row>
    <row r="30" spans="2:4">
      <c r="B30" s="425" t="s">
        <v>3370</v>
      </c>
      <c r="C30" s="423" t="s">
        <v>3371</v>
      </c>
      <c r="D30" s="423"/>
    </row>
    <row r="31" spans="2:4">
      <c r="B31" s="425" t="s">
        <v>3372</v>
      </c>
      <c r="C31" s="423" t="s">
        <v>3373</v>
      </c>
      <c r="D31" s="423"/>
    </row>
    <row r="32" spans="2:4">
      <c r="B32" s="425" t="s">
        <v>3374</v>
      </c>
      <c r="C32" s="423" t="s">
        <v>3375</v>
      </c>
      <c r="D32" s="423"/>
    </row>
    <row r="33" spans="2:4">
      <c r="B33" s="425" t="s">
        <v>3376</v>
      </c>
      <c r="C33" s="423" t="s">
        <v>3377</v>
      </c>
      <c r="D33" s="423"/>
    </row>
    <row r="34" spans="2:4">
      <c r="B34" s="425" t="s">
        <v>3378</v>
      </c>
      <c r="C34" s="423" t="s">
        <v>3379</v>
      </c>
      <c r="D34" s="423"/>
    </row>
  </sheetData>
  <mergeCells count="5">
    <mergeCell ref="B5:D5"/>
    <mergeCell ref="B11:D11"/>
    <mergeCell ref="B22:D22"/>
    <mergeCell ref="B28:D28"/>
    <mergeCell ref="B3:D3"/>
  </mergeCells>
  <phoneticPr fontId="1" type="noConversion"/>
  <hyperlinks>
    <hyperlink ref="B1" location="ERP_인터페이스목록!A1" display="목록"/>
  </hyperlinks>
  <pageMargins left="0.25" right="0.25" top="0.75" bottom="0.75" header="0.3" footer="0.3"/>
  <pageSetup paperSize="9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Q57"/>
  <sheetViews>
    <sheetView topLeftCell="A16" zoomScaleNormal="100" workbookViewId="0">
      <selection activeCell="H30" sqref="H30"/>
    </sheetView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7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7" s="246" customFormat="1">
      <c r="A2" s="247" t="s">
        <v>2967</v>
      </c>
      <c r="B2" s="546" t="s">
        <v>2968</v>
      </c>
      <c r="C2" s="546"/>
      <c r="D2" s="546"/>
      <c r="E2" s="546"/>
      <c r="F2" s="546"/>
      <c r="G2" s="546"/>
      <c r="H2" s="546"/>
      <c r="I2" s="546"/>
      <c r="J2" s="546"/>
      <c r="K2" s="546"/>
      <c r="L2" s="546"/>
      <c r="M2" s="546"/>
      <c r="N2" s="546"/>
      <c r="O2" s="546"/>
      <c r="P2" s="547"/>
    </row>
    <row r="3" spans="1:17" s="246" customFormat="1" ht="12">
      <c r="A3" s="309" t="s">
        <v>1391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7" s="246" customFormat="1" ht="12" customHeight="1">
      <c r="A4" s="309" t="s">
        <v>1392</v>
      </c>
      <c r="B4" s="550" t="s">
        <v>2969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7" s="249" customFormat="1" ht="16.5" customHeight="1">
      <c r="A5" s="553" t="s">
        <v>2970</v>
      </c>
      <c r="B5" s="554" t="s">
        <v>2971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7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7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7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7" s="249" customFormat="1" ht="16.5" customHeight="1">
      <c r="A9" s="309" t="s">
        <v>2972</v>
      </c>
      <c r="B9" s="559"/>
      <c r="C9" s="559"/>
      <c r="D9" s="559"/>
      <c r="E9" s="559"/>
      <c r="F9" s="559"/>
      <c r="G9" s="559"/>
      <c r="H9" s="559"/>
      <c r="I9" s="250" t="s">
        <v>2973</v>
      </c>
      <c r="J9" s="559" t="s">
        <v>2974</v>
      </c>
      <c r="K9" s="559"/>
      <c r="L9" s="559"/>
      <c r="M9" s="559"/>
      <c r="N9" s="559"/>
      <c r="O9" s="559"/>
      <c r="P9" s="561"/>
    </row>
    <row r="10" spans="1:17" s="249" customFormat="1" ht="16.5" customHeight="1">
      <c r="A10" s="309" t="s">
        <v>2975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7" s="249" customFormat="1" ht="16.5" customHeight="1">
      <c r="A11" s="562" t="s">
        <v>690</v>
      </c>
      <c r="B11" s="563"/>
      <c r="C11" s="563"/>
      <c r="D11" s="563"/>
      <c r="E11" s="563"/>
      <c r="F11" s="563"/>
      <c r="G11" s="563"/>
      <c r="H11" s="563"/>
      <c r="I11" s="564" t="s">
        <v>2976</v>
      </c>
      <c r="J11" s="564"/>
      <c r="K11" s="564"/>
      <c r="L11" s="564"/>
      <c r="M11" s="564"/>
      <c r="N11" s="564"/>
      <c r="O11" s="564"/>
      <c r="P11" s="565"/>
    </row>
    <row r="12" spans="1:17" s="249" customFormat="1" ht="25.5" customHeight="1">
      <c r="A12" s="309" t="s">
        <v>1403</v>
      </c>
      <c r="B12" s="566" t="s">
        <v>2977</v>
      </c>
      <c r="C12" s="566"/>
      <c r="D12" s="566"/>
      <c r="E12" s="566"/>
      <c r="F12" s="566"/>
      <c r="G12" s="566"/>
      <c r="H12" s="566"/>
      <c r="I12" s="250" t="s">
        <v>2978</v>
      </c>
      <c r="J12" s="566" t="s">
        <v>2979</v>
      </c>
      <c r="K12" s="566"/>
      <c r="L12" s="566"/>
      <c r="M12" s="566"/>
      <c r="N12" s="566"/>
      <c r="O12" s="566"/>
      <c r="P12" s="567"/>
    </row>
    <row r="13" spans="1:17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2980</v>
      </c>
      <c r="J13" s="564"/>
      <c r="K13" s="564"/>
      <c r="L13" s="564"/>
      <c r="M13" s="564"/>
      <c r="N13" s="564"/>
      <c r="O13" s="564"/>
      <c r="P13" s="565"/>
    </row>
    <row r="14" spans="1:17" s="246" customFormat="1" ht="24">
      <c r="A14" s="251" t="s">
        <v>2981</v>
      </c>
      <c r="B14" s="252" t="s">
        <v>2982</v>
      </c>
      <c r="C14" s="252" t="s">
        <v>2983</v>
      </c>
      <c r="D14" s="253" t="s">
        <v>2984</v>
      </c>
      <c r="E14" s="252" t="s">
        <v>2985</v>
      </c>
      <c r="F14" s="252" t="s">
        <v>2986</v>
      </c>
      <c r="G14" s="252" t="s">
        <v>1414</v>
      </c>
      <c r="H14" s="252" t="s">
        <v>72</v>
      </c>
      <c r="I14" s="252" t="s">
        <v>1525</v>
      </c>
      <c r="J14" s="252" t="s">
        <v>2982</v>
      </c>
      <c r="K14" s="252" t="s">
        <v>2983</v>
      </c>
      <c r="L14" s="253" t="s">
        <v>2984</v>
      </c>
      <c r="M14" s="253" t="s">
        <v>52</v>
      </c>
      <c r="N14" s="252" t="s">
        <v>1413</v>
      </c>
      <c r="O14" s="252" t="s">
        <v>1394</v>
      </c>
      <c r="P14" s="254" t="s">
        <v>2987</v>
      </c>
    </row>
    <row r="15" spans="1:17" s="262" customFormat="1" ht="16.5" customHeight="1">
      <c r="A15" s="255"/>
      <c r="B15" s="256"/>
      <c r="C15" s="256"/>
      <c r="D15" s="257"/>
      <c r="E15" s="257"/>
      <c r="F15" s="256"/>
      <c r="G15" s="256" t="s">
        <v>1422</v>
      </c>
      <c r="H15" s="256" t="s">
        <v>2854</v>
      </c>
      <c r="I15" s="256" t="s">
        <v>2487</v>
      </c>
      <c r="J15" s="256" t="s">
        <v>1535</v>
      </c>
      <c r="K15" s="256" t="s">
        <v>2265</v>
      </c>
      <c r="L15" s="257" t="s">
        <v>2266</v>
      </c>
      <c r="M15" s="257" t="s">
        <v>515</v>
      </c>
      <c r="N15" s="256"/>
      <c r="O15" s="256" t="s">
        <v>2267</v>
      </c>
      <c r="P15" s="256"/>
      <c r="Q15" s="261"/>
    </row>
    <row r="16" spans="1:17" s="262" customFormat="1" ht="24">
      <c r="A16" s="255"/>
      <c r="B16" s="256"/>
      <c r="C16" s="256"/>
      <c r="D16" s="257"/>
      <c r="E16" s="257"/>
      <c r="F16" s="257"/>
      <c r="G16" s="256" t="s">
        <v>2988</v>
      </c>
      <c r="H16" s="313" t="s">
        <v>2989</v>
      </c>
      <c r="I16" s="256" t="s">
        <v>2990</v>
      </c>
      <c r="J16" s="256" t="s">
        <v>3310</v>
      </c>
      <c r="K16" s="256" t="s">
        <v>2270</v>
      </c>
      <c r="L16" s="257"/>
      <c r="M16" s="257" t="s">
        <v>515</v>
      </c>
      <c r="N16" s="257"/>
      <c r="O16" s="256" t="s">
        <v>2271</v>
      </c>
      <c r="P16" s="256"/>
      <c r="Q16" s="261"/>
    </row>
    <row r="17" spans="1:17">
      <c r="A17" s="274"/>
      <c r="B17" s="305"/>
      <c r="C17" s="275"/>
      <c r="D17" s="276"/>
      <c r="E17" s="276"/>
      <c r="F17" s="276"/>
      <c r="G17" s="275"/>
      <c r="H17" s="275" t="s">
        <v>2991</v>
      </c>
      <c r="I17" s="345" t="s">
        <v>2992</v>
      </c>
      <c r="J17" s="305" t="s">
        <v>1548</v>
      </c>
      <c r="K17" s="275" t="s">
        <v>1447</v>
      </c>
      <c r="L17" s="307" t="s">
        <v>2266</v>
      </c>
      <c r="M17" s="276" t="s">
        <v>515</v>
      </c>
      <c r="N17" s="276">
        <v>1000</v>
      </c>
      <c r="O17" s="275" t="s">
        <v>1549</v>
      </c>
      <c r="P17" s="277" t="s">
        <v>2488</v>
      </c>
      <c r="Q17" s="319"/>
    </row>
    <row r="18" spans="1:17">
      <c r="A18" s="274"/>
      <c r="B18" s="305"/>
      <c r="C18" s="275"/>
      <c r="D18" s="276"/>
      <c r="E18" s="276"/>
      <c r="F18" s="276"/>
      <c r="G18" s="275"/>
      <c r="H18" s="275" t="s">
        <v>2993</v>
      </c>
      <c r="I18" s="345" t="s">
        <v>2487</v>
      </c>
      <c r="J18" s="305" t="s">
        <v>2489</v>
      </c>
      <c r="K18" s="275" t="s">
        <v>1447</v>
      </c>
      <c r="L18" s="307" t="s">
        <v>2266</v>
      </c>
      <c r="M18" s="276" t="s">
        <v>515</v>
      </c>
      <c r="N18" s="276">
        <v>1000</v>
      </c>
      <c r="O18" s="275" t="s">
        <v>2490</v>
      </c>
      <c r="P18" s="277" t="s">
        <v>2488</v>
      </c>
      <c r="Q18" s="319"/>
    </row>
    <row r="19" spans="1:17" ht="24">
      <c r="A19" s="274" t="s">
        <v>2994</v>
      </c>
      <c r="B19" s="305" t="s">
        <v>2995</v>
      </c>
      <c r="C19" s="275" t="s">
        <v>2336</v>
      </c>
      <c r="D19" s="276"/>
      <c r="E19" s="276" t="s">
        <v>515</v>
      </c>
      <c r="F19" s="276"/>
      <c r="G19" s="275" t="s">
        <v>2996</v>
      </c>
      <c r="H19" s="275" t="s">
        <v>2997</v>
      </c>
      <c r="I19" s="345" t="s">
        <v>2487</v>
      </c>
      <c r="J19" s="305" t="s">
        <v>2496</v>
      </c>
      <c r="K19" s="275" t="s">
        <v>1464</v>
      </c>
      <c r="L19" s="307" t="s">
        <v>2266</v>
      </c>
      <c r="M19" s="276" t="s">
        <v>515</v>
      </c>
      <c r="N19" s="276"/>
      <c r="O19" s="275" t="s">
        <v>2998</v>
      </c>
      <c r="P19" s="321" t="s">
        <v>2999</v>
      </c>
      <c r="Q19" s="319"/>
    </row>
    <row r="20" spans="1:17">
      <c r="A20" s="274"/>
      <c r="B20" s="305"/>
      <c r="C20" s="275"/>
      <c r="D20" s="276"/>
      <c r="E20" s="276"/>
      <c r="F20" s="276"/>
      <c r="G20" s="275"/>
      <c r="H20" s="270" t="s">
        <v>2499</v>
      </c>
      <c r="I20" s="345" t="s">
        <v>2487</v>
      </c>
      <c r="J20" s="305" t="s">
        <v>2500</v>
      </c>
      <c r="K20" s="275" t="s">
        <v>2296</v>
      </c>
      <c r="L20" s="307" t="s">
        <v>2266</v>
      </c>
      <c r="M20" s="276" t="s">
        <v>515</v>
      </c>
      <c r="N20" s="276"/>
      <c r="O20" s="275" t="s">
        <v>3000</v>
      </c>
      <c r="P20" s="277" t="s">
        <v>3001</v>
      </c>
      <c r="Q20" s="319"/>
    </row>
    <row r="21" spans="1:17" ht="24">
      <c r="A21" s="274" t="s">
        <v>3002</v>
      </c>
      <c r="B21" s="305" t="s">
        <v>3003</v>
      </c>
      <c r="C21" s="275" t="s">
        <v>3004</v>
      </c>
      <c r="D21" s="276"/>
      <c r="E21" s="276"/>
      <c r="F21" s="276"/>
      <c r="G21" s="275" t="s">
        <v>3005</v>
      </c>
      <c r="H21" s="275"/>
      <c r="I21" s="345" t="s">
        <v>2487</v>
      </c>
      <c r="J21" s="305" t="s">
        <v>2507</v>
      </c>
      <c r="K21" s="275" t="s">
        <v>2508</v>
      </c>
      <c r="L21" s="276"/>
      <c r="M21" s="276" t="s">
        <v>515</v>
      </c>
      <c r="N21" s="276"/>
      <c r="O21" s="275" t="s">
        <v>2509</v>
      </c>
      <c r="P21" s="321" t="s">
        <v>3006</v>
      </c>
      <c r="Q21" s="319"/>
    </row>
    <row r="22" spans="1:17">
      <c r="A22" s="274" t="s">
        <v>2994</v>
      </c>
      <c r="B22" s="305" t="s">
        <v>3007</v>
      </c>
      <c r="C22" s="275" t="s">
        <v>3008</v>
      </c>
      <c r="D22" s="276"/>
      <c r="E22" s="276"/>
      <c r="F22" s="276"/>
      <c r="G22" s="275" t="s">
        <v>3009</v>
      </c>
      <c r="H22" s="275" t="s">
        <v>3010</v>
      </c>
      <c r="I22" s="345" t="s">
        <v>2992</v>
      </c>
      <c r="J22" s="305" t="s">
        <v>2204</v>
      </c>
      <c r="K22" s="275" t="s">
        <v>1464</v>
      </c>
      <c r="L22" s="276"/>
      <c r="M22" s="276" t="s">
        <v>515</v>
      </c>
      <c r="N22" s="276"/>
      <c r="O22" s="275" t="s">
        <v>1554</v>
      </c>
      <c r="P22" s="277" t="s">
        <v>2516</v>
      </c>
      <c r="Q22" s="319"/>
    </row>
    <row r="23" spans="1:17" ht="24">
      <c r="A23" s="274" t="s">
        <v>3011</v>
      </c>
      <c r="B23" s="305" t="s">
        <v>3012</v>
      </c>
      <c r="C23" s="275" t="s">
        <v>2360</v>
      </c>
      <c r="D23" s="276"/>
      <c r="E23" s="276"/>
      <c r="F23" s="276"/>
      <c r="G23" s="275" t="s">
        <v>3013</v>
      </c>
      <c r="H23" s="280" t="s">
        <v>3014</v>
      </c>
      <c r="I23" s="345" t="s">
        <v>2992</v>
      </c>
      <c r="J23" s="305" t="s">
        <v>2207</v>
      </c>
      <c r="K23" s="275" t="s">
        <v>1459</v>
      </c>
      <c r="L23" s="276"/>
      <c r="M23" s="276" t="s">
        <v>515</v>
      </c>
      <c r="N23" s="276" t="s">
        <v>2208</v>
      </c>
      <c r="O23" s="275" t="s">
        <v>2209</v>
      </c>
      <c r="P23" s="321" t="s">
        <v>3015</v>
      </c>
      <c r="Q23" s="319"/>
    </row>
    <row r="24" spans="1:17" ht="24">
      <c r="A24" s="274" t="s">
        <v>3016</v>
      </c>
      <c r="B24" s="305" t="s">
        <v>2418</v>
      </c>
      <c r="C24" s="275" t="s">
        <v>3008</v>
      </c>
      <c r="D24" s="276"/>
      <c r="E24" s="276"/>
      <c r="F24" s="276"/>
      <c r="G24" s="275" t="s">
        <v>3017</v>
      </c>
      <c r="H24" s="280" t="s">
        <v>3018</v>
      </c>
      <c r="I24" s="345" t="s">
        <v>2487</v>
      </c>
      <c r="J24" s="305" t="s">
        <v>2213</v>
      </c>
      <c r="K24" s="275" t="s">
        <v>2296</v>
      </c>
      <c r="L24" s="276"/>
      <c r="M24" s="276" t="s">
        <v>515</v>
      </c>
      <c r="N24" s="276" t="s">
        <v>2215</v>
      </c>
      <c r="O24" s="275" t="s">
        <v>2216</v>
      </c>
      <c r="P24" s="321" t="s">
        <v>3015</v>
      </c>
      <c r="Q24" s="319"/>
    </row>
    <row r="25" spans="1:17">
      <c r="A25" s="274" t="s">
        <v>2994</v>
      </c>
      <c r="B25" s="305" t="s">
        <v>2527</v>
      </c>
      <c r="C25" s="275"/>
      <c r="D25" s="276"/>
      <c r="E25" s="276"/>
      <c r="F25" s="276"/>
      <c r="G25" s="275" t="s">
        <v>3019</v>
      </c>
      <c r="H25" s="280" t="s">
        <v>3018</v>
      </c>
      <c r="I25" s="345" t="s">
        <v>2487</v>
      </c>
      <c r="J25" s="305" t="s">
        <v>3020</v>
      </c>
      <c r="K25" s="275" t="s">
        <v>1447</v>
      </c>
      <c r="L25" s="276"/>
      <c r="M25" s="276" t="s">
        <v>515</v>
      </c>
      <c r="N25" s="276"/>
      <c r="O25" s="275" t="s">
        <v>2531</v>
      </c>
      <c r="P25" s="277" t="s">
        <v>2532</v>
      </c>
      <c r="Q25" s="319"/>
    </row>
    <row r="26" spans="1:17">
      <c r="A26" s="274" t="s">
        <v>3002</v>
      </c>
      <c r="B26" s="305" t="s">
        <v>2533</v>
      </c>
      <c r="C26" s="275" t="s">
        <v>3021</v>
      </c>
      <c r="D26" s="276"/>
      <c r="E26" s="276"/>
      <c r="F26" s="276"/>
      <c r="G26" s="275" t="s">
        <v>2535</v>
      </c>
      <c r="H26" s="280" t="s">
        <v>3018</v>
      </c>
      <c r="I26" s="345" t="s">
        <v>2487</v>
      </c>
      <c r="J26" s="305" t="s">
        <v>1618</v>
      </c>
      <c r="K26" s="275" t="s">
        <v>2174</v>
      </c>
      <c r="L26" s="276"/>
      <c r="M26" s="276" t="s">
        <v>515</v>
      </c>
      <c r="N26" s="276"/>
      <c r="O26" s="275" t="s">
        <v>2538</v>
      </c>
      <c r="P26" s="277" t="s">
        <v>3022</v>
      </c>
      <c r="Q26" s="319"/>
    </row>
    <row r="27" spans="1:17" ht="24">
      <c r="A27" s="274" t="s">
        <v>2994</v>
      </c>
      <c r="B27" s="305" t="s">
        <v>2540</v>
      </c>
      <c r="C27" s="275" t="s">
        <v>3023</v>
      </c>
      <c r="D27" s="276"/>
      <c r="E27" s="276"/>
      <c r="F27" s="276"/>
      <c r="G27" s="275" t="s">
        <v>3024</v>
      </c>
      <c r="H27" s="280" t="s">
        <v>3014</v>
      </c>
      <c r="I27" s="345" t="s">
        <v>3025</v>
      </c>
      <c r="J27" s="305" t="s">
        <v>2544</v>
      </c>
      <c r="K27" s="275" t="s">
        <v>1478</v>
      </c>
      <c r="L27" s="276"/>
      <c r="M27" s="276" t="s">
        <v>515</v>
      </c>
      <c r="N27" s="276"/>
      <c r="O27" s="275" t="s">
        <v>2545</v>
      </c>
      <c r="P27" s="321" t="s">
        <v>2546</v>
      </c>
      <c r="Q27" s="319"/>
    </row>
    <row r="28" spans="1:17" ht="24">
      <c r="A28" s="274"/>
      <c r="B28" s="305"/>
      <c r="C28" s="275"/>
      <c r="D28" s="276"/>
      <c r="E28" s="276"/>
      <c r="F28" s="276"/>
      <c r="G28" s="275"/>
      <c r="H28" s="275" t="s">
        <v>3026</v>
      </c>
      <c r="I28" s="345" t="s">
        <v>2992</v>
      </c>
      <c r="J28" s="305" t="s">
        <v>2192</v>
      </c>
      <c r="K28" s="275" t="s">
        <v>1459</v>
      </c>
      <c r="L28" s="276"/>
      <c r="M28" s="276" t="s">
        <v>515</v>
      </c>
      <c r="N28" s="276" t="s">
        <v>2194</v>
      </c>
      <c r="O28" s="275" t="s">
        <v>1952</v>
      </c>
      <c r="P28" s="321" t="s">
        <v>3027</v>
      </c>
      <c r="Q28" s="319"/>
    </row>
    <row r="29" spans="1:17">
      <c r="A29" s="274" t="s">
        <v>3016</v>
      </c>
      <c r="B29" s="305" t="s">
        <v>2550</v>
      </c>
      <c r="C29" s="275" t="s">
        <v>1551</v>
      </c>
      <c r="D29" s="276"/>
      <c r="E29" s="276" t="s">
        <v>515</v>
      </c>
      <c r="F29" s="276"/>
      <c r="G29" s="275" t="s">
        <v>2551</v>
      </c>
      <c r="H29" s="275" t="s">
        <v>3028</v>
      </c>
      <c r="I29" s="345" t="s">
        <v>2487</v>
      </c>
      <c r="J29" s="305" t="s">
        <v>2183</v>
      </c>
      <c r="K29" s="275" t="s">
        <v>1464</v>
      </c>
      <c r="L29" s="276"/>
      <c r="M29" s="276" t="s">
        <v>515</v>
      </c>
      <c r="N29" s="276"/>
      <c r="O29" s="275" t="s">
        <v>2184</v>
      </c>
      <c r="P29" s="277" t="s">
        <v>3029</v>
      </c>
      <c r="Q29" s="319"/>
    </row>
    <row r="30" spans="1:17">
      <c r="A30" s="274"/>
      <c r="B30" s="275"/>
      <c r="C30" s="275"/>
      <c r="D30" s="276"/>
      <c r="E30" s="276"/>
      <c r="F30" s="276"/>
      <c r="G30" s="275"/>
      <c r="H30" s="326" t="s">
        <v>3336</v>
      </c>
      <c r="I30" s="345" t="s">
        <v>2992</v>
      </c>
      <c r="J30" s="305" t="s">
        <v>2147</v>
      </c>
      <c r="K30" s="275" t="s">
        <v>1447</v>
      </c>
      <c r="L30" s="276"/>
      <c r="M30" s="276" t="s">
        <v>515</v>
      </c>
      <c r="N30" s="276"/>
      <c r="O30" s="275" t="s">
        <v>2554</v>
      </c>
      <c r="P30" s="277" t="s">
        <v>3030</v>
      </c>
      <c r="Q30" s="319"/>
    </row>
    <row r="31" spans="1:17">
      <c r="A31" s="274" t="s">
        <v>3011</v>
      </c>
      <c r="B31" s="275" t="s">
        <v>3031</v>
      </c>
      <c r="C31" s="275" t="s">
        <v>3032</v>
      </c>
      <c r="D31" s="276"/>
      <c r="E31" s="276" t="s">
        <v>515</v>
      </c>
      <c r="F31" s="276"/>
      <c r="G31" s="275" t="s">
        <v>3033</v>
      </c>
      <c r="H31" s="275"/>
      <c r="I31" s="345" t="s">
        <v>2992</v>
      </c>
      <c r="J31" s="305" t="s">
        <v>2560</v>
      </c>
      <c r="K31" s="275" t="s">
        <v>2383</v>
      </c>
      <c r="L31" s="276"/>
      <c r="M31" s="276" t="s">
        <v>515</v>
      </c>
      <c r="N31" s="276"/>
      <c r="O31" s="275" t="s">
        <v>2561</v>
      </c>
      <c r="P31" s="277" t="s">
        <v>3034</v>
      </c>
      <c r="Q31" s="319"/>
    </row>
    <row r="32" spans="1:17">
      <c r="A32" s="274" t="s">
        <v>3035</v>
      </c>
      <c r="B32" s="275" t="s">
        <v>654</v>
      </c>
      <c r="C32" s="275" t="s">
        <v>3032</v>
      </c>
      <c r="D32" s="276"/>
      <c r="E32" s="276" t="s">
        <v>515</v>
      </c>
      <c r="F32" s="276"/>
      <c r="G32" s="275" t="s">
        <v>652</v>
      </c>
      <c r="H32" s="275"/>
      <c r="I32" s="345" t="s">
        <v>2992</v>
      </c>
      <c r="J32" s="305" t="s">
        <v>2564</v>
      </c>
      <c r="K32" s="275" t="s">
        <v>2383</v>
      </c>
      <c r="L32" s="276"/>
      <c r="M32" s="276" t="s">
        <v>515</v>
      </c>
      <c r="N32" s="276"/>
      <c r="O32" s="275" t="s">
        <v>2020</v>
      </c>
      <c r="P32" s="277" t="s">
        <v>3036</v>
      </c>
      <c r="Q32" s="319"/>
    </row>
    <row r="33" spans="1:17">
      <c r="A33" s="274"/>
      <c r="B33" s="305"/>
      <c r="C33" s="275"/>
      <c r="D33" s="276"/>
      <c r="E33" s="276"/>
      <c r="F33" s="276"/>
      <c r="G33" s="275"/>
      <c r="H33" s="281" t="s">
        <v>3037</v>
      </c>
      <c r="I33" s="345" t="s">
        <v>2487</v>
      </c>
      <c r="J33" s="305" t="s">
        <v>2567</v>
      </c>
      <c r="K33" s="275" t="s">
        <v>2383</v>
      </c>
      <c r="L33" s="276"/>
      <c r="M33" s="276" t="s">
        <v>515</v>
      </c>
      <c r="N33" s="276"/>
      <c r="O33" s="275" t="s">
        <v>2568</v>
      </c>
      <c r="P33" s="277" t="s">
        <v>3036</v>
      </c>
      <c r="Q33" s="319"/>
    </row>
    <row r="34" spans="1:17">
      <c r="A34" s="274" t="s">
        <v>3011</v>
      </c>
      <c r="B34" s="275" t="s">
        <v>3038</v>
      </c>
      <c r="C34" s="275" t="s">
        <v>3032</v>
      </c>
      <c r="D34" s="276"/>
      <c r="E34" s="276" t="s">
        <v>515</v>
      </c>
      <c r="F34" s="276"/>
      <c r="G34" s="275" t="s">
        <v>3039</v>
      </c>
      <c r="H34" s="275"/>
      <c r="I34" s="345" t="s">
        <v>3025</v>
      </c>
      <c r="J34" s="305" t="s">
        <v>2570</v>
      </c>
      <c r="K34" s="275" t="s">
        <v>2383</v>
      </c>
      <c r="L34" s="276"/>
      <c r="M34" s="276" t="s">
        <v>515</v>
      </c>
      <c r="N34" s="276"/>
      <c r="O34" s="275" t="s">
        <v>2571</v>
      </c>
      <c r="P34" s="277" t="s">
        <v>2565</v>
      </c>
      <c r="Q34" s="319"/>
    </row>
    <row r="35" spans="1:17">
      <c r="A35" s="274" t="s">
        <v>3035</v>
      </c>
      <c r="B35" s="305" t="s">
        <v>2572</v>
      </c>
      <c r="C35" s="275" t="s">
        <v>2360</v>
      </c>
      <c r="D35" s="276"/>
      <c r="E35" s="276"/>
      <c r="F35" s="276"/>
      <c r="G35" s="275" t="s">
        <v>3040</v>
      </c>
      <c r="H35" s="280" t="s">
        <v>3041</v>
      </c>
      <c r="I35" s="345" t="s">
        <v>2992</v>
      </c>
      <c r="J35" s="305" t="s">
        <v>3042</v>
      </c>
      <c r="K35" s="275" t="s">
        <v>1459</v>
      </c>
      <c r="L35" s="276"/>
      <c r="M35" s="276" t="s">
        <v>515</v>
      </c>
      <c r="N35" s="276"/>
      <c r="O35" s="275" t="s">
        <v>2575</v>
      </c>
      <c r="P35" s="277" t="s">
        <v>3036</v>
      </c>
      <c r="Q35" s="319"/>
    </row>
    <row r="36" spans="1:17">
      <c r="A36" s="274" t="s">
        <v>3035</v>
      </c>
      <c r="B36" s="305" t="s">
        <v>2577</v>
      </c>
      <c r="C36" s="275" t="s">
        <v>2360</v>
      </c>
      <c r="D36" s="276"/>
      <c r="E36" s="276"/>
      <c r="F36" s="276"/>
      <c r="G36" s="275" t="s">
        <v>3043</v>
      </c>
      <c r="H36" s="280" t="s">
        <v>3044</v>
      </c>
      <c r="I36" s="345" t="s">
        <v>2487</v>
      </c>
      <c r="J36" s="305" t="s">
        <v>3045</v>
      </c>
      <c r="K36" s="275" t="s">
        <v>1459</v>
      </c>
      <c r="L36" s="276"/>
      <c r="M36" s="276" t="s">
        <v>515</v>
      </c>
      <c r="N36" s="276"/>
      <c r="O36" s="275" t="s">
        <v>2581</v>
      </c>
      <c r="P36" s="277" t="s">
        <v>3046</v>
      </c>
      <c r="Q36" s="319"/>
    </row>
    <row r="37" spans="1:17" ht="36">
      <c r="A37" s="274"/>
      <c r="B37" s="305"/>
      <c r="C37" s="275"/>
      <c r="D37" s="276"/>
      <c r="E37" s="276"/>
      <c r="F37" s="276"/>
      <c r="G37" s="275"/>
      <c r="H37" s="275" t="s">
        <v>3047</v>
      </c>
      <c r="I37" s="345" t="s">
        <v>2992</v>
      </c>
      <c r="J37" s="305" t="s">
        <v>2583</v>
      </c>
      <c r="K37" s="275" t="s">
        <v>2174</v>
      </c>
      <c r="L37" s="276"/>
      <c r="M37" s="276" t="s">
        <v>515</v>
      </c>
      <c r="N37" s="276"/>
      <c r="O37" s="275" t="s">
        <v>2584</v>
      </c>
      <c r="P37" s="321" t="s">
        <v>3048</v>
      </c>
      <c r="Q37" s="319"/>
    </row>
    <row r="38" spans="1:17" ht="24">
      <c r="A38" s="274" t="s">
        <v>3002</v>
      </c>
      <c r="B38" s="275" t="s">
        <v>3049</v>
      </c>
      <c r="C38" s="275" t="s">
        <v>3004</v>
      </c>
      <c r="D38" s="276"/>
      <c r="E38" s="276"/>
      <c r="F38" s="276"/>
      <c r="G38" s="268" t="s">
        <v>3050</v>
      </c>
      <c r="H38" s="357" t="s">
        <v>3051</v>
      </c>
      <c r="I38" s="345" t="s">
        <v>2487</v>
      </c>
      <c r="J38" s="305" t="s">
        <v>2591</v>
      </c>
      <c r="K38" s="275" t="s">
        <v>2508</v>
      </c>
      <c r="L38" s="276"/>
      <c r="M38" s="276" t="s">
        <v>515</v>
      </c>
      <c r="N38" s="276"/>
      <c r="O38" s="275" t="s">
        <v>2592</v>
      </c>
      <c r="P38" s="321" t="s">
        <v>3052</v>
      </c>
      <c r="Q38" s="319"/>
    </row>
    <row r="39" spans="1:17" ht="48">
      <c r="A39" s="274"/>
      <c r="B39" s="305"/>
      <c r="C39" s="275"/>
      <c r="D39" s="276"/>
      <c r="E39" s="276"/>
      <c r="F39" s="276"/>
      <c r="G39" s="275"/>
      <c r="H39" s="275" t="s">
        <v>3053</v>
      </c>
      <c r="I39" s="345" t="s">
        <v>2487</v>
      </c>
      <c r="J39" s="305" t="s">
        <v>2595</v>
      </c>
      <c r="K39" s="275" t="s">
        <v>1459</v>
      </c>
      <c r="L39" s="276"/>
      <c r="M39" s="276" t="s">
        <v>515</v>
      </c>
      <c r="N39" s="276" t="s">
        <v>2194</v>
      </c>
      <c r="O39" s="275" t="s">
        <v>2596</v>
      </c>
      <c r="P39" s="321" t="s">
        <v>3054</v>
      </c>
      <c r="Q39" s="319"/>
    </row>
    <row r="40" spans="1:17">
      <c r="A40" s="274"/>
      <c r="B40" s="305"/>
      <c r="C40" s="275"/>
      <c r="D40" s="276"/>
      <c r="E40" s="276"/>
      <c r="F40" s="276"/>
      <c r="G40" s="275"/>
      <c r="H40" s="275" t="s">
        <v>3055</v>
      </c>
      <c r="I40" s="345" t="s">
        <v>2487</v>
      </c>
      <c r="J40" s="305" t="s">
        <v>2600</v>
      </c>
      <c r="K40" s="275" t="s">
        <v>2453</v>
      </c>
      <c r="L40" s="276"/>
      <c r="M40" s="276" t="s">
        <v>2019</v>
      </c>
      <c r="N40" s="276"/>
      <c r="O40" s="275" t="s">
        <v>2601</v>
      </c>
      <c r="P40" s="277" t="s">
        <v>3056</v>
      </c>
      <c r="Q40" s="319"/>
    </row>
    <row r="41" spans="1:17">
      <c r="A41" s="274"/>
      <c r="B41" s="305"/>
      <c r="C41" s="275"/>
      <c r="D41" s="276"/>
      <c r="E41" s="276"/>
      <c r="F41" s="276"/>
      <c r="G41" s="275"/>
      <c r="H41" s="275" t="s">
        <v>3057</v>
      </c>
      <c r="I41" s="345" t="s">
        <v>2487</v>
      </c>
      <c r="J41" s="305" t="s">
        <v>1634</v>
      </c>
      <c r="K41" s="275" t="s">
        <v>2441</v>
      </c>
      <c r="L41" s="276"/>
      <c r="M41" s="276" t="s">
        <v>2019</v>
      </c>
      <c r="N41" s="276"/>
      <c r="O41" s="275" t="s">
        <v>1635</v>
      </c>
      <c r="P41" s="277" t="s">
        <v>3058</v>
      </c>
      <c r="Q41" s="319"/>
    </row>
    <row r="42" spans="1:17">
      <c r="A42" s="274"/>
      <c r="B42" s="305"/>
      <c r="C42" s="275"/>
      <c r="D42" s="276"/>
      <c r="E42" s="276"/>
      <c r="F42" s="276"/>
      <c r="G42" s="275"/>
      <c r="H42" s="275" t="s">
        <v>3059</v>
      </c>
      <c r="I42" s="345" t="s">
        <v>2992</v>
      </c>
      <c r="J42" s="305" t="s">
        <v>1632</v>
      </c>
      <c r="K42" s="275" t="s">
        <v>1580</v>
      </c>
      <c r="L42" s="276"/>
      <c r="M42" s="276" t="s">
        <v>2019</v>
      </c>
      <c r="N42" s="276"/>
      <c r="O42" s="275" t="s">
        <v>1633</v>
      </c>
      <c r="P42" s="277" t="s">
        <v>2605</v>
      </c>
      <c r="Q42" s="319"/>
    </row>
    <row r="43" spans="1:17">
      <c r="A43" s="274"/>
      <c r="B43" s="305"/>
      <c r="C43" s="275"/>
      <c r="D43" s="276"/>
      <c r="E43" s="276"/>
      <c r="F43" s="276"/>
      <c r="G43" s="275"/>
      <c r="H43" s="275" t="s">
        <v>2598</v>
      </c>
      <c r="I43" s="345" t="s">
        <v>2487</v>
      </c>
      <c r="J43" s="305" t="s">
        <v>1639</v>
      </c>
      <c r="K43" s="275" t="s">
        <v>2441</v>
      </c>
      <c r="L43" s="276"/>
      <c r="M43" s="276" t="s">
        <v>2019</v>
      </c>
      <c r="N43" s="276"/>
      <c r="O43" s="275" t="s">
        <v>1640</v>
      </c>
      <c r="P43" s="277" t="s">
        <v>2603</v>
      </c>
      <c r="Q43" s="319"/>
    </row>
    <row r="44" spans="1:17">
      <c r="A44" s="274"/>
      <c r="B44" s="305"/>
      <c r="C44" s="275"/>
      <c r="D44" s="276"/>
      <c r="E44" s="276"/>
      <c r="F44" s="276"/>
      <c r="G44" s="275"/>
      <c r="H44" s="275" t="s">
        <v>3055</v>
      </c>
      <c r="I44" s="345" t="s">
        <v>2992</v>
      </c>
      <c r="J44" s="305" t="s">
        <v>1636</v>
      </c>
      <c r="K44" s="275" t="s">
        <v>1580</v>
      </c>
      <c r="L44" s="276"/>
      <c r="M44" s="276" t="s">
        <v>2019</v>
      </c>
      <c r="N44" s="276"/>
      <c r="O44" s="275" t="s">
        <v>1638</v>
      </c>
      <c r="P44" s="277" t="s">
        <v>3060</v>
      </c>
      <c r="Q44" s="319"/>
    </row>
    <row r="45" spans="1:17" ht="24">
      <c r="A45" s="274" t="s">
        <v>3061</v>
      </c>
      <c r="B45" s="275" t="s">
        <v>3062</v>
      </c>
      <c r="C45" s="275" t="s">
        <v>3063</v>
      </c>
      <c r="D45" s="276"/>
      <c r="E45" s="276"/>
      <c r="F45" s="276"/>
      <c r="G45" s="343" t="s">
        <v>3064</v>
      </c>
      <c r="H45" s="344" t="s">
        <v>3065</v>
      </c>
      <c r="I45" s="345" t="s">
        <v>2487</v>
      </c>
      <c r="J45" s="305" t="s">
        <v>2612</v>
      </c>
      <c r="K45" s="275" t="s">
        <v>1464</v>
      </c>
      <c r="L45" s="276"/>
      <c r="M45" s="276" t="s">
        <v>2019</v>
      </c>
      <c r="N45" s="276"/>
      <c r="O45" s="275" t="s">
        <v>2613</v>
      </c>
      <c r="P45" s="321" t="s">
        <v>2614</v>
      </c>
      <c r="Q45" s="319"/>
    </row>
    <row r="46" spans="1:17">
      <c r="A46" s="274"/>
      <c r="B46" s="275"/>
      <c r="C46" s="275"/>
      <c r="D46" s="276"/>
      <c r="E46" s="276"/>
      <c r="F46" s="276"/>
      <c r="G46" s="275"/>
      <c r="H46" s="275" t="s">
        <v>3066</v>
      </c>
      <c r="I46" s="345" t="s">
        <v>2487</v>
      </c>
      <c r="J46" s="305" t="s">
        <v>2616</v>
      </c>
      <c r="K46" s="275" t="s">
        <v>2193</v>
      </c>
      <c r="L46" s="276"/>
      <c r="M46" s="276" t="s">
        <v>515</v>
      </c>
      <c r="N46" s="276" t="s">
        <v>2194</v>
      </c>
      <c r="O46" s="275" t="s">
        <v>2617</v>
      </c>
      <c r="P46" s="277" t="s">
        <v>3067</v>
      </c>
      <c r="Q46" s="319"/>
    </row>
    <row r="47" spans="1:17">
      <c r="A47" s="274"/>
      <c r="B47" s="305"/>
      <c r="C47" s="275"/>
      <c r="D47" s="276"/>
      <c r="E47" s="276"/>
      <c r="F47" s="276"/>
      <c r="G47" s="275"/>
      <c r="H47" s="275"/>
      <c r="I47" s="345"/>
      <c r="J47" s="305"/>
      <c r="K47" s="275"/>
      <c r="L47" s="276"/>
      <c r="M47" s="276"/>
      <c r="N47" s="276"/>
      <c r="O47" s="275"/>
      <c r="P47" s="277"/>
      <c r="Q47" s="319"/>
    </row>
    <row r="48" spans="1:17">
      <c r="A48" s="274"/>
      <c r="B48" s="305"/>
      <c r="C48" s="275"/>
      <c r="D48" s="276"/>
      <c r="E48" s="276"/>
      <c r="F48" s="276"/>
      <c r="G48" s="275"/>
      <c r="H48" s="275"/>
      <c r="I48" s="345"/>
      <c r="J48" s="305"/>
      <c r="K48" s="275"/>
      <c r="L48" s="276"/>
      <c r="M48" s="276"/>
      <c r="N48" s="276"/>
      <c r="O48" s="275"/>
      <c r="P48" s="277"/>
      <c r="Q48" s="319"/>
    </row>
    <row r="49" spans="1:17">
      <c r="A49" s="274"/>
      <c r="B49" s="305"/>
      <c r="C49" s="275"/>
      <c r="D49" s="276"/>
      <c r="E49" s="276"/>
      <c r="F49" s="276"/>
      <c r="G49" s="275"/>
      <c r="H49" s="275"/>
      <c r="I49" s="345"/>
      <c r="J49" s="305"/>
      <c r="K49" s="275"/>
      <c r="L49" s="276"/>
      <c r="M49" s="276"/>
      <c r="N49" s="276"/>
      <c r="O49" s="275"/>
      <c r="P49" s="277"/>
      <c r="Q49" s="319"/>
    </row>
    <row r="50" spans="1:17">
      <c r="A50" s="274"/>
      <c r="B50" s="303"/>
      <c r="C50" s="275"/>
      <c r="D50" s="276"/>
      <c r="E50" s="276"/>
      <c r="F50" s="276"/>
      <c r="G50" s="275"/>
      <c r="H50" s="275"/>
      <c r="I50" s="345"/>
      <c r="J50" s="303"/>
      <c r="K50" s="275"/>
      <c r="L50" s="276"/>
      <c r="M50" s="276"/>
      <c r="N50" s="276"/>
      <c r="O50" s="275"/>
      <c r="P50" s="277"/>
      <c r="Q50" s="319"/>
    </row>
    <row r="51" spans="1:17" ht="17.25" thickBot="1">
      <c r="A51" s="289" t="s">
        <v>1506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8"/>
    </row>
    <row r="52" spans="1:17">
      <c r="A52" s="290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</row>
    <row r="55" spans="1:17">
      <c r="I55" s="272" t="s">
        <v>3068</v>
      </c>
      <c r="J55" s="272" t="s">
        <v>3069</v>
      </c>
      <c r="K55" s="272" t="s">
        <v>1426</v>
      </c>
    </row>
    <row r="56" spans="1:17">
      <c r="J56" s="272" t="s">
        <v>3070</v>
      </c>
      <c r="K56" s="272" t="s">
        <v>1426</v>
      </c>
    </row>
    <row r="57" spans="1:17">
      <c r="J57" s="272" t="s">
        <v>3071</v>
      </c>
      <c r="K57" s="272" t="s">
        <v>1601</v>
      </c>
    </row>
  </sheetData>
  <mergeCells count="17">
    <mergeCell ref="B2:P2"/>
    <mergeCell ref="B3:P3"/>
    <mergeCell ref="B4:P4"/>
    <mergeCell ref="A5:A8"/>
    <mergeCell ref="B5:P8"/>
    <mergeCell ref="B51:P51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7809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10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11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12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13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7814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65"/>
  <sheetViews>
    <sheetView zoomScaleNormal="100" workbookViewId="0"/>
  </sheetViews>
  <sheetFormatPr defaultRowHeight="16.5"/>
  <cols>
    <col min="1" max="1" width="20.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6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s="246" customFormat="1" ht="12">
      <c r="A2" s="247" t="s">
        <v>3072</v>
      </c>
      <c r="B2" s="669" t="s">
        <v>3073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70"/>
    </row>
    <row r="3" spans="1:16" s="246" customFormat="1" ht="12">
      <c r="A3" s="309" t="s">
        <v>1821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6" s="246" customFormat="1" ht="12">
      <c r="A4" s="309" t="s">
        <v>3074</v>
      </c>
      <c r="B4" s="550" t="s">
        <v>3075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6" s="249" customFormat="1" ht="16.5" customHeight="1">
      <c r="A5" s="553" t="s">
        <v>2248</v>
      </c>
      <c r="B5" s="554" t="s">
        <v>3076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6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6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6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6" s="249" customFormat="1" ht="16.5" customHeight="1">
      <c r="A9" s="309" t="s">
        <v>1825</v>
      </c>
      <c r="B9" s="559"/>
      <c r="C9" s="559"/>
      <c r="D9" s="559"/>
      <c r="E9" s="559"/>
      <c r="F9" s="559"/>
      <c r="G9" s="559"/>
      <c r="H9" s="559"/>
      <c r="I9" s="250" t="s">
        <v>2251</v>
      </c>
      <c r="J9" s="559" t="s">
        <v>1516</v>
      </c>
      <c r="K9" s="559"/>
      <c r="L9" s="559"/>
      <c r="M9" s="559"/>
      <c r="N9" s="559"/>
      <c r="O9" s="559"/>
      <c r="P9" s="561"/>
    </row>
    <row r="10" spans="1:16" s="249" customFormat="1" ht="16.5" customHeight="1">
      <c r="A10" s="309" t="s">
        <v>3077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6" s="249" customFormat="1" ht="16.5" customHeight="1">
      <c r="A11" s="562" t="s">
        <v>3078</v>
      </c>
      <c r="B11" s="563"/>
      <c r="C11" s="563"/>
      <c r="D11" s="563"/>
      <c r="E11" s="563"/>
      <c r="F11" s="563"/>
      <c r="G11" s="563"/>
      <c r="H11" s="563"/>
      <c r="I11" s="564" t="s">
        <v>1402</v>
      </c>
      <c r="J11" s="564"/>
      <c r="K11" s="564"/>
      <c r="L11" s="564"/>
      <c r="M11" s="564"/>
      <c r="N11" s="564"/>
      <c r="O11" s="564"/>
      <c r="P11" s="565"/>
    </row>
    <row r="12" spans="1:16" s="249" customFormat="1" ht="25.5" customHeight="1">
      <c r="A12" s="309" t="s">
        <v>3079</v>
      </c>
      <c r="B12" s="566" t="s">
        <v>3080</v>
      </c>
      <c r="C12" s="566"/>
      <c r="D12" s="566"/>
      <c r="E12" s="566"/>
      <c r="F12" s="566"/>
      <c r="G12" s="566"/>
      <c r="H12" s="566"/>
      <c r="I12" s="250" t="s">
        <v>3081</v>
      </c>
      <c r="J12" s="566" t="s">
        <v>3082</v>
      </c>
      <c r="K12" s="566"/>
      <c r="L12" s="566"/>
      <c r="M12" s="566"/>
      <c r="N12" s="566"/>
      <c r="O12" s="566"/>
      <c r="P12" s="567"/>
    </row>
    <row r="13" spans="1:16" s="246" customFormat="1" ht="12">
      <c r="A13" s="562" t="s">
        <v>3083</v>
      </c>
      <c r="B13" s="563"/>
      <c r="C13" s="563"/>
      <c r="D13" s="563"/>
      <c r="E13" s="563"/>
      <c r="F13" s="563"/>
      <c r="G13" s="563"/>
      <c r="H13" s="563"/>
      <c r="I13" s="564" t="s">
        <v>3083</v>
      </c>
      <c r="J13" s="564"/>
      <c r="K13" s="564"/>
      <c r="L13" s="564"/>
      <c r="M13" s="564"/>
      <c r="N13" s="564"/>
      <c r="O13" s="564"/>
      <c r="P13" s="565"/>
    </row>
    <row r="14" spans="1:16" s="246" customFormat="1" ht="24">
      <c r="A14" s="251" t="s">
        <v>1832</v>
      </c>
      <c r="B14" s="252" t="s">
        <v>1833</v>
      </c>
      <c r="C14" s="252" t="s">
        <v>3084</v>
      </c>
      <c r="D14" s="253" t="s">
        <v>3085</v>
      </c>
      <c r="E14" s="252" t="s">
        <v>1835</v>
      </c>
      <c r="F14" s="252" t="s">
        <v>1413</v>
      </c>
      <c r="G14" s="252" t="s">
        <v>1414</v>
      </c>
      <c r="H14" s="252" t="s">
        <v>1837</v>
      </c>
      <c r="I14" s="252" t="s">
        <v>1832</v>
      </c>
      <c r="J14" s="252" t="s">
        <v>3086</v>
      </c>
      <c r="K14" s="252" t="s">
        <v>43</v>
      </c>
      <c r="L14" s="253" t="s">
        <v>3087</v>
      </c>
      <c r="M14" s="253" t="s">
        <v>2260</v>
      </c>
      <c r="N14" s="252" t="s">
        <v>1836</v>
      </c>
      <c r="O14" s="252" t="s">
        <v>1394</v>
      </c>
      <c r="P14" s="254" t="s">
        <v>3088</v>
      </c>
    </row>
    <row r="15" spans="1:16">
      <c r="A15" s="274" t="s">
        <v>3089</v>
      </c>
      <c r="B15" s="283" t="s">
        <v>3090</v>
      </c>
      <c r="C15" s="283" t="s">
        <v>1447</v>
      </c>
      <c r="D15" s="276" t="s">
        <v>3085</v>
      </c>
      <c r="E15" s="276" t="s">
        <v>421</v>
      </c>
      <c r="F15" s="276">
        <v>1000</v>
      </c>
      <c r="G15" s="283" t="s">
        <v>1448</v>
      </c>
      <c r="H15" s="275" t="s">
        <v>1454</v>
      </c>
      <c r="I15" s="275"/>
      <c r="J15" s="275"/>
      <c r="K15" s="275"/>
      <c r="L15" s="276"/>
      <c r="M15" s="276"/>
      <c r="N15" s="276"/>
      <c r="O15" s="275"/>
      <c r="P15" s="277"/>
    </row>
    <row r="16" spans="1:16">
      <c r="A16" s="274" t="s">
        <v>3091</v>
      </c>
      <c r="B16" s="283" t="s">
        <v>3092</v>
      </c>
      <c r="C16" s="283" t="s">
        <v>3093</v>
      </c>
      <c r="D16" s="276" t="s">
        <v>1412</v>
      </c>
      <c r="E16" s="276" t="s">
        <v>515</v>
      </c>
      <c r="F16" s="276"/>
      <c r="G16" s="283" t="s">
        <v>3094</v>
      </c>
      <c r="H16" s="275" t="s">
        <v>3095</v>
      </c>
      <c r="I16" s="275"/>
      <c r="J16" s="275"/>
      <c r="K16" s="275"/>
      <c r="L16" s="276"/>
      <c r="M16" s="276"/>
      <c r="N16" s="276"/>
      <c r="O16" s="275"/>
      <c r="P16" s="277"/>
    </row>
    <row r="17" spans="1:16">
      <c r="A17" s="274" t="s">
        <v>3091</v>
      </c>
      <c r="B17" s="283" t="s">
        <v>3096</v>
      </c>
      <c r="C17" s="283" t="s">
        <v>3097</v>
      </c>
      <c r="D17" s="276" t="s">
        <v>3098</v>
      </c>
      <c r="E17" s="276" t="s">
        <v>515</v>
      </c>
      <c r="F17" s="279"/>
      <c r="G17" s="283" t="s">
        <v>3099</v>
      </c>
      <c r="H17" s="275"/>
      <c r="I17" s="275"/>
      <c r="J17" s="275"/>
      <c r="K17" s="275"/>
      <c r="L17" s="276"/>
      <c r="M17" s="276"/>
      <c r="N17" s="276"/>
      <c r="O17" s="275"/>
      <c r="P17" s="277"/>
    </row>
    <row r="18" spans="1:16">
      <c r="A18" s="274" t="s">
        <v>3091</v>
      </c>
      <c r="B18" s="283" t="s">
        <v>3100</v>
      </c>
      <c r="C18" s="283" t="s">
        <v>1629</v>
      </c>
      <c r="D18" s="279"/>
      <c r="E18" s="279"/>
      <c r="F18" s="279"/>
      <c r="G18" s="283" t="s">
        <v>3101</v>
      </c>
      <c r="H18" s="275"/>
      <c r="I18" s="275"/>
      <c r="J18" s="275"/>
      <c r="K18" s="275"/>
      <c r="L18" s="276"/>
      <c r="M18" s="276"/>
      <c r="N18" s="276"/>
      <c r="O18" s="275"/>
      <c r="P18" s="277"/>
    </row>
    <row r="19" spans="1:16">
      <c r="A19" s="274" t="s">
        <v>3091</v>
      </c>
      <c r="B19" s="283" t="s">
        <v>3102</v>
      </c>
      <c r="C19" s="283" t="s">
        <v>1505</v>
      </c>
      <c r="D19" s="276"/>
      <c r="E19" s="276"/>
      <c r="F19" s="276" t="s">
        <v>3103</v>
      </c>
      <c r="G19" s="283" t="s">
        <v>3104</v>
      </c>
      <c r="H19" s="284"/>
      <c r="I19" s="275"/>
      <c r="J19" s="275"/>
      <c r="K19" s="275"/>
      <c r="L19" s="276"/>
      <c r="M19" s="276"/>
      <c r="N19" s="276"/>
      <c r="O19" s="275"/>
      <c r="P19" s="277"/>
    </row>
    <row r="20" spans="1:16">
      <c r="A20" s="274" t="s">
        <v>3091</v>
      </c>
      <c r="B20" s="283" t="s">
        <v>3105</v>
      </c>
      <c r="C20" s="283" t="s">
        <v>3106</v>
      </c>
      <c r="D20" s="283"/>
      <c r="E20" s="276"/>
      <c r="F20" s="276"/>
      <c r="G20" s="358" t="s">
        <v>3107</v>
      </c>
      <c r="H20" s="359" t="s">
        <v>3108</v>
      </c>
      <c r="I20" s="360"/>
      <c r="J20" s="275"/>
      <c r="K20" s="275"/>
      <c r="L20" s="275"/>
      <c r="M20" s="276"/>
      <c r="N20" s="276"/>
      <c r="O20" s="276"/>
      <c r="P20" s="277"/>
    </row>
    <row r="21" spans="1:16">
      <c r="A21" s="274" t="s">
        <v>3091</v>
      </c>
      <c r="B21" s="283" t="s">
        <v>1632</v>
      </c>
      <c r="C21" s="283" t="s">
        <v>1580</v>
      </c>
      <c r="D21" s="276"/>
      <c r="E21" s="276"/>
      <c r="F21" s="276"/>
      <c r="G21" s="283" t="s">
        <v>3109</v>
      </c>
      <c r="H21" s="360"/>
      <c r="I21" s="275"/>
      <c r="J21" s="275"/>
      <c r="K21" s="275"/>
      <c r="L21" s="276"/>
      <c r="M21" s="276"/>
      <c r="N21" s="276"/>
      <c r="O21" s="275"/>
      <c r="P21" s="277"/>
    </row>
    <row r="22" spans="1:16">
      <c r="A22" s="274" t="s">
        <v>3091</v>
      </c>
      <c r="B22" s="283" t="s">
        <v>1634</v>
      </c>
      <c r="C22" s="283" t="s">
        <v>2441</v>
      </c>
      <c r="D22" s="276"/>
      <c r="E22" s="276"/>
      <c r="F22" s="276"/>
      <c r="G22" s="283" t="s">
        <v>3110</v>
      </c>
      <c r="H22" s="284"/>
      <c r="I22" s="275"/>
      <c r="J22" s="275"/>
      <c r="K22" s="275"/>
      <c r="L22" s="276"/>
      <c r="M22" s="276"/>
      <c r="N22" s="276"/>
      <c r="O22" s="275"/>
      <c r="P22" s="277"/>
    </row>
    <row r="23" spans="1:16">
      <c r="A23" s="274" t="s">
        <v>3091</v>
      </c>
      <c r="B23" s="283" t="s">
        <v>1636</v>
      </c>
      <c r="C23" s="283" t="s">
        <v>1580</v>
      </c>
      <c r="D23" s="276"/>
      <c r="E23" s="276"/>
      <c r="F23" s="276" t="s">
        <v>3103</v>
      </c>
      <c r="G23" s="283" t="s">
        <v>3111</v>
      </c>
      <c r="H23" s="284"/>
      <c r="I23" s="275"/>
      <c r="J23" s="275"/>
      <c r="K23" s="275"/>
      <c r="L23" s="276"/>
      <c r="M23" s="276"/>
      <c r="N23" s="276"/>
      <c r="O23" s="275"/>
      <c r="P23" s="277"/>
    </row>
    <row r="24" spans="1:16">
      <c r="A24" s="274" t="s">
        <v>3091</v>
      </c>
      <c r="B24" s="283" t="s">
        <v>1639</v>
      </c>
      <c r="C24" s="283" t="s">
        <v>2441</v>
      </c>
      <c r="D24" s="276"/>
      <c r="E24" s="276"/>
      <c r="F24" s="276" t="s">
        <v>3112</v>
      </c>
      <c r="G24" s="283" t="s">
        <v>3113</v>
      </c>
      <c r="H24" s="275"/>
      <c r="I24" s="275"/>
      <c r="J24" s="275"/>
      <c r="K24" s="275"/>
      <c r="L24" s="276"/>
      <c r="M24" s="276"/>
      <c r="N24" s="276"/>
      <c r="O24" s="275"/>
      <c r="P24" s="277"/>
    </row>
    <row r="25" spans="1:16">
      <c r="A25" s="361"/>
      <c r="B25" s="311"/>
      <c r="C25" s="311"/>
      <c r="D25" s="308"/>
      <c r="E25" s="308"/>
      <c r="F25" s="308"/>
      <c r="G25" s="311"/>
      <c r="H25" s="338"/>
      <c r="I25" s="338"/>
      <c r="J25" s="338"/>
      <c r="K25" s="338"/>
      <c r="L25" s="308"/>
      <c r="M25" s="308"/>
      <c r="N25" s="308"/>
      <c r="O25" s="338"/>
      <c r="P25" s="362"/>
    </row>
    <row r="26" spans="1:16">
      <c r="A26" s="361"/>
      <c r="B26" s="311"/>
      <c r="C26" s="311"/>
      <c r="D26" s="308"/>
      <c r="E26" s="308"/>
      <c r="F26" s="308"/>
      <c r="G26" s="311"/>
      <c r="H26" s="363"/>
      <c r="I26" s="338"/>
      <c r="J26" s="338"/>
      <c r="K26" s="338"/>
      <c r="L26" s="308"/>
      <c r="M26" s="308"/>
      <c r="N26" s="308"/>
      <c r="O26" s="338"/>
      <c r="P26" s="362"/>
    </row>
    <row r="27" spans="1:16">
      <c r="A27" s="361"/>
      <c r="B27" s="311"/>
      <c r="C27" s="311"/>
      <c r="D27" s="308"/>
      <c r="E27" s="308"/>
      <c r="F27" s="308"/>
      <c r="G27" s="311"/>
      <c r="H27" s="363"/>
      <c r="I27" s="338"/>
      <c r="J27" s="338"/>
      <c r="K27" s="338"/>
      <c r="L27" s="308"/>
      <c r="M27" s="308"/>
      <c r="N27" s="308"/>
      <c r="O27" s="338"/>
      <c r="P27" s="362"/>
    </row>
    <row r="28" spans="1:16" s="298" customFormat="1">
      <c r="A28" s="361"/>
      <c r="B28" s="311"/>
      <c r="C28" s="311"/>
      <c r="D28" s="308"/>
      <c r="E28" s="308"/>
      <c r="F28" s="308"/>
      <c r="G28" s="311"/>
      <c r="H28" s="338"/>
      <c r="I28" s="338"/>
      <c r="J28" s="338"/>
      <c r="K28" s="338"/>
      <c r="L28" s="308"/>
      <c r="M28" s="308"/>
      <c r="N28" s="308"/>
      <c r="O28" s="338"/>
      <c r="P28" s="362"/>
    </row>
    <row r="29" spans="1:16">
      <c r="A29" s="364"/>
      <c r="B29" s="311"/>
      <c r="C29" s="311"/>
      <c r="D29" s="308"/>
      <c r="E29" s="308"/>
      <c r="F29" s="308"/>
      <c r="G29" s="311"/>
      <c r="H29" s="338"/>
      <c r="I29" s="338"/>
      <c r="J29" s="338"/>
      <c r="K29" s="338"/>
      <c r="L29" s="308"/>
      <c r="M29" s="308"/>
      <c r="N29" s="308"/>
      <c r="O29" s="338"/>
      <c r="P29" s="362"/>
    </row>
    <row r="30" spans="1:16">
      <c r="A30" s="364"/>
      <c r="B30" s="311"/>
      <c r="C30" s="311"/>
      <c r="D30" s="308"/>
      <c r="E30" s="308"/>
      <c r="F30" s="308"/>
      <c r="G30" s="311"/>
      <c r="H30" s="363"/>
      <c r="I30" s="338"/>
      <c r="J30" s="338"/>
      <c r="K30" s="338"/>
      <c r="L30" s="308"/>
      <c r="M30" s="308"/>
      <c r="N30" s="308"/>
      <c r="O30" s="338"/>
      <c r="P30" s="362"/>
    </row>
    <row r="31" spans="1:16">
      <c r="A31" s="364"/>
      <c r="B31" s="311"/>
      <c r="C31" s="311"/>
      <c r="D31" s="308"/>
      <c r="E31" s="308"/>
      <c r="F31" s="308"/>
      <c r="G31" s="311"/>
      <c r="H31" s="338"/>
      <c r="I31" s="338"/>
      <c r="J31" s="338"/>
      <c r="K31" s="338"/>
      <c r="L31" s="308"/>
      <c r="M31" s="308"/>
      <c r="N31" s="308"/>
      <c r="O31" s="338"/>
      <c r="P31" s="362"/>
    </row>
    <row r="32" spans="1:16">
      <c r="A32" s="365"/>
      <c r="B32" s="137"/>
      <c r="C32" s="275"/>
      <c r="D32" s="276"/>
      <c r="E32" s="276"/>
      <c r="F32" s="276"/>
      <c r="G32" s="137"/>
      <c r="H32" s="366"/>
      <c r="I32" s="366"/>
      <c r="J32" s="366"/>
      <c r="K32" s="366"/>
      <c r="L32" s="367"/>
      <c r="M32" s="367"/>
      <c r="N32" s="367"/>
      <c r="O32" s="366"/>
      <c r="P32" s="368"/>
    </row>
    <row r="33" spans="1:16">
      <c r="A33" s="365"/>
      <c r="B33" s="137"/>
      <c r="C33" s="275"/>
      <c r="D33" s="276"/>
      <c r="E33" s="276"/>
      <c r="F33" s="276"/>
      <c r="G33" s="137"/>
      <c r="H33" s="366"/>
      <c r="I33" s="366"/>
      <c r="J33" s="366"/>
      <c r="K33" s="366"/>
      <c r="L33" s="367"/>
      <c r="M33" s="367"/>
      <c r="N33" s="367"/>
      <c r="O33" s="366"/>
      <c r="P33" s="368"/>
    </row>
    <row r="34" spans="1:16" ht="17.25" thickBot="1">
      <c r="A34" s="289" t="s">
        <v>3114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8"/>
    </row>
    <row r="35" spans="1:16">
      <c r="A35" s="290"/>
      <c r="B35" s="369"/>
      <c r="C35" s="369"/>
      <c r="D35" s="369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</row>
    <row r="36" spans="1:16">
      <c r="A36" s="370" t="s">
        <v>3092</v>
      </c>
      <c r="B36" s="370" t="s">
        <v>3115</v>
      </c>
      <c r="C36" s="370" t="s">
        <v>3116</v>
      </c>
      <c r="E36" s="319"/>
    </row>
    <row r="37" spans="1:16">
      <c r="A37" s="666" t="s">
        <v>3117</v>
      </c>
      <c r="B37" s="371" t="s">
        <v>3118</v>
      </c>
      <c r="C37" s="370" t="s">
        <v>3119</v>
      </c>
      <c r="E37" s="319"/>
    </row>
    <row r="38" spans="1:16">
      <c r="A38" s="667"/>
      <c r="B38" s="371" t="s">
        <v>3120</v>
      </c>
      <c r="C38" s="370" t="s">
        <v>3121</v>
      </c>
      <c r="E38" s="319"/>
    </row>
    <row r="39" spans="1:16">
      <c r="A39" s="668"/>
      <c r="B39" s="371" t="s">
        <v>3122</v>
      </c>
      <c r="C39" s="370" t="s">
        <v>3123</v>
      </c>
      <c r="E39" s="319"/>
    </row>
    <row r="40" spans="1:16">
      <c r="B40" s="290"/>
      <c r="C40" s="290"/>
      <c r="D40" s="290"/>
    </row>
    <row r="41" spans="1:16">
      <c r="A41" s="372" t="s">
        <v>3094</v>
      </c>
      <c r="B41" s="372" t="s">
        <v>3124</v>
      </c>
      <c r="C41" s="372" t="s">
        <v>72</v>
      </c>
    </row>
    <row r="42" spans="1:16">
      <c r="A42" s="311" t="s">
        <v>3125</v>
      </c>
      <c r="B42" s="311" t="s">
        <v>3126</v>
      </c>
      <c r="C42" s="311"/>
    </row>
    <row r="43" spans="1:16">
      <c r="A43" s="311" t="s">
        <v>3127</v>
      </c>
      <c r="B43" s="311" t="s">
        <v>3128</v>
      </c>
      <c r="C43" s="311"/>
    </row>
    <row r="44" spans="1:16">
      <c r="A44" s="311" t="s">
        <v>3129</v>
      </c>
      <c r="B44" s="311" t="s">
        <v>3130</v>
      </c>
      <c r="C44" s="311"/>
    </row>
    <row r="45" spans="1:16">
      <c r="A45" s="311" t="s">
        <v>3131</v>
      </c>
      <c r="B45" s="311" t="s">
        <v>1569</v>
      </c>
      <c r="C45" s="311"/>
    </row>
    <row r="46" spans="1:16">
      <c r="A46" s="311" t="s">
        <v>3132</v>
      </c>
      <c r="B46" s="311" t="s">
        <v>3133</v>
      </c>
      <c r="C46" s="311" t="s">
        <v>3134</v>
      </c>
    </row>
    <row r="47" spans="1:16">
      <c r="A47" s="311" t="s">
        <v>3135</v>
      </c>
      <c r="B47" s="311" t="s">
        <v>3136</v>
      </c>
      <c r="C47" s="311"/>
    </row>
    <row r="48" spans="1:16">
      <c r="A48" s="311" t="s">
        <v>3137</v>
      </c>
      <c r="B48" s="311" t="s">
        <v>1460</v>
      </c>
      <c r="C48" s="311"/>
    </row>
    <row r="49" spans="1:3">
      <c r="A49" s="310" t="s">
        <v>3138</v>
      </c>
      <c r="B49" s="310" t="s">
        <v>3139</v>
      </c>
      <c r="C49" s="310"/>
    </row>
    <row r="50" spans="1:3">
      <c r="A50" s="310" t="s">
        <v>3140</v>
      </c>
      <c r="B50" s="310" t="s">
        <v>3141</v>
      </c>
      <c r="C50" s="310"/>
    </row>
    <row r="51" spans="1:3">
      <c r="A51" s="311" t="s">
        <v>3117</v>
      </c>
      <c r="B51" s="311" t="s">
        <v>3142</v>
      </c>
      <c r="C51" s="311"/>
    </row>
    <row r="52" spans="1:3">
      <c r="A52" s="311" t="s">
        <v>3143</v>
      </c>
      <c r="B52" s="311" t="s">
        <v>3144</v>
      </c>
      <c r="C52" s="311"/>
    </row>
    <row r="53" spans="1:3">
      <c r="A53" s="311" t="s">
        <v>3145</v>
      </c>
      <c r="B53" s="311" t="s">
        <v>3146</v>
      </c>
      <c r="C53" s="311"/>
    </row>
    <row r="54" spans="1:3">
      <c r="A54" s="311" t="s">
        <v>3147</v>
      </c>
      <c r="B54" s="311" t="s">
        <v>3148</v>
      </c>
      <c r="C54" s="311"/>
    </row>
    <row r="55" spans="1:3">
      <c r="A55" s="311" t="s">
        <v>3149</v>
      </c>
      <c r="B55" s="311" t="s">
        <v>3150</v>
      </c>
      <c r="C55" s="311"/>
    </row>
    <row r="56" spans="1:3">
      <c r="A56" s="311" t="s">
        <v>3151</v>
      </c>
      <c r="B56" s="311" t="s">
        <v>3152</v>
      </c>
      <c r="C56" s="311"/>
    </row>
    <row r="57" spans="1:3">
      <c r="A57" s="311" t="s">
        <v>3153</v>
      </c>
      <c r="B57" s="311" t="s">
        <v>3154</v>
      </c>
      <c r="C57" s="311"/>
    </row>
    <row r="58" spans="1:3">
      <c r="A58" s="311" t="s">
        <v>3155</v>
      </c>
      <c r="B58" s="311" t="s">
        <v>1785</v>
      </c>
      <c r="C58" s="311"/>
    </row>
    <row r="59" spans="1:3">
      <c r="A59" s="311" t="s">
        <v>3156</v>
      </c>
      <c r="B59" s="311" t="s">
        <v>183</v>
      </c>
      <c r="C59" s="311"/>
    </row>
    <row r="60" spans="1:3">
      <c r="A60" s="311" t="s">
        <v>3157</v>
      </c>
      <c r="B60" s="311" t="s">
        <v>3158</v>
      </c>
      <c r="C60" s="311"/>
    </row>
    <row r="61" spans="1:3">
      <c r="A61" s="310" t="s">
        <v>3157</v>
      </c>
      <c r="B61" s="310" t="s">
        <v>3159</v>
      </c>
      <c r="C61" s="310"/>
    </row>
    <row r="62" spans="1:3">
      <c r="A62" s="311" t="s">
        <v>3160</v>
      </c>
      <c r="B62" s="311" t="s">
        <v>3161</v>
      </c>
      <c r="C62" s="311"/>
    </row>
    <row r="63" spans="1:3">
      <c r="A63" s="311" t="s">
        <v>3162</v>
      </c>
      <c r="B63" s="311" t="s">
        <v>3163</v>
      </c>
      <c r="C63" s="311"/>
    </row>
    <row r="64" spans="1:3">
      <c r="A64" s="311" t="s">
        <v>3164</v>
      </c>
      <c r="B64" s="311" t="s">
        <v>3165</v>
      </c>
      <c r="C64" s="311"/>
    </row>
    <row r="65" spans="1:3">
      <c r="A65" s="83" t="s">
        <v>3166</v>
      </c>
      <c r="B65" s="83" t="s">
        <v>3167</v>
      </c>
      <c r="C65" s="83" t="s">
        <v>3168</v>
      </c>
    </row>
  </sheetData>
  <mergeCells count="18">
    <mergeCell ref="B2:P2"/>
    <mergeCell ref="B3:P3"/>
    <mergeCell ref="B4:P4"/>
    <mergeCell ref="A5:A8"/>
    <mergeCell ref="B5:P8"/>
    <mergeCell ref="B9:C9"/>
    <mergeCell ref="A37:A39"/>
    <mergeCell ref="B10:H10"/>
    <mergeCell ref="J10:P10"/>
    <mergeCell ref="A11:H11"/>
    <mergeCell ref="I11:P11"/>
    <mergeCell ref="B12:H12"/>
    <mergeCell ref="J12:P12"/>
    <mergeCell ref="A13:H13"/>
    <mergeCell ref="I13:P13"/>
    <mergeCell ref="B34:P34"/>
    <mergeCell ref="D9:H9"/>
    <mergeCell ref="J9:P9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8833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34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35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36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37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8838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64"/>
  <sheetViews>
    <sheetView zoomScaleNormal="100" workbookViewId="0"/>
  </sheetViews>
  <sheetFormatPr defaultRowHeight="16.5"/>
  <cols>
    <col min="1" max="1" width="20.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6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s="246" customFormat="1" ht="12">
      <c r="A2" s="247" t="s">
        <v>1819</v>
      </c>
      <c r="B2" s="669" t="s">
        <v>1465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70"/>
    </row>
    <row r="3" spans="1:16" s="246" customFormat="1" ht="12">
      <c r="A3" s="309" t="s">
        <v>3169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6" s="246" customFormat="1" ht="12">
      <c r="A4" s="309" t="s">
        <v>1392</v>
      </c>
      <c r="B4" s="550" t="s">
        <v>3170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6" s="249" customFormat="1" ht="16.5" customHeight="1">
      <c r="A5" s="553" t="s">
        <v>3171</v>
      </c>
      <c r="B5" s="554" t="s">
        <v>3172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6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6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6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6" s="249" customFormat="1" ht="16.5" customHeight="1">
      <c r="A9" s="309" t="s">
        <v>3173</v>
      </c>
      <c r="B9" s="559"/>
      <c r="C9" s="559"/>
      <c r="D9" s="559"/>
      <c r="E9" s="559"/>
      <c r="F9" s="559"/>
      <c r="G9" s="559"/>
      <c r="H9" s="559"/>
      <c r="I9" s="250" t="s">
        <v>3174</v>
      </c>
      <c r="J9" s="559" t="s">
        <v>1516</v>
      </c>
      <c r="K9" s="559"/>
      <c r="L9" s="559"/>
      <c r="M9" s="559"/>
      <c r="N9" s="559"/>
      <c r="O9" s="559"/>
      <c r="P9" s="561"/>
    </row>
    <row r="10" spans="1:16" s="249" customFormat="1" ht="16.5" customHeight="1">
      <c r="A10" s="309" t="s">
        <v>3175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6" s="249" customFormat="1" ht="16.5" customHeight="1">
      <c r="A11" s="562" t="s">
        <v>3176</v>
      </c>
      <c r="B11" s="563"/>
      <c r="C11" s="563"/>
      <c r="D11" s="563"/>
      <c r="E11" s="563"/>
      <c r="F11" s="563"/>
      <c r="G11" s="563"/>
      <c r="H11" s="563"/>
      <c r="I11" s="564" t="s">
        <v>3177</v>
      </c>
      <c r="J11" s="564"/>
      <c r="K11" s="564"/>
      <c r="L11" s="564"/>
      <c r="M11" s="564"/>
      <c r="N11" s="564"/>
      <c r="O11" s="564"/>
      <c r="P11" s="565"/>
    </row>
    <row r="12" spans="1:16" s="249" customFormat="1" ht="25.5" customHeight="1">
      <c r="A12" s="309" t="s">
        <v>3178</v>
      </c>
      <c r="B12" s="566" t="s">
        <v>7</v>
      </c>
      <c r="C12" s="566"/>
      <c r="D12" s="566"/>
      <c r="E12" s="566"/>
      <c r="F12" s="566"/>
      <c r="G12" s="566"/>
      <c r="H12" s="566"/>
      <c r="I12" s="250" t="s">
        <v>3179</v>
      </c>
      <c r="J12" s="566" t="s">
        <v>149</v>
      </c>
      <c r="K12" s="566"/>
      <c r="L12" s="566"/>
      <c r="M12" s="566"/>
      <c r="N12" s="566"/>
      <c r="O12" s="566"/>
      <c r="P12" s="567"/>
    </row>
    <row r="13" spans="1:16" s="246" customFormat="1" ht="12">
      <c r="A13" s="562" t="s">
        <v>3083</v>
      </c>
      <c r="B13" s="563"/>
      <c r="C13" s="563"/>
      <c r="D13" s="563"/>
      <c r="E13" s="563"/>
      <c r="F13" s="563"/>
      <c r="G13" s="563"/>
      <c r="H13" s="563"/>
      <c r="I13" s="564" t="s">
        <v>3180</v>
      </c>
      <c r="J13" s="564"/>
      <c r="K13" s="564"/>
      <c r="L13" s="564"/>
      <c r="M13" s="564"/>
      <c r="N13" s="564"/>
      <c r="O13" s="564"/>
      <c r="P13" s="565"/>
    </row>
    <row r="14" spans="1:16" s="246" customFormat="1" ht="24">
      <c r="A14" s="251" t="s">
        <v>1525</v>
      </c>
      <c r="B14" s="252" t="s">
        <v>1006</v>
      </c>
      <c r="C14" s="252" t="s">
        <v>43</v>
      </c>
      <c r="D14" s="253" t="s">
        <v>3087</v>
      </c>
      <c r="E14" s="252" t="s">
        <v>3181</v>
      </c>
      <c r="F14" s="252" t="s">
        <v>3182</v>
      </c>
      <c r="G14" s="252" t="s">
        <v>1414</v>
      </c>
      <c r="H14" s="252" t="s">
        <v>3183</v>
      </c>
      <c r="I14" s="252" t="s">
        <v>3184</v>
      </c>
      <c r="J14" s="252" t="s">
        <v>1006</v>
      </c>
      <c r="K14" s="252" t="s">
        <v>43</v>
      </c>
      <c r="L14" s="253" t="s">
        <v>1412</v>
      </c>
      <c r="M14" s="253" t="s">
        <v>3185</v>
      </c>
      <c r="N14" s="252" t="s">
        <v>1413</v>
      </c>
      <c r="O14" s="252" t="s">
        <v>1394</v>
      </c>
      <c r="P14" s="254" t="s">
        <v>3183</v>
      </c>
    </row>
    <row r="15" spans="1:16">
      <c r="A15" s="274" t="s">
        <v>3186</v>
      </c>
      <c r="B15" s="283" t="s">
        <v>3187</v>
      </c>
      <c r="C15" s="283" t="s">
        <v>1447</v>
      </c>
      <c r="D15" s="276" t="s">
        <v>1412</v>
      </c>
      <c r="E15" s="276" t="s">
        <v>57</v>
      </c>
      <c r="F15" s="276">
        <v>1000</v>
      </c>
      <c r="G15" s="283" t="s">
        <v>1549</v>
      </c>
      <c r="H15" s="275"/>
      <c r="I15" s="275"/>
      <c r="J15" s="275"/>
      <c r="K15" s="275"/>
      <c r="L15" s="276"/>
      <c r="M15" s="276"/>
      <c r="N15" s="276"/>
      <c r="O15" s="275"/>
      <c r="P15" s="277"/>
    </row>
    <row r="16" spans="1:16">
      <c r="A16" s="274" t="s">
        <v>3186</v>
      </c>
      <c r="B16" s="283" t="s">
        <v>3188</v>
      </c>
      <c r="C16" s="283" t="s">
        <v>3189</v>
      </c>
      <c r="D16" s="276" t="s">
        <v>3087</v>
      </c>
      <c r="E16" s="276" t="s">
        <v>515</v>
      </c>
      <c r="F16" s="276"/>
      <c r="G16" s="283" t="s">
        <v>3190</v>
      </c>
      <c r="H16" s="275"/>
      <c r="I16" s="275"/>
      <c r="J16" s="275"/>
      <c r="K16" s="275"/>
      <c r="L16" s="276"/>
      <c r="M16" s="276"/>
      <c r="N16" s="276"/>
      <c r="O16" s="275"/>
      <c r="P16" s="277"/>
    </row>
    <row r="17" spans="1:16">
      <c r="A17" s="274" t="s">
        <v>3186</v>
      </c>
      <c r="B17" s="283" t="s">
        <v>3191</v>
      </c>
      <c r="C17" s="283" t="s">
        <v>3192</v>
      </c>
      <c r="D17" s="276" t="s">
        <v>3193</v>
      </c>
      <c r="E17" s="276" t="s">
        <v>515</v>
      </c>
      <c r="F17" s="279"/>
      <c r="G17" s="283" t="s">
        <v>3194</v>
      </c>
      <c r="H17" s="275"/>
      <c r="I17" s="275"/>
      <c r="J17" s="275"/>
      <c r="K17" s="275"/>
      <c r="L17" s="276"/>
      <c r="M17" s="276"/>
      <c r="N17" s="276"/>
      <c r="O17" s="275"/>
      <c r="P17" s="277"/>
    </row>
    <row r="18" spans="1:16">
      <c r="A18" s="274" t="s">
        <v>3186</v>
      </c>
      <c r="B18" s="283" t="s">
        <v>3195</v>
      </c>
      <c r="C18" s="283" t="s">
        <v>3196</v>
      </c>
      <c r="D18" s="276" t="s">
        <v>3193</v>
      </c>
      <c r="E18" s="276" t="s">
        <v>515</v>
      </c>
      <c r="F18" s="279" t="s">
        <v>1601</v>
      </c>
      <c r="G18" s="283" t="s">
        <v>1599</v>
      </c>
      <c r="H18" s="275"/>
      <c r="I18" s="275"/>
      <c r="J18" s="275"/>
      <c r="K18" s="275"/>
      <c r="L18" s="276"/>
      <c r="M18" s="276"/>
      <c r="N18" s="276"/>
      <c r="O18" s="275"/>
      <c r="P18" s="277"/>
    </row>
    <row r="19" spans="1:16">
      <c r="A19" s="274" t="s">
        <v>3186</v>
      </c>
      <c r="B19" s="283" t="s">
        <v>1632</v>
      </c>
      <c r="C19" s="283" t="s">
        <v>1637</v>
      </c>
      <c r="D19" s="276"/>
      <c r="E19" s="276"/>
      <c r="F19" s="276"/>
      <c r="G19" s="283" t="s">
        <v>1633</v>
      </c>
      <c r="H19" s="284"/>
      <c r="I19" s="275"/>
      <c r="J19" s="275"/>
      <c r="K19" s="275"/>
      <c r="L19" s="276"/>
      <c r="M19" s="276"/>
      <c r="N19" s="276"/>
      <c r="O19" s="275"/>
      <c r="P19" s="277"/>
    </row>
    <row r="20" spans="1:16">
      <c r="A20" s="274" t="s">
        <v>3186</v>
      </c>
      <c r="B20" s="283" t="s">
        <v>1634</v>
      </c>
      <c r="C20" s="283" t="s">
        <v>1817</v>
      </c>
      <c r="D20" s="283"/>
      <c r="E20" s="276"/>
      <c r="F20" s="276"/>
      <c r="G20" s="358" t="s">
        <v>1635</v>
      </c>
      <c r="H20" s="359"/>
      <c r="I20" s="360"/>
      <c r="J20" s="275"/>
      <c r="K20" s="275"/>
      <c r="L20" s="275"/>
      <c r="M20" s="276"/>
      <c r="N20" s="276"/>
      <c r="O20" s="276"/>
      <c r="P20" s="277"/>
    </row>
    <row r="21" spans="1:16">
      <c r="A21" s="274" t="s">
        <v>3186</v>
      </c>
      <c r="B21" s="283" t="s">
        <v>1636</v>
      </c>
      <c r="C21" s="283" t="s">
        <v>3197</v>
      </c>
      <c r="D21" s="276"/>
      <c r="E21" s="276"/>
      <c r="F21" s="276" t="s">
        <v>3103</v>
      </c>
      <c r="G21" s="283" t="s">
        <v>1638</v>
      </c>
      <c r="H21" s="360"/>
      <c r="I21" s="275"/>
      <c r="J21" s="275"/>
      <c r="K21" s="275"/>
      <c r="L21" s="276"/>
      <c r="M21" s="276"/>
      <c r="N21" s="276"/>
      <c r="O21" s="275"/>
      <c r="P21" s="277"/>
    </row>
    <row r="22" spans="1:16">
      <c r="A22" s="274" t="s">
        <v>3186</v>
      </c>
      <c r="B22" s="283" t="s">
        <v>1639</v>
      </c>
      <c r="C22" s="283" t="s">
        <v>1817</v>
      </c>
      <c r="D22" s="276"/>
      <c r="E22" s="276"/>
      <c r="F22" s="276" t="s">
        <v>3198</v>
      </c>
      <c r="G22" s="283" t="s">
        <v>1640</v>
      </c>
      <c r="H22" s="284"/>
      <c r="I22" s="275"/>
      <c r="J22" s="275"/>
      <c r="K22" s="275"/>
      <c r="L22" s="276"/>
      <c r="M22" s="276"/>
      <c r="N22" s="276"/>
      <c r="O22" s="275"/>
      <c r="P22" s="277"/>
    </row>
    <row r="23" spans="1:16">
      <c r="A23" s="274"/>
      <c r="B23" s="283"/>
      <c r="C23" s="283"/>
      <c r="D23" s="276"/>
      <c r="E23" s="276"/>
      <c r="F23" s="276"/>
      <c r="G23" s="283"/>
      <c r="H23" s="284"/>
      <c r="I23" s="275"/>
      <c r="J23" s="275"/>
      <c r="K23" s="275"/>
      <c r="L23" s="276"/>
      <c r="M23" s="276"/>
      <c r="N23" s="276"/>
      <c r="O23" s="275"/>
      <c r="P23" s="277"/>
    </row>
    <row r="24" spans="1:16">
      <c r="A24" s="274"/>
      <c r="B24" s="283"/>
      <c r="C24" s="283"/>
      <c r="D24" s="276"/>
      <c r="E24" s="276"/>
      <c r="F24" s="276"/>
      <c r="G24" s="283"/>
      <c r="H24" s="275"/>
      <c r="I24" s="275"/>
      <c r="J24" s="275"/>
      <c r="K24" s="275"/>
      <c r="L24" s="276"/>
      <c r="M24" s="276"/>
      <c r="N24" s="276"/>
      <c r="O24" s="275"/>
      <c r="P24" s="277"/>
    </row>
    <row r="25" spans="1:16">
      <c r="A25" s="361"/>
      <c r="B25" s="311"/>
      <c r="C25" s="311"/>
      <c r="D25" s="308"/>
      <c r="E25" s="308"/>
      <c r="F25" s="308"/>
      <c r="G25" s="311"/>
      <c r="H25" s="338"/>
      <c r="I25" s="338"/>
      <c r="J25" s="338"/>
      <c r="K25" s="338"/>
      <c r="L25" s="308"/>
      <c r="M25" s="308"/>
      <c r="N25" s="308"/>
      <c r="O25" s="338"/>
      <c r="P25" s="362"/>
    </row>
    <row r="26" spans="1:16">
      <c r="A26" s="361"/>
      <c r="B26" s="311"/>
      <c r="C26" s="311"/>
      <c r="D26" s="308"/>
      <c r="E26" s="308"/>
      <c r="F26" s="308"/>
      <c r="G26" s="311"/>
      <c r="H26" s="363"/>
      <c r="I26" s="338"/>
      <c r="J26" s="338"/>
      <c r="K26" s="338"/>
      <c r="L26" s="308"/>
      <c r="M26" s="308"/>
      <c r="N26" s="308"/>
      <c r="O26" s="338"/>
      <c r="P26" s="362"/>
    </row>
    <row r="27" spans="1:16">
      <c r="A27" s="361"/>
      <c r="B27" s="311"/>
      <c r="C27" s="311"/>
      <c r="D27" s="308"/>
      <c r="E27" s="308"/>
      <c r="F27" s="308"/>
      <c r="G27" s="311"/>
      <c r="H27" s="363"/>
      <c r="I27" s="338"/>
      <c r="J27" s="338"/>
      <c r="K27" s="338"/>
      <c r="L27" s="308"/>
      <c r="M27" s="308"/>
      <c r="N27" s="308"/>
      <c r="O27" s="338"/>
      <c r="P27" s="362"/>
    </row>
    <row r="28" spans="1:16" s="298" customFormat="1">
      <c r="A28" s="361"/>
      <c r="B28" s="311"/>
      <c r="C28" s="311"/>
      <c r="D28" s="308"/>
      <c r="E28" s="308"/>
      <c r="F28" s="308"/>
      <c r="G28" s="311"/>
      <c r="H28" s="338"/>
      <c r="I28" s="338"/>
      <c r="J28" s="338"/>
      <c r="K28" s="338"/>
      <c r="L28" s="308"/>
      <c r="M28" s="308"/>
      <c r="N28" s="308"/>
      <c r="O28" s="338"/>
      <c r="P28" s="362"/>
    </row>
    <row r="29" spans="1:16">
      <c r="A29" s="364"/>
      <c r="B29" s="311"/>
      <c r="C29" s="311"/>
      <c r="D29" s="308"/>
      <c r="E29" s="308"/>
      <c r="F29" s="308"/>
      <c r="G29" s="311"/>
      <c r="H29" s="338"/>
      <c r="I29" s="338"/>
      <c r="J29" s="338"/>
      <c r="K29" s="338"/>
      <c r="L29" s="308"/>
      <c r="M29" s="308"/>
      <c r="N29" s="308"/>
      <c r="O29" s="338"/>
      <c r="P29" s="362"/>
    </row>
    <row r="30" spans="1:16">
      <c r="A30" s="364"/>
      <c r="B30" s="311"/>
      <c r="C30" s="311"/>
      <c r="D30" s="308"/>
      <c r="E30" s="308"/>
      <c r="F30" s="308"/>
      <c r="G30" s="311"/>
      <c r="H30" s="363"/>
      <c r="I30" s="338"/>
      <c r="J30" s="338"/>
      <c r="K30" s="338"/>
      <c r="L30" s="308"/>
      <c r="M30" s="308"/>
      <c r="N30" s="308"/>
      <c r="O30" s="338"/>
      <c r="P30" s="362"/>
    </row>
    <row r="31" spans="1:16">
      <c r="A31" s="364"/>
      <c r="B31" s="311"/>
      <c r="C31" s="311"/>
      <c r="D31" s="308"/>
      <c r="E31" s="308"/>
      <c r="F31" s="308"/>
      <c r="G31" s="311"/>
      <c r="H31" s="338"/>
      <c r="I31" s="338"/>
      <c r="J31" s="338"/>
      <c r="K31" s="338"/>
      <c r="L31" s="308"/>
      <c r="M31" s="308"/>
      <c r="N31" s="308"/>
      <c r="O31" s="338"/>
      <c r="P31" s="362"/>
    </row>
    <row r="32" spans="1:16">
      <c r="A32" s="365"/>
      <c r="B32" s="137"/>
      <c r="C32" s="275"/>
      <c r="D32" s="276"/>
      <c r="E32" s="276"/>
      <c r="F32" s="276"/>
      <c r="G32" s="137"/>
      <c r="H32" s="366"/>
      <c r="I32" s="366"/>
      <c r="J32" s="366"/>
      <c r="K32" s="366"/>
      <c r="L32" s="367"/>
      <c r="M32" s="367"/>
      <c r="N32" s="367"/>
      <c r="O32" s="366"/>
      <c r="P32" s="368"/>
    </row>
    <row r="33" spans="1:16">
      <c r="A33" s="365"/>
      <c r="B33" s="137"/>
      <c r="C33" s="275"/>
      <c r="D33" s="276"/>
      <c r="E33" s="276"/>
      <c r="F33" s="276"/>
      <c r="G33" s="137"/>
      <c r="H33" s="366"/>
      <c r="I33" s="366"/>
      <c r="J33" s="366"/>
      <c r="K33" s="366"/>
      <c r="L33" s="367"/>
      <c r="M33" s="367"/>
      <c r="N33" s="367"/>
      <c r="O33" s="366"/>
      <c r="P33" s="368"/>
    </row>
    <row r="34" spans="1:16" ht="17.25" thickBot="1">
      <c r="A34" s="289" t="s">
        <v>1506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8"/>
    </row>
    <row r="35" spans="1:16">
      <c r="A35" s="290"/>
      <c r="B35" s="369"/>
      <c r="C35" s="369"/>
      <c r="D35" s="369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0"/>
      <c r="P35" s="290"/>
    </row>
    <row r="36" spans="1:16">
      <c r="A36" s="370" t="s">
        <v>3199</v>
      </c>
      <c r="B36" s="370" t="s">
        <v>3200</v>
      </c>
      <c r="C36" s="370" t="s">
        <v>3201</v>
      </c>
      <c r="E36" s="319"/>
    </row>
    <row r="37" spans="1:16">
      <c r="A37" s="666" t="s">
        <v>3202</v>
      </c>
      <c r="B37" s="371" t="s">
        <v>3203</v>
      </c>
      <c r="C37" s="370" t="s">
        <v>3204</v>
      </c>
      <c r="E37" s="319"/>
    </row>
    <row r="38" spans="1:16">
      <c r="A38" s="667"/>
      <c r="B38" s="371" t="s">
        <v>3205</v>
      </c>
      <c r="C38" s="370" t="s">
        <v>3206</v>
      </c>
      <c r="E38" s="319"/>
    </row>
    <row r="39" spans="1:16">
      <c r="A39" s="668"/>
      <c r="B39" s="371" t="s">
        <v>3207</v>
      </c>
      <c r="C39" s="370" t="s">
        <v>3208</v>
      </c>
      <c r="E39" s="319"/>
    </row>
    <row r="40" spans="1:16">
      <c r="B40" s="290"/>
      <c r="C40" s="290"/>
      <c r="D40" s="290"/>
    </row>
    <row r="41" spans="1:16">
      <c r="A41" s="372" t="s">
        <v>3209</v>
      </c>
      <c r="B41" s="372" t="s">
        <v>3210</v>
      </c>
      <c r="C41" s="372" t="s">
        <v>3211</v>
      </c>
    </row>
    <row r="42" spans="1:16">
      <c r="A42" s="311" t="s">
        <v>3212</v>
      </c>
      <c r="B42" s="311" t="s">
        <v>3213</v>
      </c>
      <c r="C42" s="311"/>
    </row>
    <row r="43" spans="1:16">
      <c r="A43" s="311" t="s">
        <v>3127</v>
      </c>
      <c r="B43" s="311" t="s">
        <v>3214</v>
      </c>
      <c r="C43" s="311"/>
    </row>
    <row r="44" spans="1:16">
      <c r="A44" s="311" t="s">
        <v>3129</v>
      </c>
      <c r="B44" s="311" t="s">
        <v>3130</v>
      </c>
      <c r="C44" s="311"/>
    </row>
    <row r="45" spans="1:16">
      <c r="A45" s="311" t="s">
        <v>3131</v>
      </c>
      <c r="B45" s="311" t="s">
        <v>3215</v>
      </c>
      <c r="C45" s="311"/>
    </row>
    <row r="46" spans="1:16">
      <c r="A46" s="311" t="s">
        <v>3216</v>
      </c>
      <c r="B46" s="311" t="s">
        <v>3217</v>
      </c>
      <c r="C46" s="311" t="s">
        <v>3218</v>
      </c>
    </row>
    <row r="47" spans="1:16">
      <c r="A47" s="311" t="s">
        <v>3219</v>
      </c>
      <c r="B47" s="311" t="s">
        <v>3220</v>
      </c>
      <c r="C47" s="311"/>
    </row>
    <row r="48" spans="1:16">
      <c r="A48" s="311" t="s">
        <v>3221</v>
      </c>
      <c r="B48" s="311" t="s">
        <v>3222</v>
      </c>
      <c r="C48" s="311"/>
    </row>
    <row r="49" spans="1:3">
      <c r="A49" s="83" t="s">
        <v>3138</v>
      </c>
      <c r="B49" s="83" t="s">
        <v>3223</v>
      </c>
      <c r="C49" s="83" t="s">
        <v>3224</v>
      </c>
    </row>
    <row r="50" spans="1:3">
      <c r="A50" s="83" t="s">
        <v>3225</v>
      </c>
      <c r="B50" s="83" t="s">
        <v>3141</v>
      </c>
      <c r="C50" s="83"/>
    </row>
    <row r="51" spans="1:3">
      <c r="A51" s="311" t="s">
        <v>3226</v>
      </c>
      <c r="B51" s="311" t="s">
        <v>3227</v>
      </c>
      <c r="C51" s="311"/>
    </row>
    <row r="52" spans="1:3">
      <c r="A52" s="311" t="s">
        <v>3143</v>
      </c>
      <c r="B52" s="311" t="s">
        <v>3228</v>
      </c>
      <c r="C52" s="311"/>
    </row>
    <row r="53" spans="1:3">
      <c r="A53" s="311" t="s">
        <v>3145</v>
      </c>
      <c r="B53" s="311" t="s">
        <v>3229</v>
      </c>
      <c r="C53" s="311"/>
    </row>
    <row r="54" spans="1:3">
      <c r="A54" s="373" t="s">
        <v>3230</v>
      </c>
      <c r="B54" s="373" t="s">
        <v>3231</v>
      </c>
      <c r="C54" s="373"/>
    </row>
    <row r="55" spans="1:3">
      <c r="A55" s="311" t="s">
        <v>3149</v>
      </c>
      <c r="B55" s="311" t="s">
        <v>3232</v>
      </c>
      <c r="C55" s="311"/>
    </row>
    <row r="56" spans="1:3">
      <c r="A56" s="373" t="s">
        <v>3233</v>
      </c>
      <c r="B56" s="373" t="s">
        <v>3234</v>
      </c>
      <c r="C56" s="373"/>
    </row>
    <row r="57" spans="1:3">
      <c r="A57" s="311" t="s">
        <v>3235</v>
      </c>
      <c r="B57" s="311" t="s">
        <v>2368</v>
      </c>
      <c r="C57" s="311"/>
    </row>
    <row r="58" spans="1:3">
      <c r="A58" s="311" t="s">
        <v>3155</v>
      </c>
      <c r="B58" s="311" t="s">
        <v>3236</v>
      </c>
      <c r="C58" s="311"/>
    </row>
    <row r="59" spans="1:3">
      <c r="A59" s="311" t="s">
        <v>3237</v>
      </c>
      <c r="B59" s="311" t="s">
        <v>3238</v>
      </c>
      <c r="C59" s="311"/>
    </row>
    <row r="60" spans="1:3">
      <c r="A60" s="311" t="s">
        <v>3239</v>
      </c>
      <c r="B60" s="311" t="s">
        <v>3240</v>
      </c>
      <c r="C60" s="311"/>
    </row>
    <row r="61" spans="1:3">
      <c r="A61" s="83" t="s">
        <v>3241</v>
      </c>
      <c r="B61" s="83" t="s">
        <v>3242</v>
      </c>
      <c r="C61" s="83" t="s">
        <v>3243</v>
      </c>
    </row>
    <row r="62" spans="1:3">
      <c r="A62" s="311" t="s">
        <v>3160</v>
      </c>
      <c r="B62" s="311" t="s">
        <v>3244</v>
      </c>
      <c r="C62" s="311"/>
    </row>
    <row r="63" spans="1:3">
      <c r="A63" s="311" t="s">
        <v>3245</v>
      </c>
      <c r="B63" s="311" t="s">
        <v>3163</v>
      </c>
      <c r="C63" s="311"/>
    </row>
    <row r="64" spans="1:3">
      <c r="A64" s="311" t="s">
        <v>3246</v>
      </c>
      <c r="B64" s="311" t="s">
        <v>3247</v>
      </c>
      <c r="C64" s="311"/>
    </row>
  </sheetData>
  <mergeCells count="18">
    <mergeCell ref="B2:P2"/>
    <mergeCell ref="B3:P3"/>
    <mergeCell ref="B4:P4"/>
    <mergeCell ref="A5:A8"/>
    <mergeCell ref="B5:P8"/>
    <mergeCell ref="B9:C9"/>
    <mergeCell ref="A37:A39"/>
    <mergeCell ref="B10:H10"/>
    <mergeCell ref="J10:P10"/>
    <mergeCell ref="A11:H11"/>
    <mergeCell ref="I11:P11"/>
    <mergeCell ref="B12:H12"/>
    <mergeCell ref="J12:P12"/>
    <mergeCell ref="A13:H13"/>
    <mergeCell ref="I13:P13"/>
    <mergeCell ref="B34:P34"/>
    <mergeCell ref="D9:H9"/>
    <mergeCell ref="J9:P9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8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9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0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1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2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1"/>
  <sheetViews>
    <sheetView zoomScaleNormal="100" workbookViewId="0"/>
  </sheetViews>
  <sheetFormatPr defaultRowHeight="16.5"/>
  <cols>
    <col min="1" max="1" width="12.75" style="272" bestFit="1" customWidth="1"/>
    <col min="2" max="2" width="15" style="272" bestFit="1" customWidth="1"/>
    <col min="3" max="3" width="12.625" style="272" customWidth="1"/>
    <col min="4" max="4" width="6" style="272" bestFit="1" customWidth="1"/>
    <col min="5" max="5" width="6" style="272" customWidth="1"/>
    <col min="6" max="6" width="6.75" style="272" bestFit="1" customWidth="1"/>
    <col min="7" max="7" width="16.625" style="272" customWidth="1"/>
    <col min="8" max="8" width="40.625" style="272" bestFit="1" customWidth="1"/>
    <col min="9" max="9" width="13.625" style="272" customWidth="1"/>
    <col min="10" max="10" width="18.875" style="272" bestFit="1" customWidth="1"/>
    <col min="11" max="11" width="12.625" style="272" customWidth="1"/>
    <col min="12" max="12" width="7.125" style="272" bestFit="1" customWidth="1"/>
    <col min="13" max="13" width="7.125" style="272" customWidth="1"/>
    <col min="14" max="14" width="7.75" style="272" customWidth="1"/>
    <col min="15" max="15" width="16.625" style="272" customWidth="1"/>
    <col min="16" max="16" width="30.625" style="272" customWidth="1"/>
    <col min="17" max="228" width="9" style="272"/>
    <col min="229" max="229" width="6.375" style="272" customWidth="1"/>
    <col min="230" max="230" width="18.5" style="272" customWidth="1"/>
    <col min="231" max="231" width="31.25" style="272" customWidth="1"/>
    <col min="232" max="232" width="9" style="272"/>
    <col min="233" max="234" width="9.25" style="272" customWidth="1"/>
    <col min="235" max="484" width="9" style="272"/>
    <col min="485" max="485" width="6.375" style="272" customWidth="1"/>
    <col min="486" max="486" width="18.5" style="272" customWidth="1"/>
    <col min="487" max="487" width="31.25" style="272" customWidth="1"/>
    <col min="488" max="488" width="9" style="272"/>
    <col min="489" max="490" width="9.25" style="272" customWidth="1"/>
    <col min="491" max="740" width="9" style="272"/>
    <col min="741" max="741" width="6.375" style="272" customWidth="1"/>
    <col min="742" max="742" width="18.5" style="272" customWidth="1"/>
    <col min="743" max="743" width="31.25" style="272" customWidth="1"/>
    <col min="744" max="744" width="9" style="272"/>
    <col min="745" max="746" width="9.25" style="272" customWidth="1"/>
    <col min="747" max="996" width="9" style="272"/>
    <col min="997" max="997" width="6.375" style="272" customWidth="1"/>
    <col min="998" max="998" width="18.5" style="272" customWidth="1"/>
    <col min="999" max="999" width="31.25" style="272" customWidth="1"/>
    <col min="1000" max="1000" width="9" style="272"/>
    <col min="1001" max="1002" width="9.25" style="272" customWidth="1"/>
    <col min="1003" max="1252" width="9" style="272"/>
    <col min="1253" max="1253" width="6.375" style="272" customWidth="1"/>
    <col min="1254" max="1254" width="18.5" style="272" customWidth="1"/>
    <col min="1255" max="1255" width="31.25" style="272" customWidth="1"/>
    <col min="1256" max="1256" width="9" style="272"/>
    <col min="1257" max="1258" width="9.25" style="272" customWidth="1"/>
    <col min="1259" max="1508" width="9" style="272"/>
    <col min="1509" max="1509" width="6.375" style="272" customWidth="1"/>
    <col min="1510" max="1510" width="18.5" style="272" customWidth="1"/>
    <col min="1511" max="1511" width="31.25" style="272" customWidth="1"/>
    <col min="1512" max="1512" width="9" style="272"/>
    <col min="1513" max="1514" width="9.25" style="272" customWidth="1"/>
    <col min="1515" max="1764" width="9" style="272"/>
    <col min="1765" max="1765" width="6.375" style="272" customWidth="1"/>
    <col min="1766" max="1766" width="18.5" style="272" customWidth="1"/>
    <col min="1767" max="1767" width="31.25" style="272" customWidth="1"/>
    <col min="1768" max="1768" width="9" style="272"/>
    <col min="1769" max="1770" width="9.25" style="272" customWidth="1"/>
    <col min="1771" max="2020" width="9" style="272"/>
    <col min="2021" max="2021" width="6.375" style="272" customWidth="1"/>
    <col min="2022" max="2022" width="18.5" style="272" customWidth="1"/>
    <col min="2023" max="2023" width="31.25" style="272" customWidth="1"/>
    <col min="2024" max="2024" width="9" style="272"/>
    <col min="2025" max="2026" width="9.25" style="272" customWidth="1"/>
    <col min="2027" max="2276" width="9" style="272"/>
    <col min="2277" max="2277" width="6.375" style="272" customWidth="1"/>
    <col min="2278" max="2278" width="18.5" style="272" customWidth="1"/>
    <col min="2279" max="2279" width="31.25" style="272" customWidth="1"/>
    <col min="2280" max="2280" width="9" style="272"/>
    <col min="2281" max="2282" width="9.25" style="272" customWidth="1"/>
    <col min="2283" max="2532" width="9" style="272"/>
    <col min="2533" max="2533" width="6.375" style="272" customWidth="1"/>
    <col min="2534" max="2534" width="18.5" style="272" customWidth="1"/>
    <col min="2535" max="2535" width="31.25" style="272" customWidth="1"/>
    <col min="2536" max="2536" width="9" style="272"/>
    <col min="2537" max="2538" width="9.25" style="272" customWidth="1"/>
    <col min="2539" max="2788" width="9" style="272"/>
    <col min="2789" max="2789" width="6.375" style="272" customWidth="1"/>
    <col min="2790" max="2790" width="18.5" style="272" customWidth="1"/>
    <col min="2791" max="2791" width="31.25" style="272" customWidth="1"/>
    <col min="2792" max="2792" width="9" style="272"/>
    <col min="2793" max="2794" width="9.25" style="272" customWidth="1"/>
    <col min="2795" max="3044" width="9" style="272"/>
    <col min="3045" max="3045" width="6.375" style="272" customWidth="1"/>
    <col min="3046" max="3046" width="18.5" style="272" customWidth="1"/>
    <col min="3047" max="3047" width="31.25" style="272" customWidth="1"/>
    <col min="3048" max="3048" width="9" style="272"/>
    <col min="3049" max="3050" width="9.25" style="272" customWidth="1"/>
    <col min="3051" max="3300" width="9" style="272"/>
    <col min="3301" max="3301" width="6.375" style="272" customWidth="1"/>
    <col min="3302" max="3302" width="18.5" style="272" customWidth="1"/>
    <col min="3303" max="3303" width="31.25" style="272" customWidth="1"/>
    <col min="3304" max="3304" width="9" style="272"/>
    <col min="3305" max="3306" width="9.25" style="272" customWidth="1"/>
    <col min="3307" max="3556" width="9" style="272"/>
    <col min="3557" max="3557" width="6.375" style="272" customWidth="1"/>
    <col min="3558" max="3558" width="18.5" style="272" customWidth="1"/>
    <col min="3559" max="3559" width="31.25" style="272" customWidth="1"/>
    <col min="3560" max="3560" width="9" style="272"/>
    <col min="3561" max="3562" width="9.25" style="272" customWidth="1"/>
    <col min="3563" max="3812" width="9" style="272"/>
    <col min="3813" max="3813" width="6.375" style="272" customWidth="1"/>
    <col min="3814" max="3814" width="18.5" style="272" customWidth="1"/>
    <col min="3815" max="3815" width="31.25" style="272" customWidth="1"/>
    <col min="3816" max="3816" width="9" style="272"/>
    <col min="3817" max="3818" width="9.25" style="272" customWidth="1"/>
    <col min="3819" max="4068" width="9" style="272"/>
    <col min="4069" max="4069" width="6.375" style="272" customWidth="1"/>
    <col min="4070" max="4070" width="18.5" style="272" customWidth="1"/>
    <col min="4071" max="4071" width="31.25" style="272" customWidth="1"/>
    <col min="4072" max="4072" width="9" style="272"/>
    <col min="4073" max="4074" width="9.25" style="272" customWidth="1"/>
    <col min="4075" max="4324" width="9" style="272"/>
    <col min="4325" max="4325" width="6.375" style="272" customWidth="1"/>
    <col min="4326" max="4326" width="18.5" style="272" customWidth="1"/>
    <col min="4327" max="4327" width="31.25" style="272" customWidth="1"/>
    <col min="4328" max="4328" width="9" style="272"/>
    <col min="4329" max="4330" width="9.25" style="272" customWidth="1"/>
    <col min="4331" max="4580" width="9" style="272"/>
    <col min="4581" max="4581" width="6.375" style="272" customWidth="1"/>
    <col min="4582" max="4582" width="18.5" style="272" customWidth="1"/>
    <col min="4583" max="4583" width="31.25" style="272" customWidth="1"/>
    <col min="4584" max="4584" width="9" style="272"/>
    <col min="4585" max="4586" width="9.25" style="272" customWidth="1"/>
    <col min="4587" max="4836" width="9" style="272"/>
    <col min="4837" max="4837" width="6.375" style="272" customWidth="1"/>
    <col min="4838" max="4838" width="18.5" style="272" customWidth="1"/>
    <col min="4839" max="4839" width="31.25" style="272" customWidth="1"/>
    <col min="4840" max="4840" width="9" style="272"/>
    <col min="4841" max="4842" width="9.25" style="272" customWidth="1"/>
    <col min="4843" max="5092" width="9" style="272"/>
    <col min="5093" max="5093" width="6.375" style="272" customWidth="1"/>
    <col min="5094" max="5094" width="18.5" style="272" customWidth="1"/>
    <col min="5095" max="5095" width="31.25" style="272" customWidth="1"/>
    <col min="5096" max="5096" width="9" style="272"/>
    <col min="5097" max="5098" width="9.25" style="272" customWidth="1"/>
    <col min="5099" max="5348" width="9" style="272"/>
    <col min="5349" max="5349" width="6.375" style="272" customWidth="1"/>
    <col min="5350" max="5350" width="18.5" style="272" customWidth="1"/>
    <col min="5351" max="5351" width="31.25" style="272" customWidth="1"/>
    <col min="5352" max="5352" width="9" style="272"/>
    <col min="5353" max="5354" width="9.25" style="272" customWidth="1"/>
    <col min="5355" max="5604" width="9" style="272"/>
    <col min="5605" max="5605" width="6.375" style="272" customWidth="1"/>
    <col min="5606" max="5606" width="18.5" style="272" customWidth="1"/>
    <col min="5607" max="5607" width="31.25" style="272" customWidth="1"/>
    <col min="5608" max="5608" width="9" style="272"/>
    <col min="5609" max="5610" width="9.25" style="272" customWidth="1"/>
    <col min="5611" max="5860" width="9" style="272"/>
    <col min="5861" max="5861" width="6.375" style="272" customWidth="1"/>
    <col min="5862" max="5862" width="18.5" style="272" customWidth="1"/>
    <col min="5863" max="5863" width="31.25" style="272" customWidth="1"/>
    <col min="5864" max="5864" width="9" style="272"/>
    <col min="5865" max="5866" width="9.25" style="272" customWidth="1"/>
    <col min="5867" max="6116" width="9" style="272"/>
    <col min="6117" max="6117" width="6.375" style="272" customWidth="1"/>
    <col min="6118" max="6118" width="18.5" style="272" customWidth="1"/>
    <col min="6119" max="6119" width="31.25" style="272" customWidth="1"/>
    <col min="6120" max="6120" width="9" style="272"/>
    <col min="6121" max="6122" width="9.25" style="272" customWidth="1"/>
    <col min="6123" max="6372" width="9" style="272"/>
    <col min="6373" max="6373" width="6.375" style="272" customWidth="1"/>
    <col min="6374" max="6374" width="18.5" style="272" customWidth="1"/>
    <col min="6375" max="6375" width="31.25" style="272" customWidth="1"/>
    <col min="6376" max="6376" width="9" style="272"/>
    <col min="6377" max="6378" width="9.25" style="272" customWidth="1"/>
    <col min="6379" max="6628" width="9" style="272"/>
    <col min="6629" max="6629" width="6.375" style="272" customWidth="1"/>
    <col min="6630" max="6630" width="18.5" style="272" customWidth="1"/>
    <col min="6631" max="6631" width="31.25" style="272" customWidth="1"/>
    <col min="6632" max="6632" width="9" style="272"/>
    <col min="6633" max="6634" width="9.25" style="272" customWidth="1"/>
    <col min="6635" max="6884" width="9" style="272"/>
    <col min="6885" max="6885" width="6.375" style="272" customWidth="1"/>
    <col min="6886" max="6886" width="18.5" style="272" customWidth="1"/>
    <col min="6887" max="6887" width="31.25" style="272" customWidth="1"/>
    <col min="6888" max="6888" width="9" style="272"/>
    <col min="6889" max="6890" width="9.25" style="272" customWidth="1"/>
    <col min="6891" max="7140" width="9" style="272"/>
    <col min="7141" max="7141" width="6.375" style="272" customWidth="1"/>
    <col min="7142" max="7142" width="18.5" style="272" customWidth="1"/>
    <col min="7143" max="7143" width="31.25" style="272" customWidth="1"/>
    <col min="7144" max="7144" width="9" style="272"/>
    <col min="7145" max="7146" width="9.25" style="272" customWidth="1"/>
    <col min="7147" max="7396" width="9" style="272"/>
    <col min="7397" max="7397" width="6.375" style="272" customWidth="1"/>
    <col min="7398" max="7398" width="18.5" style="272" customWidth="1"/>
    <col min="7399" max="7399" width="31.25" style="272" customWidth="1"/>
    <col min="7400" max="7400" width="9" style="272"/>
    <col min="7401" max="7402" width="9.25" style="272" customWidth="1"/>
    <col min="7403" max="7652" width="9" style="272"/>
    <col min="7653" max="7653" width="6.375" style="272" customWidth="1"/>
    <col min="7654" max="7654" width="18.5" style="272" customWidth="1"/>
    <col min="7655" max="7655" width="31.25" style="272" customWidth="1"/>
    <col min="7656" max="7656" width="9" style="272"/>
    <col min="7657" max="7658" width="9.25" style="272" customWidth="1"/>
    <col min="7659" max="7908" width="9" style="272"/>
    <col min="7909" max="7909" width="6.375" style="272" customWidth="1"/>
    <col min="7910" max="7910" width="18.5" style="272" customWidth="1"/>
    <col min="7911" max="7911" width="31.25" style="272" customWidth="1"/>
    <col min="7912" max="7912" width="9" style="272"/>
    <col min="7913" max="7914" width="9.25" style="272" customWidth="1"/>
    <col min="7915" max="8164" width="9" style="272"/>
    <col min="8165" max="8165" width="6.375" style="272" customWidth="1"/>
    <col min="8166" max="8166" width="18.5" style="272" customWidth="1"/>
    <col min="8167" max="8167" width="31.25" style="272" customWidth="1"/>
    <col min="8168" max="8168" width="9" style="272"/>
    <col min="8169" max="8170" width="9.25" style="272" customWidth="1"/>
    <col min="8171" max="8420" width="9" style="272"/>
    <col min="8421" max="8421" width="6.375" style="272" customWidth="1"/>
    <col min="8422" max="8422" width="18.5" style="272" customWidth="1"/>
    <col min="8423" max="8423" width="31.25" style="272" customWidth="1"/>
    <col min="8424" max="8424" width="9" style="272"/>
    <col min="8425" max="8426" width="9.25" style="272" customWidth="1"/>
    <col min="8427" max="8676" width="9" style="272"/>
    <col min="8677" max="8677" width="6.375" style="272" customWidth="1"/>
    <col min="8678" max="8678" width="18.5" style="272" customWidth="1"/>
    <col min="8679" max="8679" width="31.25" style="272" customWidth="1"/>
    <col min="8680" max="8680" width="9" style="272"/>
    <col min="8681" max="8682" width="9.25" style="272" customWidth="1"/>
    <col min="8683" max="8932" width="9" style="272"/>
    <col min="8933" max="8933" width="6.375" style="272" customWidth="1"/>
    <col min="8934" max="8934" width="18.5" style="272" customWidth="1"/>
    <col min="8935" max="8935" width="31.25" style="272" customWidth="1"/>
    <col min="8936" max="8936" width="9" style="272"/>
    <col min="8937" max="8938" width="9.25" style="272" customWidth="1"/>
    <col min="8939" max="9188" width="9" style="272"/>
    <col min="9189" max="9189" width="6.375" style="272" customWidth="1"/>
    <col min="9190" max="9190" width="18.5" style="272" customWidth="1"/>
    <col min="9191" max="9191" width="31.25" style="272" customWidth="1"/>
    <col min="9192" max="9192" width="9" style="272"/>
    <col min="9193" max="9194" width="9.25" style="272" customWidth="1"/>
    <col min="9195" max="9444" width="9" style="272"/>
    <col min="9445" max="9445" width="6.375" style="272" customWidth="1"/>
    <col min="9446" max="9446" width="18.5" style="272" customWidth="1"/>
    <col min="9447" max="9447" width="31.25" style="272" customWidth="1"/>
    <col min="9448" max="9448" width="9" style="272"/>
    <col min="9449" max="9450" width="9.25" style="272" customWidth="1"/>
    <col min="9451" max="9700" width="9" style="272"/>
    <col min="9701" max="9701" width="6.375" style="272" customWidth="1"/>
    <col min="9702" max="9702" width="18.5" style="272" customWidth="1"/>
    <col min="9703" max="9703" width="31.25" style="272" customWidth="1"/>
    <col min="9704" max="9704" width="9" style="272"/>
    <col min="9705" max="9706" width="9.25" style="272" customWidth="1"/>
    <col min="9707" max="9956" width="9" style="272"/>
    <col min="9957" max="9957" width="6.375" style="272" customWidth="1"/>
    <col min="9958" max="9958" width="18.5" style="272" customWidth="1"/>
    <col min="9959" max="9959" width="31.25" style="272" customWidth="1"/>
    <col min="9960" max="9960" width="9" style="272"/>
    <col min="9961" max="9962" width="9.25" style="272" customWidth="1"/>
    <col min="9963" max="10212" width="9" style="272"/>
    <col min="10213" max="10213" width="6.375" style="272" customWidth="1"/>
    <col min="10214" max="10214" width="18.5" style="272" customWidth="1"/>
    <col min="10215" max="10215" width="31.25" style="272" customWidth="1"/>
    <col min="10216" max="10216" width="9" style="272"/>
    <col min="10217" max="10218" width="9.25" style="272" customWidth="1"/>
    <col min="10219" max="10468" width="9" style="272"/>
    <col min="10469" max="10469" width="6.375" style="272" customWidth="1"/>
    <col min="10470" max="10470" width="18.5" style="272" customWidth="1"/>
    <col min="10471" max="10471" width="31.25" style="272" customWidth="1"/>
    <col min="10472" max="10472" width="9" style="272"/>
    <col min="10473" max="10474" width="9.25" style="272" customWidth="1"/>
    <col min="10475" max="10724" width="9" style="272"/>
    <col min="10725" max="10725" width="6.375" style="272" customWidth="1"/>
    <col min="10726" max="10726" width="18.5" style="272" customWidth="1"/>
    <col min="10727" max="10727" width="31.25" style="272" customWidth="1"/>
    <col min="10728" max="10728" width="9" style="272"/>
    <col min="10729" max="10730" width="9.25" style="272" customWidth="1"/>
    <col min="10731" max="10980" width="9" style="272"/>
    <col min="10981" max="10981" width="6.375" style="272" customWidth="1"/>
    <col min="10982" max="10982" width="18.5" style="272" customWidth="1"/>
    <col min="10983" max="10983" width="31.25" style="272" customWidth="1"/>
    <col min="10984" max="10984" width="9" style="272"/>
    <col min="10985" max="10986" width="9.25" style="272" customWidth="1"/>
    <col min="10987" max="11236" width="9" style="272"/>
    <col min="11237" max="11237" width="6.375" style="272" customWidth="1"/>
    <col min="11238" max="11238" width="18.5" style="272" customWidth="1"/>
    <col min="11239" max="11239" width="31.25" style="272" customWidth="1"/>
    <col min="11240" max="11240" width="9" style="272"/>
    <col min="11241" max="11242" width="9.25" style="272" customWidth="1"/>
    <col min="11243" max="11492" width="9" style="272"/>
    <col min="11493" max="11493" width="6.375" style="272" customWidth="1"/>
    <col min="11494" max="11494" width="18.5" style="272" customWidth="1"/>
    <col min="11495" max="11495" width="31.25" style="272" customWidth="1"/>
    <col min="11496" max="11496" width="9" style="272"/>
    <col min="11497" max="11498" width="9.25" style="272" customWidth="1"/>
    <col min="11499" max="11748" width="9" style="272"/>
    <col min="11749" max="11749" width="6.375" style="272" customWidth="1"/>
    <col min="11750" max="11750" width="18.5" style="272" customWidth="1"/>
    <col min="11751" max="11751" width="31.25" style="272" customWidth="1"/>
    <col min="11752" max="11752" width="9" style="272"/>
    <col min="11753" max="11754" width="9.25" style="272" customWidth="1"/>
    <col min="11755" max="12004" width="9" style="272"/>
    <col min="12005" max="12005" width="6.375" style="272" customWidth="1"/>
    <col min="12006" max="12006" width="18.5" style="272" customWidth="1"/>
    <col min="12007" max="12007" width="31.25" style="272" customWidth="1"/>
    <col min="12008" max="12008" width="9" style="272"/>
    <col min="12009" max="12010" width="9.25" style="272" customWidth="1"/>
    <col min="12011" max="12260" width="9" style="272"/>
    <col min="12261" max="12261" width="6.375" style="272" customWidth="1"/>
    <col min="12262" max="12262" width="18.5" style="272" customWidth="1"/>
    <col min="12263" max="12263" width="31.25" style="272" customWidth="1"/>
    <col min="12264" max="12264" width="9" style="272"/>
    <col min="12265" max="12266" width="9.25" style="272" customWidth="1"/>
    <col min="12267" max="12516" width="9" style="272"/>
    <col min="12517" max="12517" width="6.375" style="272" customWidth="1"/>
    <col min="12518" max="12518" width="18.5" style="272" customWidth="1"/>
    <col min="12519" max="12519" width="31.25" style="272" customWidth="1"/>
    <col min="12520" max="12520" width="9" style="272"/>
    <col min="12521" max="12522" width="9.25" style="272" customWidth="1"/>
    <col min="12523" max="12772" width="9" style="272"/>
    <col min="12773" max="12773" width="6.375" style="272" customWidth="1"/>
    <col min="12774" max="12774" width="18.5" style="272" customWidth="1"/>
    <col min="12775" max="12775" width="31.25" style="272" customWidth="1"/>
    <col min="12776" max="12776" width="9" style="272"/>
    <col min="12777" max="12778" width="9.25" style="272" customWidth="1"/>
    <col min="12779" max="13028" width="9" style="272"/>
    <col min="13029" max="13029" width="6.375" style="272" customWidth="1"/>
    <col min="13030" max="13030" width="18.5" style="272" customWidth="1"/>
    <col min="13031" max="13031" width="31.25" style="272" customWidth="1"/>
    <col min="13032" max="13032" width="9" style="272"/>
    <col min="13033" max="13034" width="9.25" style="272" customWidth="1"/>
    <col min="13035" max="13284" width="9" style="272"/>
    <col min="13285" max="13285" width="6.375" style="272" customWidth="1"/>
    <col min="13286" max="13286" width="18.5" style="272" customWidth="1"/>
    <col min="13287" max="13287" width="31.25" style="272" customWidth="1"/>
    <col min="13288" max="13288" width="9" style="272"/>
    <col min="13289" max="13290" width="9.25" style="272" customWidth="1"/>
    <col min="13291" max="13540" width="9" style="272"/>
    <col min="13541" max="13541" width="6.375" style="272" customWidth="1"/>
    <col min="13542" max="13542" width="18.5" style="272" customWidth="1"/>
    <col min="13543" max="13543" width="31.25" style="272" customWidth="1"/>
    <col min="13544" max="13544" width="9" style="272"/>
    <col min="13545" max="13546" width="9.25" style="272" customWidth="1"/>
    <col min="13547" max="13796" width="9" style="272"/>
    <col min="13797" max="13797" width="6.375" style="272" customWidth="1"/>
    <col min="13798" max="13798" width="18.5" style="272" customWidth="1"/>
    <col min="13799" max="13799" width="31.25" style="272" customWidth="1"/>
    <col min="13800" max="13800" width="9" style="272"/>
    <col min="13801" max="13802" width="9.25" style="272" customWidth="1"/>
    <col min="13803" max="14052" width="9" style="272"/>
    <col min="14053" max="14053" width="6.375" style="272" customWidth="1"/>
    <col min="14054" max="14054" width="18.5" style="272" customWidth="1"/>
    <col min="14055" max="14055" width="31.25" style="272" customWidth="1"/>
    <col min="14056" max="14056" width="9" style="272"/>
    <col min="14057" max="14058" width="9.25" style="272" customWidth="1"/>
    <col min="14059" max="14308" width="9" style="272"/>
    <col min="14309" max="14309" width="6.375" style="272" customWidth="1"/>
    <col min="14310" max="14310" width="18.5" style="272" customWidth="1"/>
    <col min="14311" max="14311" width="31.25" style="272" customWidth="1"/>
    <col min="14312" max="14312" width="9" style="272"/>
    <col min="14313" max="14314" width="9.25" style="272" customWidth="1"/>
    <col min="14315" max="16384" width="9" style="272"/>
  </cols>
  <sheetData>
    <row r="1" spans="1:16" s="246" customFormat="1" ht="30" customHeight="1" thickBot="1">
      <c r="A1" s="245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s="246" customFormat="1" ht="12">
      <c r="A2" s="247" t="s">
        <v>3248</v>
      </c>
      <c r="B2" s="669" t="s">
        <v>3249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  <c r="O2" s="669"/>
      <c r="P2" s="670"/>
    </row>
    <row r="3" spans="1:16" s="246" customFormat="1" ht="12">
      <c r="A3" s="309" t="s">
        <v>1391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  <c r="N3" s="548"/>
      <c r="O3" s="548"/>
      <c r="P3" s="549"/>
    </row>
    <row r="4" spans="1:16" s="246" customFormat="1" ht="12">
      <c r="A4" s="309" t="s">
        <v>1392</v>
      </c>
      <c r="B4" s="550" t="s">
        <v>1511</v>
      </c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2"/>
    </row>
    <row r="5" spans="1:16" s="249" customFormat="1" ht="16.5" customHeight="1">
      <c r="A5" s="553" t="s">
        <v>2248</v>
      </c>
      <c r="B5" s="554" t="s">
        <v>3250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6"/>
    </row>
    <row r="6" spans="1:16" s="249" customFormat="1" ht="16.5" customHeight="1">
      <c r="A6" s="553"/>
      <c r="B6" s="555"/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5"/>
      <c r="P6" s="556"/>
    </row>
    <row r="7" spans="1:16" s="249" customFormat="1" ht="16.5" customHeight="1">
      <c r="A7" s="553"/>
      <c r="B7" s="555"/>
      <c r="C7" s="555"/>
      <c r="D7" s="555"/>
      <c r="E7" s="555"/>
      <c r="F7" s="555"/>
      <c r="G7" s="555"/>
      <c r="H7" s="555"/>
      <c r="I7" s="555"/>
      <c r="J7" s="555"/>
      <c r="K7" s="555"/>
      <c r="L7" s="555"/>
      <c r="M7" s="555"/>
      <c r="N7" s="555"/>
      <c r="O7" s="555"/>
      <c r="P7" s="556"/>
    </row>
    <row r="8" spans="1:16" s="249" customFormat="1" ht="16.5" customHeight="1">
      <c r="A8" s="553"/>
      <c r="B8" s="555"/>
      <c r="C8" s="555"/>
      <c r="D8" s="555"/>
      <c r="E8" s="555"/>
      <c r="F8" s="555"/>
      <c r="G8" s="555"/>
      <c r="H8" s="555"/>
      <c r="I8" s="555"/>
      <c r="J8" s="555"/>
      <c r="K8" s="555"/>
      <c r="L8" s="555"/>
      <c r="M8" s="555"/>
      <c r="N8" s="555"/>
      <c r="O8" s="555"/>
      <c r="P8" s="556"/>
    </row>
    <row r="9" spans="1:16" s="249" customFormat="1" ht="16.5" customHeight="1">
      <c r="A9" s="309" t="s">
        <v>1396</v>
      </c>
      <c r="B9" s="559"/>
      <c r="C9" s="559"/>
      <c r="D9" s="559"/>
      <c r="E9" s="559"/>
      <c r="F9" s="559"/>
      <c r="G9" s="559"/>
      <c r="H9" s="559"/>
      <c r="I9" s="250" t="s">
        <v>1397</v>
      </c>
      <c r="J9" s="559" t="s">
        <v>3251</v>
      </c>
      <c r="K9" s="559"/>
      <c r="L9" s="559"/>
      <c r="M9" s="559"/>
      <c r="N9" s="559"/>
      <c r="O9" s="559"/>
      <c r="P9" s="561"/>
    </row>
    <row r="10" spans="1:16" s="249" customFormat="1" ht="16.5" customHeight="1">
      <c r="A10" s="309" t="s">
        <v>2252</v>
      </c>
      <c r="B10" s="559"/>
      <c r="C10" s="559"/>
      <c r="D10" s="559"/>
      <c r="E10" s="559"/>
      <c r="F10" s="559"/>
      <c r="G10" s="559"/>
      <c r="H10" s="559"/>
      <c r="I10" s="250" t="s">
        <v>1400</v>
      </c>
      <c r="J10" s="560"/>
      <c r="K10" s="559"/>
      <c r="L10" s="559"/>
      <c r="M10" s="559"/>
      <c r="N10" s="559"/>
      <c r="O10" s="559"/>
      <c r="P10" s="561"/>
    </row>
    <row r="11" spans="1:16" s="249" customFormat="1" ht="16.5" customHeight="1">
      <c r="A11" s="562" t="s">
        <v>3176</v>
      </c>
      <c r="B11" s="563"/>
      <c r="C11" s="563"/>
      <c r="D11" s="563"/>
      <c r="E11" s="563"/>
      <c r="F11" s="563"/>
      <c r="G11" s="563"/>
      <c r="H11" s="563"/>
      <c r="I11" s="564" t="s">
        <v>3252</v>
      </c>
      <c r="J11" s="564"/>
      <c r="K11" s="564"/>
      <c r="L11" s="564"/>
      <c r="M11" s="564"/>
      <c r="N11" s="564"/>
      <c r="O11" s="564"/>
      <c r="P11" s="565"/>
    </row>
    <row r="12" spans="1:16" s="249" customFormat="1" ht="25.5" customHeight="1">
      <c r="A12" s="309" t="s">
        <v>1403</v>
      </c>
      <c r="B12" s="566" t="s">
        <v>7</v>
      </c>
      <c r="C12" s="566"/>
      <c r="D12" s="566"/>
      <c r="E12" s="566"/>
      <c r="F12" s="566"/>
      <c r="G12" s="566"/>
      <c r="H12" s="566"/>
      <c r="I12" s="250" t="s">
        <v>1403</v>
      </c>
      <c r="J12" s="566" t="s">
        <v>149</v>
      </c>
      <c r="K12" s="566"/>
      <c r="L12" s="566"/>
      <c r="M12" s="566"/>
      <c r="N12" s="566"/>
      <c r="O12" s="566"/>
      <c r="P12" s="567"/>
    </row>
    <row r="13" spans="1:16" s="246" customFormat="1" ht="12">
      <c r="A13" s="562" t="s">
        <v>1408</v>
      </c>
      <c r="B13" s="563"/>
      <c r="C13" s="563"/>
      <c r="D13" s="563"/>
      <c r="E13" s="563"/>
      <c r="F13" s="563"/>
      <c r="G13" s="563"/>
      <c r="H13" s="563"/>
      <c r="I13" s="564" t="s">
        <v>1831</v>
      </c>
      <c r="J13" s="564"/>
      <c r="K13" s="564"/>
      <c r="L13" s="564"/>
      <c r="M13" s="564"/>
      <c r="N13" s="564"/>
      <c r="O13" s="564"/>
      <c r="P13" s="565"/>
    </row>
    <row r="14" spans="1:16" s="246" customFormat="1" ht="24">
      <c r="A14" s="251" t="s">
        <v>3253</v>
      </c>
      <c r="B14" s="252" t="s">
        <v>1006</v>
      </c>
      <c r="C14" s="252" t="s">
        <v>43</v>
      </c>
      <c r="D14" s="253" t="s">
        <v>3087</v>
      </c>
      <c r="E14" s="252" t="s">
        <v>52</v>
      </c>
      <c r="F14" s="252" t="s">
        <v>1413</v>
      </c>
      <c r="G14" s="252" t="s">
        <v>1414</v>
      </c>
      <c r="H14" s="252" t="s">
        <v>72</v>
      </c>
      <c r="I14" s="252" t="s">
        <v>1525</v>
      </c>
      <c r="J14" s="252" t="s">
        <v>1006</v>
      </c>
      <c r="K14" s="252" t="s">
        <v>43</v>
      </c>
      <c r="L14" s="253" t="s">
        <v>1412</v>
      </c>
      <c r="M14" s="253" t="s">
        <v>52</v>
      </c>
      <c r="N14" s="252" t="s">
        <v>3254</v>
      </c>
      <c r="O14" s="252" t="s">
        <v>1394</v>
      </c>
      <c r="P14" s="254" t="s">
        <v>3255</v>
      </c>
    </row>
    <row r="15" spans="1:16">
      <c r="A15" s="274" t="s">
        <v>3256</v>
      </c>
      <c r="B15" s="283" t="s">
        <v>2858</v>
      </c>
      <c r="C15" s="283" t="s">
        <v>1883</v>
      </c>
      <c r="D15" s="299" t="s">
        <v>1601</v>
      </c>
      <c r="E15" s="299" t="s">
        <v>515</v>
      </c>
      <c r="F15" s="276">
        <v>1000</v>
      </c>
      <c r="G15" s="283" t="s">
        <v>1448</v>
      </c>
      <c r="H15" s="275"/>
      <c r="I15" s="275"/>
      <c r="J15" s="275"/>
      <c r="K15" s="275"/>
      <c r="L15" s="276"/>
      <c r="M15" s="276"/>
      <c r="N15" s="276"/>
      <c r="O15" s="275"/>
      <c r="P15" s="277"/>
    </row>
    <row r="16" spans="1:16">
      <c r="A16" s="274" t="s">
        <v>3256</v>
      </c>
      <c r="B16" s="283" t="s">
        <v>2279</v>
      </c>
      <c r="C16" s="283" t="s">
        <v>1883</v>
      </c>
      <c r="D16" s="299" t="s">
        <v>1601</v>
      </c>
      <c r="E16" s="299" t="s">
        <v>515</v>
      </c>
      <c r="F16" s="276">
        <v>1000</v>
      </c>
      <c r="G16" s="283" t="s">
        <v>2681</v>
      </c>
      <c r="H16" s="275"/>
      <c r="I16" s="275"/>
      <c r="J16" s="275"/>
      <c r="K16" s="275"/>
      <c r="L16" s="276"/>
      <c r="M16" s="276"/>
      <c r="N16" s="276"/>
      <c r="O16" s="275"/>
      <c r="P16" s="277"/>
    </row>
    <row r="17" spans="1:16">
      <c r="A17" s="274" t="s">
        <v>3256</v>
      </c>
      <c r="B17" s="283" t="s">
        <v>1451</v>
      </c>
      <c r="C17" s="283" t="s">
        <v>1883</v>
      </c>
      <c r="D17" s="299" t="s">
        <v>3257</v>
      </c>
      <c r="E17" s="299" t="s">
        <v>515</v>
      </c>
      <c r="F17" s="279">
        <v>1000</v>
      </c>
      <c r="G17" s="283" t="s">
        <v>1452</v>
      </c>
      <c r="H17" s="275"/>
      <c r="I17" s="275"/>
      <c r="J17" s="275"/>
      <c r="K17" s="275"/>
      <c r="L17" s="276"/>
      <c r="M17" s="276"/>
      <c r="N17" s="276"/>
      <c r="O17" s="275"/>
      <c r="P17" s="277"/>
    </row>
    <row r="18" spans="1:16">
      <c r="A18" s="274" t="s">
        <v>3256</v>
      </c>
      <c r="B18" s="283" t="s">
        <v>3258</v>
      </c>
      <c r="C18" s="283" t="s">
        <v>1883</v>
      </c>
      <c r="D18" s="299" t="s">
        <v>1601</v>
      </c>
      <c r="E18" s="299" t="s">
        <v>515</v>
      </c>
      <c r="F18" s="279"/>
      <c r="G18" s="283" t="s">
        <v>2303</v>
      </c>
      <c r="H18" s="275" t="s">
        <v>3259</v>
      </c>
      <c r="I18" s="275"/>
      <c r="J18" s="275"/>
      <c r="K18" s="275"/>
      <c r="L18" s="276"/>
      <c r="M18" s="276"/>
      <c r="N18" s="276"/>
      <c r="O18" s="275"/>
      <c r="P18" s="277"/>
    </row>
    <row r="19" spans="1:16">
      <c r="A19" s="274" t="s">
        <v>3260</v>
      </c>
      <c r="B19" s="283" t="s">
        <v>3261</v>
      </c>
      <c r="C19" s="283" t="s">
        <v>1883</v>
      </c>
      <c r="D19" s="299"/>
      <c r="E19" s="299" t="s">
        <v>515</v>
      </c>
      <c r="F19" s="276"/>
      <c r="G19" s="283" t="s">
        <v>3262</v>
      </c>
      <c r="H19" s="284" t="s">
        <v>3263</v>
      </c>
      <c r="I19" s="275"/>
      <c r="J19" s="275"/>
      <c r="K19" s="275"/>
      <c r="L19" s="276"/>
      <c r="M19" s="276"/>
      <c r="N19" s="276"/>
      <c r="O19" s="275"/>
      <c r="P19" s="277"/>
    </row>
    <row r="20" spans="1:16">
      <c r="A20" s="274" t="s">
        <v>3264</v>
      </c>
      <c r="B20" s="283" t="s">
        <v>1632</v>
      </c>
      <c r="C20" s="283" t="s">
        <v>3265</v>
      </c>
      <c r="D20" s="283"/>
      <c r="E20" s="283"/>
      <c r="F20" s="276"/>
      <c r="G20" s="283" t="s">
        <v>2957</v>
      </c>
      <c r="H20" s="374"/>
      <c r="I20" s="275"/>
      <c r="J20" s="275"/>
      <c r="K20" s="275"/>
      <c r="L20" s="276"/>
      <c r="M20" s="276"/>
      <c r="N20" s="276"/>
      <c r="O20" s="275"/>
      <c r="P20" s="277"/>
    </row>
    <row r="21" spans="1:16">
      <c r="A21" s="274" t="s">
        <v>3266</v>
      </c>
      <c r="B21" s="283" t="s">
        <v>1634</v>
      </c>
      <c r="C21" s="283" t="s">
        <v>3267</v>
      </c>
      <c r="D21" s="283"/>
      <c r="E21" s="283"/>
      <c r="F21" s="276"/>
      <c r="G21" s="283" t="s">
        <v>3268</v>
      </c>
      <c r="H21" s="284"/>
      <c r="I21" s="275"/>
      <c r="J21" s="275"/>
      <c r="K21" s="275"/>
      <c r="L21" s="276"/>
      <c r="M21" s="276"/>
      <c r="N21" s="276"/>
      <c r="O21" s="275"/>
      <c r="P21" s="277"/>
    </row>
    <row r="22" spans="1:16">
      <c r="A22" s="274" t="s">
        <v>3256</v>
      </c>
      <c r="B22" s="283" t="s">
        <v>1636</v>
      </c>
      <c r="C22" s="283" t="s">
        <v>1637</v>
      </c>
      <c r="D22" s="283"/>
      <c r="E22" s="283"/>
      <c r="F22" s="276"/>
      <c r="G22" s="283" t="s">
        <v>3269</v>
      </c>
      <c r="H22" s="284"/>
      <c r="I22" s="275"/>
      <c r="J22" s="275"/>
      <c r="K22" s="275"/>
      <c r="L22" s="276"/>
      <c r="M22" s="276"/>
      <c r="N22" s="276"/>
      <c r="O22" s="275"/>
      <c r="P22" s="277"/>
    </row>
    <row r="23" spans="1:16">
      <c r="A23" s="274" t="s">
        <v>3256</v>
      </c>
      <c r="B23" s="283" t="s">
        <v>1639</v>
      </c>
      <c r="C23" s="283" t="s">
        <v>3267</v>
      </c>
      <c r="D23" s="283"/>
      <c r="E23" s="283"/>
      <c r="F23" s="276"/>
      <c r="G23" s="283" t="s">
        <v>3270</v>
      </c>
      <c r="H23" s="275"/>
      <c r="I23" s="275"/>
      <c r="J23" s="275"/>
      <c r="K23" s="275"/>
      <c r="L23" s="276"/>
      <c r="M23" s="276"/>
      <c r="N23" s="276"/>
      <c r="O23" s="275"/>
      <c r="P23" s="277"/>
    </row>
    <row r="24" spans="1:16">
      <c r="A24" s="274"/>
      <c r="B24" s="283"/>
      <c r="C24" s="283"/>
      <c r="D24" s="283"/>
      <c r="E24" s="283"/>
      <c r="F24" s="276"/>
      <c r="G24" s="283"/>
      <c r="H24" s="275"/>
      <c r="I24" s="275"/>
      <c r="J24" s="275"/>
      <c r="K24" s="275"/>
      <c r="L24" s="276"/>
      <c r="M24" s="276"/>
      <c r="N24" s="276"/>
      <c r="O24" s="275"/>
      <c r="P24" s="277"/>
    </row>
    <row r="25" spans="1:16">
      <c r="A25" s="364"/>
      <c r="B25" s="311"/>
      <c r="C25" s="311"/>
      <c r="D25" s="308"/>
      <c r="E25" s="308"/>
      <c r="F25" s="308"/>
      <c r="G25" s="311"/>
      <c r="H25" s="338"/>
      <c r="I25" s="338"/>
      <c r="J25" s="338"/>
      <c r="K25" s="338"/>
      <c r="L25" s="308"/>
      <c r="M25" s="308"/>
      <c r="N25" s="308"/>
      <c r="O25" s="338"/>
      <c r="P25" s="362"/>
    </row>
    <row r="26" spans="1:16">
      <c r="A26" s="365"/>
      <c r="B26" s="137"/>
      <c r="C26" s="275"/>
      <c r="D26" s="276"/>
      <c r="E26" s="276"/>
      <c r="F26" s="276"/>
      <c r="G26" s="137"/>
      <c r="H26" s="366"/>
      <c r="I26" s="366"/>
      <c r="J26" s="366"/>
      <c r="K26" s="366"/>
      <c r="L26" s="367"/>
      <c r="M26" s="367"/>
      <c r="N26" s="367"/>
      <c r="O26" s="366"/>
      <c r="P26" s="368"/>
    </row>
    <row r="27" spans="1:16">
      <c r="A27" s="365"/>
      <c r="B27" s="137"/>
      <c r="C27" s="275"/>
      <c r="D27" s="276"/>
      <c r="E27" s="276"/>
      <c r="F27" s="276"/>
      <c r="G27" s="137"/>
      <c r="H27" s="366"/>
      <c r="I27" s="366"/>
      <c r="J27" s="366"/>
      <c r="K27" s="366"/>
      <c r="L27" s="367"/>
      <c r="M27" s="367"/>
      <c r="N27" s="367"/>
      <c r="O27" s="366"/>
      <c r="P27" s="368"/>
    </row>
    <row r="28" spans="1:16" ht="17.25" thickBot="1">
      <c r="A28" s="289" t="s">
        <v>1726</v>
      </c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8"/>
    </row>
    <row r="29" spans="1:16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</row>
    <row r="30" spans="1:16">
      <c r="H30" s="375" t="s">
        <v>3271</v>
      </c>
    </row>
    <row r="31" spans="1:16">
      <c r="H31" t="s">
        <v>3272</v>
      </c>
    </row>
  </sheetData>
  <mergeCells count="17">
    <mergeCell ref="B2:P2"/>
    <mergeCell ref="B3:P3"/>
    <mergeCell ref="B4:P4"/>
    <mergeCell ref="A5:A8"/>
    <mergeCell ref="B5:P8"/>
    <mergeCell ref="B28:P28"/>
    <mergeCell ref="B10:H10"/>
    <mergeCell ref="J10:P10"/>
    <mergeCell ref="A11:H11"/>
    <mergeCell ref="I11:P11"/>
    <mergeCell ref="B12:H12"/>
    <mergeCell ref="J12:P12"/>
    <mergeCell ref="B9:C9"/>
    <mergeCell ref="D9:H9"/>
    <mergeCell ref="J9:P9"/>
    <mergeCell ref="A13:H13"/>
    <mergeCell ref="I13:P13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0881" r:id="rId4" name="Check Box 1">
              <controlPr defaultSize="0" autoFill="0" autoLine="0" autoPict="0">
                <anchor moveWithCells="1" sizeWithCells="1">
                  <from>
                    <xdr:col>1</xdr:col>
                    <xdr:colOff>342900</xdr:colOff>
                    <xdr:row>8</xdr:row>
                    <xdr:rowOff>0</xdr:rowOff>
                  </from>
                  <to>
                    <xdr:col>2</xdr:col>
                    <xdr:colOff>333375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2" r:id="rId5" name="Check Box 2">
              <controlPr defaultSize="0" autoFill="0" autoLine="0" autoPict="0">
                <anchor moveWithCells="1" sizeWithCells="1">
                  <from>
                    <xdr:col>2</xdr:col>
                    <xdr:colOff>228600</xdr:colOff>
                    <xdr:row>8</xdr:row>
                    <xdr:rowOff>0</xdr:rowOff>
                  </from>
                  <to>
                    <xdr:col>2</xdr:col>
                    <xdr:colOff>1162050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3" r:id="rId6" name="Check Box 3">
              <controlPr defaultSize="0" autoFill="0" autoLine="0" autoPict="0">
                <anchor moveWithCells="1" sizeWithCells="1">
                  <from>
                    <xdr:col>3</xdr:col>
                    <xdr:colOff>228600</xdr:colOff>
                    <xdr:row>8</xdr:row>
                    <xdr:rowOff>0</xdr:rowOff>
                  </from>
                  <to>
                    <xdr:col>6</xdr:col>
                    <xdr:colOff>66675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4" r:id="rId7" name="Check Box 4">
              <controlPr defaultSize="0" autoFill="0" autoLine="0" autoPict="0">
                <anchor moveWithCells="1" sizeWithCells="1">
                  <from>
                    <xdr:col>6</xdr:col>
                    <xdr:colOff>66675</xdr:colOff>
                    <xdr:row>8</xdr:row>
                    <xdr:rowOff>0</xdr:rowOff>
                  </from>
                  <to>
                    <xdr:col>6</xdr:col>
                    <xdr:colOff>904875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5" r:id="rId8" name="Check Box 5">
              <controlPr defaultSize="0" autoFill="0" autoLine="0" autoPict="0">
                <anchor moveWithCells="1" sizeWithCells="1">
                  <from>
                    <xdr:col>6</xdr:col>
                    <xdr:colOff>990600</xdr:colOff>
                    <xdr:row>8</xdr:row>
                    <xdr:rowOff>0</xdr:rowOff>
                  </from>
                  <to>
                    <xdr:col>7</xdr:col>
                    <xdr:colOff>238125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0886" r:id="rId9" name="Check Box 6">
              <controlPr defaultSize="0" autoFill="0" autoLine="0" autoPict="0">
                <anchor moveWithCells="1" sizeWithCells="1">
                  <from>
                    <xdr:col>7</xdr:col>
                    <xdr:colOff>552450</xdr:colOff>
                    <xdr:row>8</xdr:row>
                    <xdr:rowOff>0</xdr:rowOff>
                  </from>
                  <to>
                    <xdr:col>7</xdr:col>
                    <xdr:colOff>1390650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38</vt:i4>
      </vt:variant>
      <vt:variant>
        <vt:lpstr>이름이 지정된 범위</vt:lpstr>
      </vt:variant>
      <vt:variant>
        <vt:i4>19</vt:i4>
      </vt:variant>
    </vt:vector>
  </HeadingPairs>
  <TitlesOfParts>
    <vt:vector size="57" baseType="lpstr">
      <vt:lpstr>표지</vt:lpstr>
      <vt:lpstr>개정이력</vt:lpstr>
      <vt:lpstr>센터정보</vt:lpstr>
      <vt:lpstr>ERP_인터페이스목록</vt:lpstr>
      <vt:lpstr>공통_API_KEY 발행</vt:lpstr>
      <vt:lpstr>기준_품목 등록_bak</vt:lpstr>
      <vt:lpstr>기준_품목_등록</vt:lpstr>
      <vt:lpstr>기준_거래처 등록_bak</vt:lpstr>
      <vt:lpstr>기준_거래처_등록</vt:lpstr>
      <vt:lpstr>기준_사번체크</vt:lpstr>
      <vt:lpstr>기준_사번체크_bak</vt:lpstr>
      <vt:lpstr>입고_입고예정_등록</vt:lpstr>
      <vt:lpstr>입고_예외입고_등록</vt:lpstr>
      <vt:lpstr>입고_마감</vt:lpstr>
      <vt:lpstr>반품_반품예정 등록</vt:lpstr>
      <vt:lpstr>반품_반품마감_ERP</vt:lpstr>
      <vt:lpstr>반품_반품마감_OMS</vt:lpstr>
      <vt:lpstr>예외출고_등록</vt:lpstr>
      <vt:lpstr>예외출고_마감</vt:lpstr>
      <vt:lpstr>출하_출하예정 등록(판매출하)</vt:lpstr>
      <vt:lpstr>출하_출하예정 등록(마감후출하)</vt:lpstr>
      <vt:lpstr>출하_출하예정 등록(삭제오더)</vt:lpstr>
      <vt:lpstr>출하_출하예정 취소(판매출하)</vt:lpstr>
      <vt:lpstr>출하_출하예정 취소(마감후출하)</vt:lpstr>
      <vt:lpstr>출하_출하예정 취소(삭제오더)</vt:lpstr>
      <vt:lpstr>출하_출하상태변경</vt:lpstr>
      <vt:lpstr>출하_마감후출하 승인결과</vt:lpstr>
      <vt:lpstr>출하_미출처리 처리결과</vt:lpstr>
      <vt:lpstr>출하_삭제오더 처리결과</vt:lpstr>
      <vt:lpstr>출하_주문 품목단가수정</vt:lpstr>
      <vt:lpstr>출하_T_배차요청</vt:lpstr>
      <vt:lpstr>출하_T_배차요청 수정</vt:lpstr>
      <vt:lpstr>출하_T_배차 및 상하차 결과</vt:lpstr>
      <vt:lpstr>출하_T_공통 데이터 모델</vt:lpstr>
      <vt:lpstr>출하_마감</vt:lpstr>
      <vt:lpstr>공통 코드</vt:lpstr>
      <vt:lpstr>품목군</vt:lpstr>
      <vt:lpstr>창고정보</vt:lpstr>
      <vt:lpstr>개정이력!Print_Area</vt:lpstr>
      <vt:lpstr>'공통_API_KEY 발행'!Print_Area</vt:lpstr>
      <vt:lpstr>'기준_거래처 등록_bak'!Print_Area</vt:lpstr>
      <vt:lpstr>기준_사번체크_bak!Print_Area</vt:lpstr>
      <vt:lpstr>'기준_품목 등록_bak'!Print_Area</vt:lpstr>
      <vt:lpstr>반품_반품마감_OMS!Print_Area</vt:lpstr>
      <vt:lpstr>'반품_반품예정 등록'!Print_Area</vt:lpstr>
      <vt:lpstr>'출하_마감후출하 승인결과'!Print_Area</vt:lpstr>
      <vt:lpstr>'출하_미출처리 처리결과'!Print_Area</vt:lpstr>
      <vt:lpstr>'출하_삭제오더 처리결과'!Print_Area</vt:lpstr>
      <vt:lpstr>'출하_주문 품목단가수정'!Print_Area</vt:lpstr>
      <vt:lpstr>출하_출하상태변경!Print_Area</vt:lpstr>
      <vt:lpstr>'출하_출하예정 등록(마감후출하)'!Print_Area</vt:lpstr>
      <vt:lpstr>'출하_출하예정 등록(삭제오더)'!Print_Area</vt:lpstr>
      <vt:lpstr>'출하_출하예정 등록(판매출하)'!Print_Area</vt:lpstr>
      <vt:lpstr>'출하_출하예정 취소(마감후출하)'!Print_Area</vt:lpstr>
      <vt:lpstr>'출하_출하예정 취소(삭제오더)'!Print_Area</vt:lpstr>
      <vt:lpstr>'출하_출하예정 취소(판매출하)'!Print_Area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신현규</dc:creator>
  <cp:lastModifiedBy>신현규</cp:lastModifiedBy>
  <cp:lastPrinted>2023-07-03T05:13:51Z</cp:lastPrinted>
  <dcterms:created xsi:type="dcterms:W3CDTF">2022-04-05T05:17:31Z</dcterms:created>
  <dcterms:modified xsi:type="dcterms:W3CDTF">2025-12-30T05:03:53Z</dcterms:modified>
</cp:coreProperties>
</file>