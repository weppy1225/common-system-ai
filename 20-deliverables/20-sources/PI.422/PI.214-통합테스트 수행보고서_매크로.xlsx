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IN-USER\Desktop\2405 매크로통상\04 구현(PI)\"/>
    </mc:Choice>
  </mc:AlternateContent>
  <bookViews>
    <workbookView xWindow="0" yWindow="0" windowWidth="28800" windowHeight="12390" tabRatio="579" activeTab="2"/>
  </bookViews>
  <sheets>
    <sheet name="표지" sheetId="10" r:id="rId1"/>
    <sheet name="개정이력" sheetId="8" r:id="rId2"/>
    <sheet name="통합테스트 수행보고서" sheetId="20" r:id="rId3"/>
    <sheet name="통합테스트 수정 및 요청사항" sheetId="19" r:id="rId4"/>
    <sheet name="통합테스트 일정" sheetId="14" r:id="rId5"/>
    <sheet name="입고" sheetId="15" r:id="rId6"/>
    <sheet name="출고" sheetId="16" r:id="rId7"/>
    <sheet name="재고" sheetId="17" r:id="rId8"/>
    <sheet name="메뉴그룹" sheetId="13" r:id="rId9"/>
  </sheets>
  <definedNames>
    <definedName name="_xlnm._FilterDatabase" localSheetId="3" hidden="1">'통합테스트 수정 및 요청사항'!$A$2:$K$192</definedName>
    <definedName name="_xlnm._FilterDatabase" localSheetId="2" hidden="1">'통합테스트 수행보고서'!$A$2:$L$240</definedName>
    <definedName name="_xlnm.Print_Area" localSheetId="5">입고!$B:$F</definedName>
    <definedName name="_xlnm.Print_Area" localSheetId="7">재고!$B:$F</definedName>
    <definedName name="_xlnm.Print_Area" localSheetId="6">출고!$B:$F</definedName>
    <definedName name="_xlnm.Print_Area" localSheetId="0">표지!$A$1:$M$24</definedName>
    <definedName name="_xlnm.Print_Titles" localSheetId="5">입고!$1:$2</definedName>
    <definedName name="_xlnm.Print_Titles" localSheetId="7">재고!$1:$2</definedName>
    <definedName name="_xlnm.Print_Titles" localSheetId="6">출고!$1:$2</definedName>
    <definedName name="Z_EE1A10A4_E858_4149_B578_C60E13242F26_.wvu.FilterData" localSheetId="3" hidden="1">'통합테스트 수정 및 요청사항'!$A$2:$K$192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40" i="20" l="1"/>
  <c r="K240" i="20"/>
  <c r="J240" i="20"/>
  <c r="I240" i="20"/>
  <c r="H240" i="20"/>
  <c r="G240" i="20"/>
  <c r="D240" i="20"/>
  <c r="I198" i="19" l="1"/>
  <c r="J198" i="19" s="1"/>
  <c r="H198" i="19"/>
  <c r="I197" i="19"/>
  <c r="H197" i="19"/>
  <c r="I196" i="19"/>
  <c r="H196" i="19"/>
  <c r="I192" i="19"/>
  <c r="H192" i="19"/>
  <c r="G192" i="19"/>
  <c r="F192" i="19"/>
  <c r="E192" i="19"/>
  <c r="J192" i="19" l="1"/>
  <c r="I199" i="19"/>
  <c r="H199" i="19"/>
  <c r="J199" i="19" s="1"/>
  <c r="J197" i="19"/>
  <c r="J196" i="19"/>
  <c r="K52" i="13" l="1"/>
  <c r="J52" i="13"/>
  <c r="I52" i="13"/>
  <c r="H52" i="13"/>
  <c r="G52" i="13"/>
  <c r="F52" i="13"/>
  <c r="E52" i="13"/>
  <c r="D52" i="13"/>
  <c r="C52" i="13"/>
  <c r="B52" i="13"/>
  <c r="A52" i="13"/>
</calcChain>
</file>

<file path=xl/sharedStrings.xml><?xml version="1.0" encoding="utf-8"?>
<sst xmlns="http://schemas.openxmlformats.org/spreadsheetml/2006/main" count="4732" uniqueCount="1457">
  <si>
    <t>개 정 이 력</t>
    <phoneticPr fontId="8" type="noConversion"/>
  </si>
  <si>
    <t>버전</t>
  </si>
  <si>
    <t>개정범위</t>
    <phoneticPr fontId="1" type="noConversion"/>
  </si>
  <si>
    <t>내용</t>
    <phoneticPr fontId="8" type="noConversion"/>
  </si>
  <si>
    <t>작성자</t>
  </si>
  <si>
    <t>일자</t>
    <phoneticPr fontId="1" type="noConversion"/>
  </si>
  <si>
    <t>v1.0</t>
    <phoneticPr fontId="8" type="noConversion"/>
  </si>
  <si>
    <t>전체</t>
    <phoneticPr fontId="1" type="noConversion"/>
  </si>
  <si>
    <t>최초 작성</t>
    <phoneticPr fontId="8" type="noConversion"/>
  </si>
  <si>
    <t>김희정</t>
    <phoneticPr fontId="1" type="noConversion"/>
  </si>
  <si>
    <t xml:space="preserve"> </t>
    <phoneticPr fontId="1" type="noConversion"/>
  </si>
  <si>
    <t>매크로통상 물류시스템 구축 프로젝트</t>
    <phoneticPr fontId="8" type="noConversion"/>
  </si>
  <si>
    <t>통합테스트 수행보고서</t>
    <phoneticPr fontId="8" type="noConversion"/>
  </si>
  <si>
    <t>2024.10.30</t>
    <phoneticPr fontId="1" type="noConversion"/>
  </si>
  <si>
    <t>품목</t>
    <phoneticPr fontId="1" type="noConversion"/>
  </si>
  <si>
    <t>세트구성</t>
    <phoneticPr fontId="1" type="noConversion"/>
  </si>
  <si>
    <t>입고</t>
    <phoneticPr fontId="1" type="noConversion"/>
  </si>
  <si>
    <t>재고</t>
    <phoneticPr fontId="1" type="noConversion"/>
  </si>
  <si>
    <t>* 메뉴그룹</t>
    <phoneticPr fontId="1" type="noConversion"/>
  </si>
  <si>
    <t>시스템</t>
    <phoneticPr fontId="1" type="noConversion"/>
  </si>
  <si>
    <t>플랫폼</t>
    <phoneticPr fontId="1" type="noConversion"/>
  </si>
  <si>
    <t>대분류</t>
    <phoneticPr fontId="1" type="noConversion"/>
  </si>
  <si>
    <t>메 뉴</t>
    <phoneticPr fontId="1" type="noConversion"/>
  </si>
  <si>
    <t>메뉴그룹</t>
    <phoneticPr fontId="1" type="noConversion"/>
  </si>
  <si>
    <t>시스템관리</t>
    <phoneticPr fontId="1" type="noConversion"/>
  </si>
  <si>
    <t>본사(영업)</t>
    <phoneticPr fontId="1" type="noConversion"/>
  </si>
  <si>
    <t>본사(사무)</t>
    <phoneticPr fontId="1" type="noConversion"/>
  </si>
  <si>
    <t>물류(관리)</t>
    <phoneticPr fontId="1" type="noConversion"/>
  </si>
  <si>
    <t>물류(현장)</t>
    <phoneticPr fontId="1" type="noConversion"/>
  </si>
  <si>
    <t>외주(아미)</t>
    <phoneticPr fontId="1" type="noConversion"/>
  </si>
  <si>
    <t>외주(천일)</t>
    <phoneticPr fontId="1" type="noConversion"/>
  </si>
  <si>
    <t>WMS</t>
    <phoneticPr fontId="1" type="noConversion"/>
  </si>
  <si>
    <t>WEB</t>
    <phoneticPr fontId="1" type="noConversion"/>
  </si>
  <si>
    <t>입고관리</t>
    <phoneticPr fontId="1" type="noConversion"/>
  </si>
  <si>
    <t>입고예정</t>
    <phoneticPr fontId="1" type="noConversion"/>
  </si>
  <si>
    <t>O</t>
    <phoneticPr fontId="1" type="noConversion"/>
  </si>
  <si>
    <t>입고처리</t>
    <phoneticPr fontId="1" type="noConversion"/>
  </si>
  <si>
    <t>라벨발행</t>
    <phoneticPr fontId="1" type="noConversion"/>
  </si>
  <si>
    <t>O</t>
    <phoneticPr fontId="1" type="noConversion"/>
  </si>
  <si>
    <t>반품관리</t>
    <phoneticPr fontId="1" type="noConversion"/>
  </si>
  <si>
    <t>반품예정</t>
    <phoneticPr fontId="1" type="noConversion"/>
  </si>
  <si>
    <t>반품처리</t>
    <phoneticPr fontId="1" type="noConversion"/>
  </si>
  <si>
    <t>재고관리</t>
    <phoneticPr fontId="1" type="noConversion"/>
  </si>
  <si>
    <t>재고이동요청</t>
    <phoneticPr fontId="1" type="noConversion"/>
  </si>
  <si>
    <t>재고조정</t>
    <phoneticPr fontId="1" type="noConversion"/>
  </si>
  <si>
    <t>예외출고</t>
    <phoneticPr fontId="1" type="noConversion"/>
  </si>
  <si>
    <t>SKU변경</t>
    <phoneticPr fontId="1" type="noConversion"/>
  </si>
  <si>
    <t>세트작업</t>
    <phoneticPr fontId="1" type="noConversion"/>
  </si>
  <si>
    <t>재고조회</t>
    <phoneticPr fontId="1" type="noConversion"/>
  </si>
  <si>
    <t>재고조회(품목별)</t>
    <phoneticPr fontId="1" type="noConversion"/>
  </si>
  <si>
    <t>재고조회(창고별)</t>
    <phoneticPr fontId="1" type="noConversion"/>
  </si>
  <si>
    <t>재고조회(외주)</t>
    <phoneticPr fontId="1" type="noConversion"/>
  </si>
  <si>
    <t>재고조회(기간별)</t>
    <phoneticPr fontId="1" type="noConversion"/>
  </si>
  <si>
    <t>과재고조회</t>
    <phoneticPr fontId="1" type="noConversion"/>
  </si>
  <si>
    <t>수불조회</t>
    <phoneticPr fontId="1" type="noConversion"/>
  </si>
  <si>
    <t>재고마감</t>
    <phoneticPr fontId="1" type="noConversion"/>
  </si>
  <si>
    <t>SKU생성이력</t>
    <phoneticPr fontId="1" type="noConversion"/>
  </si>
  <si>
    <t>재고실사</t>
    <phoneticPr fontId="1" type="noConversion"/>
  </si>
  <si>
    <t>재고실사일정등록</t>
    <phoneticPr fontId="1" type="noConversion"/>
  </si>
  <si>
    <t>실사재고등록</t>
    <phoneticPr fontId="1" type="noConversion"/>
  </si>
  <si>
    <t>재고실사비교</t>
    <phoneticPr fontId="1" type="noConversion"/>
  </si>
  <si>
    <t>출고</t>
    <phoneticPr fontId="1" type="noConversion"/>
  </si>
  <si>
    <t>출하예정</t>
    <phoneticPr fontId="1" type="noConversion"/>
  </si>
  <si>
    <t>출고지시</t>
    <phoneticPr fontId="1" type="noConversion"/>
  </si>
  <si>
    <t>출고처리</t>
    <phoneticPr fontId="1" type="noConversion"/>
  </si>
  <si>
    <t>출하처리</t>
    <phoneticPr fontId="1" type="noConversion"/>
  </si>
  <si>
    <t>기준정보</t>
    <phoneticPr fontId="1" type="noConversion"/>
  </si>
  <si>
    <t>사업장</t>
    <phoneticPr fontId="1" type="noConversion"/>
  </si>
  <si>
    <t>사용자</t>
    <phoneticPr fontId="1" type="noConversion"/>
  </si>
  <si>
    <t>창고</t>
    <phoneticPr fontId="1" type="noConversion"/>
  </si>
  <si>
    <t>위치</t>
    <phoneticPr fontId="1" type="noConversion"/>
  </si>
  <si>
    <t>거래처</t>
    <phoneticPr fontId="1" type="noConversion"/>
  </si>
  <si>
    <t>라벨품목</t>
    <phoneticPr fontId="1" type="noConversion"/>
  </si>
  <si>
    <t>시스템정보</t>
    <phoneticPr fontId="1" type="noConversion"/>
  </si>
  <si>
    <t>메뉴그룹</t>
    <phoneticPr fontId="1" type="noConversion"/>
  </si>
  <si>
    <t>알람조회</t>
    <phoneticPr fontId="1" type="noConversion"/>
  </si>
  <si>
    <t>사용자코드</t>
    <phoneticPr fontId="1" type="noConversion"/>
  </si>
  <si>
    <t>시스템설정</t>
    <phoneticPr fontId="1" type="noConversion"/>
  </si>
  <si>
    <t>I/F 처리이력</t>
    <phoneticPr fontId="1" type="noConversion"/>
  </si>
  <si>
    <t>PDA</t>
    <phoneticPr fontId="1" type="noConversion"/>
  </si>
  <si>
    <t>입고</t>
    <phoneticPr fontId="1" type="noConversion"/>
  </si>
  <si>
    <t>반품</t>
    <phoneticPr fontId="1" type="noConversion"/>
  </si>
  <si>
    <t>출고</t>
    <phoneticPr fontId="1" type="noConversion"/>
  </si>
  <si>
    <t>배분</t>
    <phoneticPr fontId="1" type="noConversion"/>
  </si>
  <si>
    <t>송장처리</t>
    <phoneticPr fontId="1" type="noConversion"/>
  </si>
  <si>
    <t>출하</t>
    <phoneticPr fontId="1" type="noConversion"/>
  </si>
  <si>
    <t>재고이동</t>
    <phoneticPr fontId="1" type="noConversion"/>
  </si>
  <si>
    <t>재고이동요청</t>
    <phoneticPr fontId="1" type="noConversion"/>
  </si>
  <si>
    <t>실사</t>
    <phoneticPr fontId="1" type="noConversion"/>
  </si>
  <si>
    <t>일자</t>
    <phoneticPr fontId="1" type="noConversion"/>
  </si>
  <si>
    <t>위치</t>
    <phoneticPr fontId="1" type="noConversion"/>
  </si>
  <si>
    <t>시간</t>
    <phoneticPr fontId="1" type="noConversion"/>
  </si>
  <si>
    <t>테스트 내용</t>
    <phoneticPr fontId="1" type="noConversion"/>
  </si>
  <si>
    <t>참석자</t>
    <phoneticPr fontId="1" type="noConversion"/>
  </si>
  <si>
    <t>11/13 (수)</t>
    <phoneticPr fontId="1" type="noConversion"/>
  </si>
  <si>
    <t>기흥</t>
    <phoneticPr fontId="1" type="noConversion"/>
  </si>
  <si>
    <t>10시~12시</t>
    <phoneticPr fontId="1" type="noConversion"/>
  </si>
  <si>
    <t>입고 (국내입고, 수입입고, 기타입고, 외주센터입고)</t>
    <phoneticPr fontId="1" type="noConversion"/>
  </si>
  <si>
    <t>최정은 김아람, 손정민, 최재욱, 배광열, 이다희</t>
    <phoneticPr fontId="1" type="noConversion"/>
  </si>
  <si>
    <t xml:space="preserve">12시~13시 </t>
    <phoneticPr fontId="1" type="noConversion"/>
  </si>
  <si>
    <t>점심</t>
    <phoneticPr fontId="1" type="noConversion"/>
  </si>
  <si>
    <t>13시~16시</t>
    <phoneticPr fontId="1" type="noConversion"/>
  </si>
  <si>
    <t>출고 (판매출하(B), 센터출하, 외주센터출하, 외주직출, 기타출하(B))</t>
    <phoneticPr fontId="1" type="noConversion"/>
  </si>
  <si>
    <t>16시~18시</t>
    <phoneticPr fontId="1" type="noConversion"/>
  </si>
  <si>
    <t>재고실사, 재고조정, 재고이동 (세트, 선입고), 마감</t>
    <phoneticPr fontId="1" type="noConversion"/>
  </si>
  <si>
    <t>11/14 (목)</t>
    <phoneticPr fontId="1" type="noConversion"/>
  </si>
  <si>
    <t>용인</t>
    <phoneticPr fontId="1" type="noConversion"/>
  </si>
  <si>
    <t>입고 (센터입고), 출고(판매출하(C), 기타출하(C))</t>
    <phoneticPr fontId="1" type="noConversion"/>
  </si>
  <si>
    <t>최정은, 이다술, 김나경, 임대원, 안희선</t>
    <phoneticPr fontId="1" type="noConversion"/>
  </si>
  <si>
    <t>13시~17시</t>
    <phoneticPr fontId="1" type="noConversion"/>
  </si>
  <si>
    <t>출고 (센터출하, 센터입고), 재고실사, 재고조정, 재고이동, 마감</t>
    <phoneticPr fontId="1" type="noConversion"/>
  </si>
  <si>
    <t>▶입고◀</t>
    <phoneticPr fontId="1" type="noConversion"/>
  </si>
  <si>
    <t>구분</t>
    <phoneticPr fontId="1" type="noConversion"/>
  </si>
  <si>
    <t>시스템</t>
    <phoneticPr fontId="1" type="noConversion"/>
  </si>
  <si>
    <t>메뉴</t>
    <phoneticPr fontId="1" type="noConversion"/>
  </si>
  <si>
    <t>액션</t>
    <phoneticPr fontId="1" type="noConversion"/>
  </si>
  <si>
    <t>비고</t>
    <phoneticPr fontId="1" type="noConversion"/>
  </si>
  <si>
    <t>국내입고</t>
    <phoneticPr fontId="1" type="noConversion"/>
  </si>
  <si>
    <t>SAP</t>
    <phoneticPr fontId="1" type="noConversion"/>
  </si>
  <si>
    <t>구매오더</t>
    <phoneticPr fontId="1" type="noConversion"/>
  </si>
  <si>
    <t>신규등록 (농심 2건)</t>
    <phoneticPr fontId="1" type="noConversion"/>
  </si>
  <si>
    <t>입고예정 WMS연동</t>
    <phoneticPr fontId="1" type="noConversion"/>
  </si>
  <si>
    <t>데이터 연동</t>
    <phoneticPr fontId="1" type="noConversion"/>
  </si>
  <si>
    <t>WMS</t>
    <phoneticPr fontId="1" type="noConversion"/>
  </si>
  <si>
    <t>입고예정</t>
    <phoneticPr fontId="1" type="noConversion"/>
  </si>
  <si>
    <t>WEB</t>
    <phoneticPr fontId="1" type="noConversion"/>
  </si>
  <si>
    <t>연동데이터확인, 조회조건 별 조회결과값 확인</t>
    <phoneticPr fontId="1" type="noConversion"/>
  </si>
  <si>
    <t>PDA</t>
    <phoneticPr fontId="1" type="noConversion"/>
  </si>
  <si>
    <t>연동데이터확인, 조회조건 별 조회결과값 확인</t>
    <phoneticPr fontId="1" type="noConversion"/>
  </si>
  <si>
    <t>WMS</t>
    <phoneticPr fontId="1" type="noConversion"/>
  </si>
  <si>
    <t>입고처리</t>
    <phoneticPr fontId="1" type="noConversion"/>
  </si>
  <si>
    <t>WEB</t>
    <phoneticPr fontId="1" type="noConversion"/>
  </si>
  <si>
    <t>사례 1. 정상입고 / SKU생성 / 라벨출력 확인</t>
    <phoneticPr fontId="1" type="noConversion"/>
  </si>
  <si>
    <t>입고처리</t>
    <phoneticPr fontId="1" type="noConversion"/>
  </si>
  <si>
    <t>PDA</t>
    <phoneticPr fontId="1" type="noConversion"/>
  </si>
  <si>
    <t>사례 1. 정상입고 / SKU 생성</t>
    <phoneticPr fontId="1" type="noConversion"/>
  </si>
  <si>
    <t>SAP</t>
    <phoneticPr fontId="1" type="noConversion"/>
  </si>
  <si>
    <t>입고PO</t>
    <phoneticPr fontId="1" type="noConversion"/>
  </si>
  <si>
    <t>문서생성확인, 연동데이터 확인</t>
    <phoneticPr fontId="1" type="noConversion"/>
  </si>
  <si>
    <t>재고이동</t>
    <phoneticPr fontId="1" type="noConversion"/>
  </si>
  <si>
    <t>보관위치로 이동 / 위치수동지정</t>
    <phoneticPr fontId="1" type="noConversion"/>
  </si>
  <si>
    <t>재고이동</t>
    <phoneticPr fontId="1" type="noConversion"/>
  </si>
  <si>
    <t>보관위치로 이동 / 위치바코드 이용</t>
    <phoneticPr fontId="1" type="noConversion"/>
  </si>
  <si>
    <t>신규등록 (두런 2건)</t>
    <phoneticPr fontId="1" type="noConversion"/>
  </si>
  <si>
    <t>SAP</t>
    <phoneticPr fontId="1" type="noConversion"/>
  </si>
  <si>
    <t>WMS</t>
    <phoneticPr fontId="1" type="noConversion"/>
  </si>
  <si>
    <t>사례 2. 유통기한 다르게 입고 / 일자변경</t>
    <phoneticPr fontId="1" type="noConversion"/>
  </si>
  <si>
    <t>사례 2. 유통기한 다르게 입고 / 일자변경</t>
    <phoneticPr fontId="1" type="noConversion"/>
  </si>
  <si>
    <t>입고PO</t>
    <phoneticPr fontId="1" type="noConversion"/>
  </si>
  <si>
    <t>문서생성확인, 연동데이터 확인</t>
    <phoneticPr fontId="1" type="noConversion"/>
  </si>
  <si>
    <t>적재위치로 이동 / 위치수동지정</t>
    <phoneticPr fontId="1" type="noConversion"/>
  </si>
  <si>
    <t>재고이동</t>
    <phoneticPr fontId="1" type="noConversion"/>
  </si>
  <si>
    <t>적재위치로 이동 / 위치바코드 이용</t>
    <phoneticPr fontId="1" type="noConversion"/>
  </si>
  <si>
    <t>국내입고</t>
    <phoneticPr fontId="1" type="noConversion"/>
  </si>
  <si>
    <t>구매오더</t>
    <phoneticPr fontId="1" type="noConversion"/>
  </si>
  <si>
    <t>신규등록 (구산글로벌 2건)</t>
    <phoneticPr fontId="1" type="noConversion"/>
  </si>
  <si>
    <t>연동데이터확인, 조회조건 별 조회결과값 확인</t>
    <phoneticPr fontId="1" type="noConversion"/>
  </si>
  <si>
    <t>사례 3. 수량 다르게 입고 / 수량부족 (초과수량 입력X)</t>
    <phoneticPr fontId="1" type="noConversion"/>
  </si>
  <si>
    <t>초과수량만큼 구매오더 추가생성하여 예정정보 추가입력</t>
    <phoneticPr fontId="1" type="noConversion"/>
  </si>
  <si>
    <t>입고처리</t>
    <phoneticPr fontId="1" type="noConversion"/>
  </si>
  <si>
    <t>강제확정</t>
    <phoneticPr fontId="1" type="noConversion"/>
  </si>
  <si>
    <t>입고 문서생성확인, 연동데이터 확인</t>
    <phoneticPr fontId="1" type="noConversion"/>
  </si>
  <si>
    <t>국내입고</t>
    <phoneticPr fontId="1" type="noConversion"/>
  </si>
  <si>
    <t>구매오더</t>
    <phoneticPr fontId="1" type="noConversion"/>
  </si>
  <si>
    <t>신규등록 (한국아지노모토 2건)</t>
    <phoneticPr fontId="1" type="noConversion"/>
  </si>
  <si>
    <t>입고예정</t>
    <phoneticPr fontId="1" type="noConversion"/>
  </si>
  <si>
    <t>WEB</t>
    <phoneticPr fontId="1" type="noConversion"/>
  </si>
  <si>
    <t xml:space="preserve">사례 4. 실수로 오처리 </t>
    <phoneticPr fontId="1" type="noConversion"/>
  </si>
  <si>
    <t>PDA</t>
    <phoneticPr fontId="1" type="noConversion"/>
  </si>
  <si>
    <t xml:space="preserve">사례 4. 실수로 오처리 </t>
    <phoneticPr fontId="1" type="noConversion"/>
  </si>
  <si>
    <t>입고처리취소</t>
    <phoneticPr fontId="1" type="noConversion"/>
  </si>
  <si>
    <t>입고처리취소</t>
    <phoneticPr fontId="1" type="noConversion"/>
  </si>
  <si>
    <t>신규등록 (부강)</t>
    <phoneticPr fontId="1" type="noConversion"/>
  </si>
  <si>
    <t>입고예정 WMS연동</t>
    <phoneticPr fontId="1" type="noConversion"/>
  </si>
  <si>
    <t>데이터 연동</t>
    <phoneticPr fontId="1" type="noConversion"/>
  </si>
  <si>
    <t>연동데이터확인, 조회조건 별 조회결과값 확인</t>
    <phoneticPr fontId="1" type="noConversion"/>
  </si>
  <si>
    <t>입고예정</t>
    <phoneticPr fontId="1" type="noConversion"/>
  </si>
  <si>
    <t>사례 5. 입고예정취소</t>
    <phoneticPr fontId="1" type="noConversion"/>
  </si>
  <si>
    <t>SAP</t>
    <phoneticPr fontId="1" type="noConversion"/>
  </si>
  <si>
    <t>연동상태 변경여부확인</t>
    <phoneticPr fontId="1" type="noConversion"/>
  </si>
  <si>
    <t>수입입고</t>
    <phoneticPr fontId="1" type="noConversion"/>
  </si>
  <si>
    <t>SAP</t>
    <phoneticPr fontId="1" type="noConversion"/>
  </si>
  <si>
    <t>신규등록 (프리토레이)</t>
    <phoneticPr fontId="1" type="noConversion"/>
  </si>
  <si>
    <t>신규등록 (일괄입고 )</t>
    <phoneticPr fontId="1" type="noConversion"/>
  </si>
  <si>
    <t>입고처리</t>
    <phoneticPr fontId="1" type="noConversion"/>
  </si>
  <si>
    <t>사례 1. 정상입고 / SKU생성, 입고처리</t>
    <phoneticPr fontId="1" type="noConversion"/>
  </si>
  <si>
    <t>수불조회</t>
    <phoneticPr fontId="1" type="noConversion"/>
  </si>
  <si>
    <t>재고처리여부 확인</t>
    <phoneticPr fontId="1" type="noConversion"/>
  </si>
  <si>
    <t>신규등록 (고쿠부)</t>
    <phoneticPr fontId="1" type="noConversion"/>
  </si>
  <si>
    <t>입고PO</t>
    <phoneticPr fontId="1" type="noConversion"/>
  </si>
  <si>
    <t>신규등록 (분할입고 )</t>
    <phoneticPr fontId="1" type="noConversion"/>
  </si>
  <si>
    <t>데이터 연동 / 상태값 연동 변경 &amp; 수정불가</t>
    <phoneticPr fontId="1" type="noConversion"/>
  </si>
  <si>
    <t>사례 2. 유통기한/ 수량 변경 -&gt; 입고취소</t>
    <phoneticPr fontId="1" type="noConversion"/>
  </si>
  <si>
    <t>상태값 미연동으로 변경 &amp; 수정가능</t>
    <phoneticPr fontId="1" type="noConversion"/>
  </si>
  <si>
    <t>입고PO취소</t>
    <phoneticPr fontId="1" type="noConversion"/>
  </si>
  <si>
    <t>입고취소 -&gt; A/P예약송장취소 -&gt; 구매오더 수정</t>
    <phoneticPr fontId="1" type="noConversion"/>
  </si>
  <si>
    <t>신규등록 (분할입고 )</t>
    <phoneticPr fontId="1" type="noConversion"/>
  </si>
  <si>
    <t>수불조회</t>
    <phoneticPr fontId="1" type="noConversion"/>
  </si>
  <si>
    <t>재고처리여부 확인</t>
    <phoneticPr fontId="1" type="noConversion"/>
  </si>
  <si>
    <t>외주센터입고</t>
    <phoneticPr fontId="1" type="noConversion"/>
  </si>
  <si>
    <t>입고예정등록(천일-&gt;기흥, 아미-&gt;기흥)</t>
    <phoneticPr fontId="1" type="noConversion"/>
  </si>
  <si>
    <t>입고처리</t>
    <phoneticPr fontId="1" type="noConversion"/>
  </si>
  <si>
    <t>사례 1. 전체품목 정상입고</t>
    <phoneticPr fontId="1" type="noConversion"/>
  </si>
  <si>
    <t>출하처리</t>
    <phoneticPr fontId="1" type="noConversion"/>
  </si>
  <si>
    <t>자동</t>
    <phoneticPr fontId="1" type="noConversion"/>
  </si>
  <si>
    <t>외주센터 출하처리 자동여부</t>
    <phoneticPr fontId="1" type="noConversion"/>
  </si>
  <si>
    <t>재고이전</t>
    <phoneticPr fontId="1" type="noConversion"/>
  </si>
  <si>
    <t>문서 자동생성 확인</t>
    <phoneticPr fontId="1" type="noConversion"/>
  </si>
  <si>
    <t>외주센터입고</t>
    <phoneticPr fontId="1" type="noConversion"/>
  </si>
  <si>
    <t>입고예정등록(부산-&gt;기흥, 아미-&gt;기흥)</t>
    <phoneticPr fontId="1" type="noConversion"/>
  </si>
  <si>
    <t>사례 2. 일부품목만 입고</t>
    <phoneticPr fontId="1" type="noConversion"/>
  </si>
  <si>
    <t>사례 2. 일부품목만 입고</t>
    <phoneticPr fontId="1" type="noConversion"/>
  </si>
  <si>
    <t>WEB</t>
    <phoneticPr fontId="1" type="noConversion"/>
  </si>
  <si>
    <t>강제확정</t>
    <phoneticPr fontId="1" type="noConversion"/>
  </si>
  <si>
    <t>출하처리</t>
    <phoneticPr fontId="1" type="noConversion"/>
  </si>
  <si>
    <t>자동</t>
    <phoneticPr fontId="1" type="noConversion"/>
  </si>
  <si>
    <t>외주센터 출하처리 자동여부</t>
    <phoneticPr fontId="1" type="noConversion"/>
  </si>
  <si>
    <t>수불조회</t>
    <phoneticPr fontId="1" type="noConversion"/>
  </si>
  <si>
    <t>문서 자동생성 확인</t>
    <phoneticPr fontId="1" type="noConversion"/>
  </si>
  <si>
    <t>입고예정등록(아미-&gt;기흥)</t>
    <phoneticPr fontId="1" type="noConversion"/>
  </si>
  <si>
    <t>사례 3. 식검수량 있음</t>
    <phoneticPr fontId="1" type="noConversion"/>
  </si>
  <si>
    <t>예외출고</t>
    <phoneticPr fontId="1" type="noConversion"/>
  </si>
  <si>
    <t>자동</t>
    <phoneticPr fontId="1" type="noConversion"/>
  </si>
  <si>
    <t>예외출고 처리여부(기흥)</t>
    <phoneticPr fontId="1" type="noConversion"/>
  </si>
  <si>
    <t>재고이전</t>
    <phoneticPr fontId="1" type="noConversion"/>
  </si>
  <si>
    <t>문서 자동생성 확인</t>
    <phoneticPr fontId="1" type="noConversion"/>
  </si>
  <si>
    <t>출고</t>
    <phoneticPr fontId="1" type="noConversion"/>
  </si>
  <si>
    <t>입고예정등록(아미-&gt;기흥)</t>
    <phoneticPr fontId="1" type="noConversion"/>
  </si>
  <si>
    <t>사례 4. 불량수량 있음</t>
    <phoneticPr fontId="1" type="noConversion"/>
  </si>
  <si>
    <t>사례 4. 불량수량 있음</t>
    <phoneticPr fontId="1" type="noConversion"/>
  </si>
  <si>
    <t>예외출고</t>
    <phoneticPr fontId="1" type="noConversion"/>
  </si>
  <si>
    <t>예외출고 처리여부(기흥)</t>
    <phoneticPr fontId="1" type="noConversion"/>
  </si>
  <si>
    <t>기타입고</t>
    <phoneticPr fontId="1" type="noConversion"/>
  </si>
  <si>
    <t>기타입고예정등록 (샘플, 교환, 소분)</t>
    <phoneticPr fontId="1" type="noConversion"/>
  </si>
  <si>
    <t>사례 1. 전체품목 정상입고</t>
    <phoneticPr fontId="1" type="noConversion"/>
  </si>
  <si>
    <t>입고</t>
    <phoneticPr fontId="1" type="noConversion"/>
  </si>
  <si>
    <t>문서 자동생성 확인(입고유형,계정과목 확인)</t>
    <phoneticPr fontId="1" type="noConversion"/>
  </si>
  <si>
    <t>기타입고</t>
    <phoneticPr fontId="1" type="noConversion"/>
  </si>
  <si>
    <t>사례 2. 일부수량 입고</t>
    <phoneticPr fontId="1" type="noConversion"/>
  </si>
  <si>
    <t>강제확정</t>
    <phoneticPr fontId="1" type="noConversion"/>
  </si>
  <si>
    <t>문서 자동생성 확인(입고유형,계정과목 확인)</t>
    <phoneticPr fontId="1" type="noConversion"/>
  </si>
  <si>
    <t>기타입고예정등록 (샘플, 교환, 소분)</t>
    <phoneticPr fontId="1" type="noConversion"/>
  </si>
  <si>
    <t>사례 3. 일부수량 입고 후 나머지 품목 유통기한 다름</t>
    <phoneticPr fontId="1" type="noConversion"/>
  </si>
  <si>
    <t>기처리수량 클릭 -&gt; 처리취소 / SKU생성취소</t>
    <phoneticPr fontId="1" type="noConversion"/>
  </si>
  <si>
    <t>기처리수량 클릭 -&gt; 처리취소 / 라벨발행취소</t>
    <phoneticPr fontId="1" type="noConversion"/>
  </si>
  <si>
    <t>수량, 유통기한 수정</t>
    <phoneticPr fontId="1" type="noConversion"/>
  </si>
  <si>
    <t>예정대로 입고처리</t>
    <phoneticPr fontId="1" type="noConversion"/>
  </si>
  <si>
    <t>예정대로 입고처리</t>
    <phoneticPr fontId="1" type="noConversion"/>
  </si>
  <si>
    <t>일반반품</t>
    <phoneticPr fontId="1" type="noConversion"/>
  </si>
  <si>
    <t>납품문서 연결해서 반품요청 등록</t>
    <phoneticPr fontId="1" type="noConversion"/>
  </si>
  <si>
    <t>반품요청 WMS연동</t>
    <phoneticPr fontId="1" type="noConversion"/>
  </si>
  <si>
    <t>데이터연동</t>
    <phoneticPr fontId="1" type="noConversion"/>
  </si>
  <si>
    <t>반품예정</t>
    <phoneticPr fontId="1" type="noConversion"/>
  </si>
  <si>
    <t>연동데이터 확인</t>
    <phoneticPr fontId="1" type="noConversion"/>
  </si>
  <si>
    <t>반품처리</t>
    <phoneticPr fontId="1" type="noConversion"/>
  </si>
  <si>
    <t>사례1. 정상입고 / SKU생성, 반품처리</t>
    <phoneticPr fontId="1" type="noConversion"/>
  </si>
  <si>
    <t>반품처리</t>
    <phoneticPr fontId="1" type="noConversion"/>
  </si>
  <si>
    <t>사례1. 정상입고 / SKU생성, 반품처리</t>
    <phoneticPr fontId="1" type="noConversion"/>
  </si>
  <si>
    <t>반품마감</t>
    <phoneticPr fontId="1" type="noConversion"/>
  </si>
  <si>
    <t>반품</t>
    <phoneticPr fontId="1" type="noConversion"/>
  </si>
  <si>
    <t>문서 자동생성 확인(반품요청마감-연결문서 반품생성)</t>
    <phoneticPr fontId="1" type="noConversion"/>
  </si>
  <si>
    <t>보관위치로 이동 / 위치바코드 이용</t>
    <phoneticPr fontId="1" type="noConversion"/>
  </si>
  <si>
    <t>재고이전</t>
    <phoneticPr fontId="1" type="noConversion"/>
  </si>
  <si>
    <t>문서 자동생성 확인(반품창고-&gt;이동창고)</t>
    <phoneticPr fontId="1" type="noConversion"/>
  </si>
  <si>
    <t>일반반품</t>
    <phoneticPr fontId="1" type="noConversion"/>
  </si>
  <si>
    <t>구매오더</t>
    <phoneticPr fontId="1" type="noConversion"/>
  </si>
  <si>
    <t>납품문서 연결해서 반품요청 등록</t>
    <phoneticPr fontId="1" type="noConversion"/>
  </si>
  <si>
    <t>반품요청 WMS연동</t>
    <phoneticPr fontId="1" type="noConversion"/>
  </si>
  <si>
    <t>연동데이터 확인</t>
    <phoneticPr fontId="1" type="noConversion"/>
  </si>
  <si>
    <t>사례2. 일부품목, 일부수량 입고</t>
    <phoneticPr fontId="1" type="noConversion"/>
  </si>
  <si>
    <t>현재 WMS 예정수량보다 더 많이 수정가능 -&gt; SAP어떻게처리??</t>
    <phoneticPr fontId="1" type="noConversion"/>
  </si>
  <si>
    <t>문서 자동생성 확인(반품요청마감-연결문서 반품생성, 반품창고)</t>
    <phoneticPr fontId="1" type="noConversion"/>
  </si>
  <si>
    <t>반품예정</t>
    <phoneticPr fontId="1" type="noConversion"/>
  </si>
  <si>
    <t>연동데이터 확인</t>
    <phoneticPr fontId="1" type="noConversion"/>
  </si>
  <si>
    <t>사례3. 유통기한 변경 입고(수량변동X)</t>
    <phoneticPr fontId="1" type="noConversion"/>
  </si>
  <si>
    <t>입고</t>
    <phoneticPr fontId="1" type="noConversion"/>
  </si>
  <si>
    <t>자동생성 / 입고유형(유통기한변경), 배치번호, 유통기한 정보확인</t>
    <phoneticPr fontId="1" type="noConversion"/>
  </si>
  <si>
    <t>출고</t>
    <phoneticPr fontId="1" type="noConversion"/>
  </si>
  <si>
    <t>자동생성 / 출고유형(유통기한변경), 출고품목 배치번호확인</t>
    <phoneticPr fontId="1" type="noConversion"/>
  </si>
  <si>
    <t>재고이동</t>
    <phoneticPr fontId="1" type="noConversion"/>
  </si>
  <si>
    <t>데이터연동</t>
    <phoneticPr fontId="1" type="noConversion"/>
  </si>
  <si>
    <t>반품예정</t>
    <phoneticPr fontId="1" type="noConversion"/>
  </si>
  <si>
    <t>반품</t>
    <phoneticPr fontId="1" type="noConversion"/>
  </si>
  <si>
    <t>문서 자동생성 확인(반품요청마감-연결문서 반품생성, 반품창고)</t>
    <phoneticPr fontId="1" type="noConversion"/>
  </si>
  <si>
    <t>사례3. 반품마감 취소</t>
    <phoneticPr fontId="1" type="noConversion"/>
  </si>
  <si>
    <t>반품취소</t>
    <phoneticPr fontId="1" type="noConversion"/>
  </si>
  <si>
    <t>문서 자동생성 확인(반품취소-반품요청미결)</t>
    <phoneticPr fontId="1" type="noConversion"/>
  </si>
  <si>
    <t>문서 자동생성 확인(반품요청마감-연결문서 반품생성, 반품창고)</t>
    <phoneticPr fontId="1" type="noConversion"/>
  </si>
  <si>
    <t>재고이동</t>
    <phoneticPr fontId="1" type="noConversion"/>
  </si>
  <si>
    <t xml:space="preserve">보관위치로 이동 </t>
    <phoneticPr fontId="1" type="noConversion"/>
  </si>
  <si>
    <t>매장반품</t>
    <phoneticPr fontId="1" type="noConversion"/>
  </si>
  <si>
    <t>재고이전요청</t>
    <phoneticPr fontId="1" type="noConversion"/>
  </si>
  <si>
    <t>유통기한, 출하유형 필수값</t>
    <phoneticPr fontId="1" type="noConversion"/>
  </si>
  <si>
    <t>재고이전(기타출고)요청 조회 및 연동</t>
    <phoneticPr fontId="1" type="noConversion"/>
  </si>
  <si>
    <t>반품처리</t>
    <phoneticPr fontId="1" type="noConversion"/>
  </si>
  <si>
    <t>반품마감</t>
    <phoneticPr fontId="1" type="noConversion"/>
  </si>
  <si>
    <t>문서 자동생성 확인(재고이전요청마감-연결문서 재고이전생성)</t>
    <phoneticPr fontId="1" type="noConversion"/>
  </si>
  <si>
    <t>재고이전(기타출고)요청 조회 및 연동</t>
    <phoneticPr fontId="1" type="noConversion"/>
  </si>
  <si>
    <t>사례2. 유통기한 변경 입고(수량변동X)</t>
    <phoneticPr fontId="1" type="noConversion"/>
  </si>
  <si>
    <t>문서 자동생성 확인(재고이전요청마감-연결문서 재고이전생성)</t>
    <phoneticPr fontId="1" type="noConversion"/>
  </si>
  <si>
    <t>자동생성 / 입고유형(유통기한변경), 배치번호, 유통기한 정보확인</t>
    <phoneticPr fontId="1" type="noConversion"/>
  </si>
  <si>
    <t>매장반품</t>
    <phoneticPr fontId="1" type="noConversion"/>
  </si>
  <si>
    <t>유통기한, 출하유형 필수값</t>
    <phoneticPr fontId="1" type="noConversion"/>
  </si>
  <si>
    <t>사례3. +수량 입고</t>
    <phoneticPr fontId="1" type="noConversion"/>
  </si>
  <si>
    <t>반품마감</t>
    <phoneticPr fontId="1" type="noConversion"/>
  </si>
  <si>
    <t>재고이전</t>
    <phoneticPr fontId="1" type="noConversion"/>
  </si>
  <si>
    <t>자동생성 / 입고유형(유통기한변경), 배치번호, 유통기한 정보확인</t>
    <phoneticPr fontId="1" type="noConversion"/>
  </si>
  <si>
    <t>▶출고◀</t>
    <phoneticPr fontId="1" type="noConversion"/>
  </si>
  <si>
    <t>구분</t>
    <phoneticPr fontId="1" type="noConversion"/>
  </si>
  <si>
    <t>시스템</t>
    <phoneticPr fontId="1" type="noConversion"/>
  </si>
  <si>
    <t>메뉴</t>
    <phoneticPr fontId="1" type="noConversion"/>
  </si>
  <si>
    <t>액션</t>
    <phoneticPr fontId="1" type="noConversion"/>
  </si>
  <si>
    <t>비고</t>
    <phoneticPr fontId="1" type="noConversion"/>
  </si>
  <si>
    <t>판매출하B</t>
    <phoneticPr fontId="1" type="noConversion"/>
  </si>
  <si>
    <t>판매오더입력 &amp; 피킹리스트 작성</t>
    <phoneticPr fontId="1" type="noConversion"/>
  </si>
  <si>
    <t>신규등록(롯데마트)</t>
    <phoneticPr fontId="1" type="noConversion"/>
  </si>
  <si>
    <t>출하예정 WMS연동</t>
    <phoneticPr fontId="1" type="noConversion"/>
  </si>
  <si>
    <t>데이터 연동</t>
    <phoneticPr fontId="1" type="noConversion"/>
  </si>
  <si>
    <t>거래명세서 출력(피킹)</t>
    <phoneticPr fontId="1" type="noConversion"/>
  </si>
  <si>
    <t>피킹리스트 작성 건 거래명세서 출력</t>
    <phoneticPr fontId="1" type="noConversion"/>
  </si>
  <si>
    <t>WMS</t>
    <phoneticPr fontId="1" type="noConversion"/>
  </si>
  <si>
    <t>출하예정</t>
    <phoneticPr fontId="1" type="noConversion"/>
  </si>
  <si>
    <t>WEB</t>
    <phoneticPr fontId="1" type="noConversion"/>
  </si>
  <si>
    <t>데이터확인 / 출하준비</t>
    <phoneticPr fontId="1" type="noConversion"/>
  </si>
  <si>
    <t>위치지정 &amp; 출고지시(총괄)</t>
    <phoneticPr fontId="1" type="noConversion"/>
  </si>
  <si>
    <t>출고처리</t>
    <phoneticPr fontId="1" type="noConversion"/>
  </si>
  <si>
    <t>사례1. 정상출고 / 출고지시서 출력 / 업체라벨 출력</t>
    <phoneticPr fontId="1" type="noConversion"/>
  </si>
  <si>
    <t>WMS</t>
    <phoneticPr fontId="1" type="noConversion"/>
  </si>
  <si>
    <t>출고처리</t>
    <phoneticPr fontId="1" type="noConversion"/>
  </si>
  <si>
    <t>사례1. 정상출고 / 출고처리</t>
    <phoneticPr fontId="1" type="noConversion"/>
  </si>
  <si>
    <t>WMS</t>
    <phoneticPr fontId="1" type="noConversion"/>
  </si>
  <si>
    <t>배분조회</t>
    <phoneticPr fontId="1" type="noConversion"/>
  </si>
  <si>
    <t>PDA</t>
    <phoneticPr fontId="1" type="noConversion"/>
  </si>
  <si>
    <t>배분확인</t>
    <phoneticPr fontId="1" type="noConversion"/>
  </si>
  <si>
    <t>출하처리</t>
    <phoneticPr fontId="1" type="noConversion"/>
  </si>
  <si>
    <t>PDA</t>
    <phoneticPr fontId="1" type="noConversion"/>
  </si>
  <si>
    <t>출하처리</t>
    <phoneticPr fontId="1" type="noConversion"/>
  </si>
  <si>
    <t>수불조회</t>
    <phoneticPr fontId="1" type="noConversion"/>
  </si>
  <si>
    <t>재고처리내역 조회</t>
    <phoneticPr fontId="1" type="noConversion"/>
  </si>
  <si>
    <t>납품</t>
    <phoneticPr fontId="1" type="noConversion"/>
  </si>
  <si>
    <t>문서생성확인, 연동데이터확인</t>
    <phoneticPr fontId="1" type="noConversion"/>
  </si>
  <si>
    <t>판매오더입력 &amp; 피킹리스트 작성</t>
    <phoneticPr fontId="1" type="noConversion"/>
  </si>
  <si>
    <t>신규등록(이마트)</t>
    <phoneticPr fontId="1" type="noConversion"/>
  </si>
  <si>
    <t>피킹리스트-WMS연동</t>
    <phoneticPr fontId="1" type="noConversion"/>
  </si>
  <si>
    <t>데이터 연동</t>
    <phoneticPr fontId="1" type="noConversion"/>
  </si>
  <si>
    <t>WMS</t>
    <phoneticPr fontId="1" type="noConversion"/>
  </si>
  <si>
    <t>위치지정 &amp; 출고지시(담당자별)</t>
    <phoneticPr fontId="1" type="noConversion"/>
  </si>
  <si>
    <t>사례2. 배치변경출고 / 출고지시서 출력 / 업체라벨 출력</t>
    <phoneticPr fontId="1" type="noConversion"/>
  </si>
  <si>
    <t>사례2. 배치변경출고 / 출고처리 / 업체라벨 출력</t>
    <phoneticPr fontId="1" type="noConversion"/>
  </si>
  <si>
    <t>배분조회</t>
    <phoneticPr fontId="1" type="noConversion"/>
  </si>
  <si>
    <t>배분확인</t>
    <phoneticPr fontId="1" type="noConversion"/>
  </si>
  <si>
    <t>출하처리</t>
    <phoneticPr fontId="1" type="noConversion"/>
  </si>
  <si>
    <t>WMS</t>
    <phoneticPr fontId="1" type="noConversion"/>
  </si>
  <si>
    <t>수불조회</t>
    <phoneticPr fontId="1" type="noConversion"/>
  </si>
  <si>
    <t>납품</t>
    <phoneticPr fontId="1" type="noConversion"/>
  </si>
  <si>
    <t>SAP</t>
    <phoneticPr fontId="1" type="noConversion"/>
  </si>
  <si>
    <t>신규등록(홈플러스)</t>
    <phoneticPr fontId="1" type="noConversion"/>
  </si>
  <si>
    <t>SAP</t>
    <phoneticPr fontId="1" type="noConversion"/>
  </si>
  <si>
    <t>출하예정</t>
    <phoneticPr fontId="1" type="noConversion"/>
  </si>
  <si>
    <t>위치지정 &amp; 출고지시(창고별)</t>
    <phoneticPr fontId="1" type="noConversion"/>
  </si>
  <si>
    <t>출고처리</t>
    <phoneticPr fontId="1" type="noConversion"/>
  </si>
  <si>
    <t>사례3. 위치변경출고 / 출고지시서 출력 / 업체라벨 출력</t>
    <phoneticPr fontId="1" type="noConversion"/>
  </si>
  <si>
    <t>출고처리</t>
    <phoneticPr fontId="1" type="noConversion"/>
  </si>
  <si>
    <t>사례3. 위치변경출고 / 출고처리 / 업체라벨 출력</t>
    <phoneticPr fontId="1" type="noConversion"/>
  </si>
  <si>
    <t>배분조회</t>
    <phoneticPr fontId="1" type="noConversion"/>
  </si>
  <si>
    <t>납품</t>
    <phoneticPr fontId="1" type="noConversion"/>
  </si>
  <si>
    <t>문서생성확인, 연동데이터확인</t>
    <phoneticPr fontId="1" type="noConversion"/>
  </si>
  <si>
    <t>재고이전요청</t>
    <phoneticPr fontId="1" type="noConversion"/>
  </si>
  <si>
    <t>신규등록(신세계본점)</t>
    <phoneticPr fontId="1" type="noConversion"/>
  </si>
  <si>
    <t>재고이전(기타출고)요청 조회 및 연동</t>
    <phoneticPr fontId="1" type="noConversion"/>
  </si>
  <si>
    <t>데이터 연동</t>
    <phoneticPr fontId="1" type="noConversion"/>
  </si>
  <si>
    <t>위치지정 &amp; 출고지시(창고별)</t>
    <phoneticPr fontId="1" type="noConversion"/>
  </si>
  <si>
    <t>출고처리</t>
    <phoneticPr fontId="1" type="noConversion"/>
  </si>
  <si>
    <t>사례1. 정상출고 / 출고지시서 출력 / 업체라벨 출력</t>
    <phoneticPr fontId="1" type="noConversion"/>
  </si>
  <si>
    <t>출하처리</t>
    <phoneticPr fontId="1" type="noConversion"/>
  </si>
  <si>
    <t>PDA</t>
    <phoneticPr fontId="1" type="noConversion"/>
  </si>
  <si>
    <t>재고처리내역 조회</t>
    <phoneticPr fontId="1" type="noConversion"/>
  </si>
  <si>
    <t>재고이전</t>
    <phoneticPr fontId="1" type="noConversion"/>
  </si>
  <si>
    <t>문서생성확인, 연결재고이전요청문서 마감</t>
    <phoneticPr fontId="1" type="noConversion"/>
  </si>
  <si>
    <t>신규등록(롯데본점)</t>
    <phoneticPr fontId="1" type="noConversion"/>
  </si>
  <si>
    <t>재고이전(기타출고)요청 조회 및 연동</t>
    <phoneticPr fontId="1" type="noConversion"/>
  </si>
  <si>
    <t>WEB</t>
    <phoneticPr fontId="1" type="noConversion"/>
  </si>
  <si>
    <t>위치지정 &amp; 출고지시(창고별)</t>
    <phoneticPr fontId="1" type="noConversion"/>
  </si>
  <si>
    <t>사례2. 위치변경출고(백화점창고) / 출고지시서 출력 / 업체라벨 출력</t>
    <phoneticPr fontId="1" type="noConversion"/>
  </si>
  <si>
    <t>사례2. 위치변경출고(백화점창고) / 출고처리</t>
    <phoneticPr fontId="1" type="noConversion"/>
  </si>
  <si>
    <t>WMS</t>
    <phoneticPr fontId="1" type="noConversion"/>
  </si>
  <si>
    <t>WEB</t>
    <phoneticPr fontId="1" type="noConversion"/>
  </si>
  <si>
    <t>재고이전</t>
    <phoneticPr fontId="1" type="noConversion"/>
  </si>
  <si>
    <t>백화점창고-&gt;B창고 변경출고 시 out빈-&gt;기본빈 재고이전문서생성</t>
    <phoneticPr fontId="1" type="noConversion"/>
  </si>
  <si>
    <t>문서생성확인, 연결재고이전요청문서 마감</t>
    <phoneticPr fontId="1" type="noConversion"/>
  </si>
  <si>
    <t>백화점창고재고부족시 재고실사로 생성 후 처리??</t>
    <phoneticPr fontId="1" type="noConversion"/>
  </si>
  <si>
    <t>기타출고</t>
    <phoneticPr fontId="1" type="noConversion"/>
  </si>
  <si>
    <t>유통기한, 출하유형 필수값 (샘플출고, 접대출고, 보상출고)</t>
    <phoneticPr fontId="1" type="noConversion"/>
  </si>
  <si>
    <t>재고이전(기타출고)요청 조회 및 연동</t>
    <phoneticPr fontId="1" type="noConversion"/>
  </si>
  <si>
    <t>데이터연동</t>
    <phoneticPr fontId="1" type="noConversion"/>
  </si>
  <si>
    <t>출하예정</t>
    <phoneticPr fontId="1" type="noConversion"/>
  </si>
  <si>
    <t>데이터확인 / 출하준비</t>
    <phoneticPr fontId="1" type="noConversion"/>
  </si>
  <si>
    <t>WEB</t>
    <phoneticPr fontId="1" type="noConversion"/>
  </si>
  <si>
    <t>출고처리</t>
    <phoneticPr fontId="1" type="noConversion"/>
  </si>
  <si>
    <t>WMS</t>
    <phoneticPr fontId="1" type="noConversion"/>
  </si>
  <si>
    <t>재고처리내역 조회</t>
    <phoneticPr fontId="1" type="noConversion"/>
  </si>
  <si>
    <t>문서 닫기</t>
    <phoneticPr fontId="1" type="noConversion"/>
  </si>
  <si>
    <t>출고</t>
    <phoneticPr fontId="1" type="noConversion"/>
  </si>
  <si>
    <t>자동생성 / 출고유형, 계정과목 출고품목 배치번호확인</t>
    <phoneticPr fontId="1" type="noConversion"/>
  </si>
  <si>
    <t>구매반품</t>
    <phoneticPr fontId="1" type="noConversion"/>
  </si>
  <si>
    <t>구매반품요청 등록</t>
    <phoneticPr fontId="1" type="noConversion"/>
  </si>
  <si>
    <t>입고PO연결해서 반품요청등록</t>
    <phoneticPr fontId="1" type="noConversion"/>
  </si>
  <si>
    <t>구매반품요청 WMS연동</t>
    <phoneticPr fontId="1" type="noConversion"/>
  </si>
  <si>
    <t>데이터연동</t>
    <phoneticPr fontId="1" type="noConversion"/>
  </si>
  <si>
    <t>예외창고에 재고 없을 경우 어떻게??</t>
    <phoneticPr fontId="1" type="noConversion"/>
  </si>
  <si>
    <t>예외출고</t>
    <phoneticPr fontId="1" type="noConversion"/>
  </si>
  <si>
    <t>연동데이터 확인 및 처리</t>
    <phoneticPr fontId="1" type="noConversion"/>
  </si>
  <si>
    <t>WMS</t>
    <phoneticPr fontId="1" type="noConversion"/>
  </si>
  <si>
    <t>재고처리여부 확인</t>
    <phoneticPr fontId="1" type="noConversion"/>
  </si>
  <si>
    <t>구매반품 생성</t>
    <phoneticPr fontId="1" type="noConversion"/>
  </si>
  <si>
    <t>문서 자동생성 확인(구매반품요청마감-연결문서 구매반품생성)</t>
    <phoneticPr fontId="1" type="noConversion"/>
  </si>
  <si>
    <t>보관위치로 이동 / 위치바코드 이용</t>
    <phoneticPr fontId="1" type="noConversion"/>
  </si>
  <si>
    <t>재고처리여부 확인</t>
    <phoneticPr fontId="1" type="noConversion"/>
  </si>
  <si>
    <t>문서 자동생성 확인(반품창고-&gt;이동창고)</t>
    <phoneticPr fontId="1" type="noConversion"/>
  </si>
  <si>
    <t>▶재고◀</t>
    <phoneticPr fontId="1" type="noConversion"/>
  </si>
  <si>
    <t>구분</t>
    <phoneticPr fontId="1" type="noConversion"/>
  </si>
  <si>
    <t>시스템</t>
    <phoneticPr fontId="1" type="noConversion"/>
  </si>
  <si>
    <t>메뉴</t>
    <phoneticPr fontId="1" type="noConversion"/>
  </si>
  <si>
    <t>신규등록</t>
    <phoneticPr fontId="1" type="noConversion"/>
  </si>
  <si>
    <t>재고실사등록</t>
    <phoneticPr fontId="1" type="noConversion"/>
  </si>
  <si>
    <t>재고수량변경 (+),(-), 신규품목등록 / 재고실사표 출력</t>
    <phoneticPr fontId="1" type="noConversion"/>
  </si>
  <si>
    <t>재고실사등록</t>
    <phoneticPr fontId="1" type="noConversion"/>
  </si>
  <si>
    <t>재고수량변경 (+),(-), 신규품목등록</t>
    <phoneticPr fontId="1" type="noConversion"/>
  </si>
  <si>
    <t>WMS</t>
    <phoneticPr fontId="1" type="noConversion"/>
  </si>
  <si>
    <t>재고조정요청</t>
    <phoneticPr fontId="1" type="noConversion"/>
  </si>
  <si>
    <t>재고조정</t>
    <phoneticPr fontId="1" type="noConversion"/>
  </si>
  <si>
    <t>조정처리</t>
    <phoneticPr fontId="1" type="noConversion"/>
  </si>
  <si>
    <t>WEB</t>
    <phoneticPr fontId="1" type="noConversion"/>
  </si>
  <si>
    <t>재고처리내역 조회</t>
    <phoneticPr fontId="1" type="noConversion"/>
  </si>
  <si>
    <t>재고조회(품목별)</t>
    <phoneticPr fontId="1" type="noConversion"/>
  </si>
  <si>
    <t>상세탭 -&gt; ERP업로드양식 다운로드</t>
    <phoneticPr fontId="1" type="noConversion"/>
  </si>
  <si>
    <t>재고실사 및 재고전기 처리</t>
    <phoneticPr fontId="1" type="noConversion"/>
  </si>
  <si>
    <t>창고별 위치 매칭 확인, 배치번호변경 확인</t>
    <phoneticPr fontId="1" type="noConversion"/>
  </si>
  <si>
    <t>SKU변경</t>
    <phoneticPr fontId="1" type="noConversion"/>
  </si>
  <si>
    <t>WEB</t>
    <phoneticPr fontId="1" type="noConversion"/>
  </si>
  <si>
    <t>일부 수량 유통기한변경</t>
    <phoneticPr fontId="1" type="noConversion"/>
  </si>
  <si>
    <t>재고처리내역 조회</t>
    <phoneticPr fontId="1" type="noConversion"/>
  </si>
  <si>
    <t>입고</t>
    <phoneticPr fontId="1" type="noConversion"/>
  </si>
  <si>
    <t>자동생성 / 입고유형, 배치번호, 유통기한 정보확인</t>
    <phoneticPr fontId="1" type="noConversion"/>
  </si>
  <si>
    <t>자동생성 / 출고유형, 출고품목 배치번호확인</t>
    <phoneticPr fontId="1" type="noConversion"/>
  </si>
  <si>
    <t>SKU변경</t>
    <phoneticPr fontId="1" type="noConversion"/>
  </si>
  <si>
    <t>구매오더번호 변경</t>
    <phoneticPr fontId="1" type="noConversion"/>
  </si>
  <si>
    <t>WEB</t>
    <phoneticPr fontId="1" type="noConversion"/>
  </si>
  <si>
    <t>처리내역없음</t>
    <phoneticPr fontId="1" type="noConversion"/>
  </si>
  <si>
    <t>세트작업</t>
    <phoneticPr fontId="1" type="noConversion"/>
  </si>
  <si>
    <t>WMS</t>
    <phoneticPr fontId="1" type="noConversion"/>
  </si>
  <si>
    <t>세트구성</t>
    <phoneticPr fontId="1" type="noConversion"/>
  </si>
  <si>
    <t>세트품목 및 구성품 등록</t>
    <phoneticPr fontId="1" type="noConversion"/>
  </si>
  <si>
    <t>세트작업</t>
    <phoneticPr fontId="1" type="noConversion"/>
  </si>
  <si>
    <t>세트작업등록 / 재고이동요청</t>
    <phoneticPr fontId="1" type="noConversion"/>
  </si>
  <si>
    <t>재고이동요청</t>
    <phoneticPr fontId="1" type="noConversion"/>
  </si>
  <si>
    <t>작업이동 지정 및 처리 / 이동지시서 출력</t>
    <phoneticPr fontId="1" type="noConversion"/>
  </si>
  <si>
    <t>PDA</t>
    <phoneticPr fontId="1" type="noConversion"/>
  </si>
  <si>
    <t>작업이동 처리 (위치바코드, SKU바코드 이용)</t>
    <phoneticPr fontId="1" type="noConversion"/>
  </si>
  <si>
    <t>사례 1. 동일유통기한 세트작업 처리</t>
    <phoneticPr fontId="1" type="noConversion"/>
  </si>
  <si>
    <t>WEB</t>
    <phoneticPr fontId="1" type="noConversion"/>
  </si>
  <si>
    <t>재고이동</t>
    <phoneticPr fontId="1" type="noConversion"/>
  </si>
  <si>
    <t>보관위치로 이동 / 위치수동지정</t>
    <phoneticPr fontId="1" type="noConversion"/>
  </si>
  <si>
    <t>입고</t>
    <phoneticPr fontId="1" type="noConversion"/>
  </si>
  <si>
    <t>자동생성 / 출고유형, 출고품목 배치번호확인</t>
    <phoneticPr fontId="1" type="noConversion"/>
  </si>
  <si>
    <t>세트작업</t>
    <phoneticPr fontId="1" type="noConversion"/>
  </si>
  <si>
    <t>세트작업등록 / 재고이동요청</t>
    <phoneticPr fontId="1" type="noConversion"/>
  </si>
  <si>
    <t>재고이동요청</t>
    <phoneticPr fontId="1" type="noConversion"/>
  </si>
  <si>
    <t>작업이동 지정 및 처리 / 이동지시서 출력</t>
    <phoneticPr fontId="1" type="noConversion"/>
  </si>
  <si>
    <t>작업이동 처리 (리스트 선택 처리)</t>
    <phoneticPr fontId="1" type="noConversion"/>
  </si>
  <si>
    <t>사례2. 구성품목 유통기한 다를 경우 세트작업 처리</t>
    <phoneticPr fontId="1" type="noConversion"/>
  </si>
  <si>
    <t>동일유통기한만큼만 세트생성(수정미반영?)</t>
    <phoneticPr fontId="1" type="noConversion"/>
  </si>
  <si>
    <t>수불조회</t>
    <phoneticPr fontId="1" type="noConversion"/>
  </si>
  <si>
    <t>보관위치로 이동 / 위치수동지정</t>
    <phoneticPr fontId="1" type="noConversion"/>
  </si>
  <si>
    <t>재고이동</t>
    <phoneticPr fontId="1" type="noConversion"/>
  </si>
  <si>
    <t>보관위치로 이동 / 위치바코드 이용</t>
    <phoneticPr fontId="1" type="noConversion"/>
  </si>
  <si>
    <t>SAP</t>
    <phoneticPr fontId="1" type="noConversion"/>
  </si>
  <si>
    <t>재고이동요청</t>
    <phoneticPr fontId="1" type="noConversion"/>
  </si>
  <si>
    <t>WEB</t>
    <phoneticPr fontId="1" type="noConversion"/>
  </si>
  <si>
    <t>재고이동</t>
    <phoneticPr fontId="1" type="noConversion"/>
  </si>
  <si>
    <t>작업이동 처리(제품창고-&gt;작업창고)</t>
    <phoneticPr fontId="1" type="noConversion"/>
  </si>
  <si>
    <t>해체처리</t>
    <phoneticPr fontId="1" type="noConversion"/>
  </si>
  <si>
    <t>보관위치로 이동 / 위치수동지정</t>
    <phoneticPr fontId="1" type="noConversion"/>
  </si>
  <si>
    <t>재고이동</t>
    <phoneticPr fontId="1" type="noConversion"/>
  </si>
  <si>
    <t>보관위치로 이동 / 위치바코드 이용</t>
    <phoneticPr fontId="1" type="noConversion"/>
  </si>
  <si>
    <t>SAP</t>
    <phoneticPr fontId="1" type="noConversion"/>
  </si>
  <si>
    <t>입고</t>
    <phoneticPr fontId="1" type="noConversion"/>
  </si>
  <si>
    <t>출고</t>
    <phoneticPr fontId="1" type="noConversion"/>
  </si>
  <si>
    <t>예외출고</t>
    <phoneticPr fontId="1" type="noConversion"/>
  </si>
  <si>
    <t>WMS</t>
    <phoneticPr fontId="1" type="noConversion"/>
  </si>
  <si>
    <t>예외출고 등록(기증, 폐기, 소분출고)</t>
    <phoneticPr fontId="1" type="noConversion"/>
  </si>
  <si>
    <t>예정저장안됨??</t>
    <phoneticPr fontId="1" type="noConversion"/>
  </si>
  <si>
    <t>수불조회</t>
    <phoneticPr fontId="1" type="noConversion"/>
  </si>
  <si>
    <t>자동생성 / 출고유형, 출고품목 배치번호확인</t>
    <phoneticPr fontId="1" type="noConversion"/>
  </si>
  <si>
    <t>SYSTEM</t>
    <phoneticPr fontId="1" type="noConversion"/>
  </si>
  <si>
    <t>확인내용</t>
    <phoneticPr fontId="1" type="noConversion"/>
  </si>
  <si>
    <t>확인일자</t>
    <phoneticPr fontId="1" type="noConversion"/>
  </si>
  <si>
    <t>확인자</t>
    <phoneticPr fontId="1" type="noConversion"/>
  </si>
  <si>
    <t>1.기준정보</t>
    <phoneticPr fontId="1" type="noConversion"/>
  </si>
  <si>
    <t>창고</t>
    <phoneticPr fontId="1" type="noConversion"/>
  </si>
  <si>
    <t>조회 조건은 정상 구현 되는지?</t>
    <phoneticPr fontId="1" type="noConversion"/>
  </si>
  <si>
    <t>최정은</t>
    <phoneticPr fontId="1" type="noConversion"/>
  </si>
  <si>
    <t>1.기준정보</t>
  </si>
  <si>
    <t>기준정보02</t>
  </si>
  <si>
    <t>기준정보03</t>
  </si>
  <si>
    <t>위치 조회</t>
    <phoneticPr fontId="1" type="noConversion"/>
  </si>
  <si>
    <t>기준정보04</t>
  </si>
  <si>
    <t>위치 등록</t>
    <phoneticPr fontId="1" type="noConversion"/>
  </si>
  <si>
    <t>기준정보05</t>
  </si>
  <si>
    <t>라벨 출력</t>
    <phoneticPr fontId="1" type="noConversion"/>
  </si>
  <si>
    <t>위치라벨 출력 기능은 정상 구현되는지?</t>
    <phoneticPr fontId="1" type="noConversion"/>
  </si>
  <si>
    <t>기준정보06</t>
  </si>
  <si>
    <t>사용자</t>
    <phoneticPr fontId="1" type="noConversion"/>
  </si>
  <si>
    <t>사용자 조회</t>
    <phoneticPr fontId="1" type="noConversion"/>
  </si>
  <si>
    <t>기준정보07</t>
  </si>
  <si>
    <t>사용자 등록</t>
    <phoneticPr fontId="1" type="noConversion"/>
  </si>
  <si>
    <t>기준정보08</t>
  </si>
  <si>
    <t>기준정보09</t>
  </si>
  <si>
    <t>SAP에서 품목등록 및 수정</t>
  </si>
  <si>
    <t>SAP 품목정보 입력 후 SAP -&gt; WMS IF 전송 확인</t>
  </si>
  <si>
    <t>기준정보10</t>
  </si>
  <si>
    <t>기준정보11</t>
  </si>
  <si>
    <t>품목 조회</t>
    <phoneticPr fontId="1" type="noConversion"/>
  </si>
  <si>
    <t>배광열</t>
    <phoneticPr fontId="1" type="noConversion"/>
  </si>
  <si>
    <t>임대원</t>
    <phoneticPr fontId="1" type="noConversion"/>
  </si>
  <si>
    <t>기준정보12</t>
  </si>
  <si>
    <t>기준정보13</t>
  </si>
  <si>
    <t>SAP에서 거래처 등록 및 수정</t>
  </si>
  <si>
    <t>SAP 거래처 정보 입력 후 SAP -&gt; WMS IF 전송 확인</t>
  </si>
  <si>
    <t>기준정보14</t>
  </si>
  <si>
    <t>기준정보15</t>
  </si>
  <si>
    <t>안희선</t>
    <phoneticPr fontId="1" type="noConversion"/>
  </si>
  <si>
    <t>기준정보16</t>
  </si>
  <si>
    <t>기준정보17</t>
  </si>
  <si>
    <t>기준정보18</t>
  </si>
  <si>
    <t>기준정보19</t>
  </si>
  <si>
    <t>일괄등록엑셀양식다운로드 및 엑셀대량등록 오류가 없나?</t>
    <phoneticPr fontId="1" type="noConversion"/>
  </si>
  <si>
    <t>기준정보20</t>
  </si>
  <si>
    <t>기준정보21</t>
  </si>
  <si>
    <t>세트구성 입력</t>
    <phoneticPr fontId="1" type="noConversion"/>
  </si>
  <si>
    <t>2.입고</t>
  </si>
  <si>
    <t>SAP에서 구매오더 작성(국내입고)</t>
  </si>
  <si>
    <t>국내입고02</t>
    <phoneticPr fontId="1" type="noConversion"/>
  </si>
  <si>
    <t>수신내역 확인 및 입고예정 조회</t>
    <phoneticPr fontId="1" type="noConversion"/>
  </si>
  <si>
    <t>국내입고03</t>
  </si>
  <si>
    <t>국내입고04</t>
  </si>
  <si>
    <t>국내입고05</t>
  </si>
  <si>
    <t>SKU생성 및 라벨 발행</t>
    <phoneticPr fontId="1" type="noConversion"/>
  </si>
  <si>
    <t>SKU생성/생성취소, 라벨 발행 및 출력은 정상 처리되는지?</t>
    <phoneticPr fontId="1" type="noConversion"/>
  </si>
  <si>
    <t>국내입고06</t>
  </si>
  <si>
    <t>입고처리 시 입고상태/수불/재고는 정상등록 되는지?</t>
    <phoneticPr fontId="1" type="noConversion"/>
  </si>
  <si>
    <t>국내입고07</t>
  </si>
  <si>
    <t>입고처리 기능이 정상구현되는지?(유통기한 불일치, 품목 불일치, 수량 불일치 등)</t>
    <phoneticPr fontId="1" type="noConversion"/>
  </si>
  <si>
    <t>국내입고08</t>
  </si>
  <si>
    <t>SAP에서 입고처리 확인(국내입고)</t>
  </si>
  <si>
    <t>SAP 입고처리 정상여부 확인 WMS -&gt; SAP IF 전송</t>
  </si>
  <si>
    <t>4.재고</t>
  </si>
  <si>
    <t>재고14</t>
  </si>
  <si>
    <t>재고15</t>
  </si>
  <si>
    <t>재고선택이 안되서 처리를 못함 (요청번호 EX2024111800004)</t>
    <phoneticPr fontId="1" type="noConversion"/>
  </si>
  <si>
    <t>재고17</t>
  </si>
  <si>
    <t>SAP 구매반품 처리 정상여부 확인 WMS -&gt; SAP IF 전송</t>
  </si>
  <si>
    <t>재고18</t>
  </si>
  <si>
    <t>구매반품 처리취소</t>
    <phoneticPr fontId="1" type="noConversion"/>
  </si>
  <si>
    <t>재고19</t>
  </si>
  <si>
    <t>국내입고09</t>
  </si>
  <si>
    <t>재고이동 처리는 정상처리 되는지?</t>
    <phoneticPr fontId="1" type="noConversion"/>
  </si>
  <si>
    <t>국내입고10</t>
  </si>
  <si>
    <t>강제확정 처리 기능은 정상 처리되는지?</t>
    <phoneticPr fontId="1" type="noConversion"/>
  </si>
  <si>
    <t>국내입고11</t>
  </si>
  <si>
    <t>입고지시서 출력</t>
    <phoneticPr fontId="1" type="noConversion"/>
  </si>
  <si>
    <t>입고지시서 출력은 정상 구현되는지?</t>
    <phoneticPr fontId="1" type="noConversion"/>
  </si>
  <si>
    <t>입고예정 품목의 추가/삭제 기능은 구현되는지? (외주센터입고)</t>
    <phoneticPr fontId="1" type="noConversion"/>
  </si>
  <si>
    <t>센터/기타입고02</t>
    <phoneticPr fontId="1" type="noConversion"/>
  </si>
  <si>
    <t>센터/기타입고03</t>
  </si>
  <si>
    <t>SAP 재고이동요청 입력 후 SAP -&gt; WMS IF 전송 확인</t>
  </si>
  <si>
    <t>센터/기타입고04</t>
  </si>
  <si>
    <t>센터/기타입고05</t>
  </si>
  <si>
    <t>센터/기타입고06</t>
  </si>
  <si>
    <t>SAP에서 재고이동 처리 확인(외주센터입고/센터입고)</t>
  </si>
  <si>
    <t>SAP 재고이동 처리 정상여부 확인 WMS -&gt; SAP IF 전송(재고이전생성)</t>
    <phoneticPr fontId="1" type="noConversion"/>
  </si>
  <si>
    <t>센터/기타입고07</t>
  </si>
  <si>
    <t>SAP에서 기타출고 처리 확인(외주센터입고-식검수량)</t>
  </si>
  <si>
    <t>센터/기타입고08</t>
  </si>
  <si>
    <t>SAP 기타입고 처리 정상여부 확인 WMS -&gt; SAP IF 전송(기타입고생성)</t>
    <phoneticPr fontId="1" type="noConversion"/>
  </si>
  <si>
    <t>센터/기타입고09</t>
  </si>
  <si>
    <t>센터/기타입고10</t>
  </si>
  <si>
    <t>이다술</t>
    <phoneticPr fontId="1" type="noConversion"/>
  </si>
  <si>
    <t>센터/기타입고11</t>
  </si>
  <si>
    <t>센터/기타입고12</t>
  </si>
  <si>
    <t>SAP에서 입고PO 등록(수입입고)</t>
  </si>
  <si>
    <t>수입입고03</t>
  </si>
  <si>
    <t>수입입고04</t>
  </si>
  <si>
    <t>수입입고05</t>
  </si>
  <si>
    <t>수입입고06</t>
  </si>
  <si>
    <t>SAP에서 입고처리 확인(수입입고)</t>
  </si>
  <si>
    <t>3.반품</t>
  </si>
  <si>
    <t>반품요청 정보 등록(일반반품)</t>
    <phoneticPr fontId="1" type="noConversion"/>
  </si>
  <si>
    <t>반품02</t>
  </si>
  <si>
    <t>재고이전요청 정보 등록(매장반품)</t>
    <phoneticPr fontId="1" type="noConversion"/>
  </si>
  <si>
    <t>반품03</t>
  </si>
  <si>
    <t>반품04</t>
  </si>
  <si>
    <t>반품05</t>
  </si>
  <si>
    <t>SAP에서 반품요청 취소 처리 확인</t>
  </si>
  <si>
    <t>반품06</t>
  </si>
  <si>
    <t>반품07</t>
  </si>
  <si>
    <t>반품08</t>
  </si>
  <si>
    <t>반품09</t>
  </si>
  <si>
    <t>반품10</t>
  </si>
  <si>
    <t>반품마감 / 반품마감 취소(판매출하C)</t>
    <phoneticPr fontId="1" type="noConversion"/>
  </si>
  <si>
    <t>반품11</t>
  </si>
  <si>
    <t>SAP에서 반품처리 확인(일반반품)</t>
  </si>
  <si>
    <t>반품12</t>
  </si>
  <si>
    <t>SAP에서 재고이전 처리 확인(매장반품)</t>
  </si>
  <si>
    <t>리포트 조회</t>
    <phoneticPr fontId="1" type="noConversion"/>
  </si>
  <si>
    <t>재고02</t>
  </si>
  <si>
    <t>이동처리 기능은 정상 구현되는지?(수불, 재고 확인)</t>
    <phoneticPr fontId="1" type="noConversion"/>
  </si>
  <si>
    <t>재고03</t>
  </si>
  <si>
    <t>재고04</t>
  </si>
  <si>
    <t>재고05</t>
  </si>
  <si>
    <t>재고06</t>
  </si>
  <si>
    <t>품목바코드 / 위치바코드 스캔 후 재고이동 처리</t>
    <phoneticPr fontId="1" type="noConversion"/>
  </si>
  <si>
    <t>재고07</t>
  </si>
  <si>
    <t>SAP에서 재고이전 처리 확인(해당경우)</t>
  </si>
  <si>
    <t>재고08</t>
  </si>
  <si>
    <t>재고09</t>
  </si>
  <si>
    <t>재고조정</t>
    <phoneticPr fontId="8" type="noConversion"/>
  </si>
  <si>
    <t>재고10</t>
  </si>
  <si>
    <t>재고11</t>
  </si>
  <si>
    <t>재고12</t>
  </si>
  <si>
    <t>재고13</t>
  </si>
  <si>
    <t>재고16</t>
  </si>
  <si>
    <t>SAP 기타출고 처리 정상여부 확인 WMS -&gt; SAP IF 전송</t>
  </si>
  <si>
    <t>재고20</t>
  </si>
  <si>
    <t>재고21</t>
  </si>
  <si>
    <t>SKU변경 처리</t>
    <phoneticPr fontId="1" type="noConversion"/>
  </si>
  <si>
    <t>재고22</t>
  </si>
  <si>
    <t>재고23</t>
  </si>
  <si>
    <t>SAP 기타입고 처리 정상여부 확인 WMS -&gt; SAP IF 전송</t>
  </si>
  <si>
    <t>재고24</t>
  </si>
  <si>
    <t>세트작업</t>
    <phoneticPr fontId="8" type="noConversion"/>
  </si>
  <si>
    <t>세트작업 등록 기능은 정상 구현되는지?</t>
    <phoneticPr fontId="1" type="noConversion"/>
  </si>
  <si>
    <t>재고25</t>
  </si>
  <si>
    <t>재고26</t>
  </si>
  <si>
    <t>세트작업 처리</t>
    <phoneticPr fontId="1" type="noConversion"/>
  </si>
  <si>
    <t>재고27</t>
  </si>
  <si>
    <t>SAP 기타출고(구성품목) 처리 정상여부 확인 WMS -&gt; SAP IF 전송</t>
  </si>
  <si>
    <t>재고28</t>
  </si>
  <si>
    <t>SAP 기타입고(세트품목) 처리 정상여부 확인 WMS -&gt; SAP IF 전송</t>
  </si>
  <si>
    <t>재고29</t>
  </si>
  <si>
    <t>라벨출력</t>
    <phoneticPr fontId="1" type="noConversion"/>
  </si>
  <si>
    <t>재고30</t>
  </si>
  <si>
    <t>재고31</t>
  </si>
  <si>
    <t>SAP 기타출고(세트품목) 처리 정상여부 확인 WMS -&gt; SAP IF 전송</t>
  </si>
  <si>
    <t>재고32</t>
  </si>
  <si>
    <t>SAP 기타입고(구성품목) 처리 정상여부 확인 WMS -&gt; SAP IF 전송</t>
  </si>
  <si>
    <t>재고33</t>
  </si>
  <si>
    <t>재고실사일정등록</t>
    <phoneticPr fontId="8" type="noConversion"/>
  </si>
  <si>
    <t>재고34</t>
  </si>
  <si>
    <t>재고35</t>
  </si>
  <si>
    <t>저장 기능은 정상 구현 되는지?</t>
    <phoneticPr fontId="1" type="noConversion"/>
  </si>
  <si>
    <t>재고36</t>
  </si>
  <si>
    <t>재고실사표 출력 기능은 정상 구현되는지?</t>
    <phoneticPr fontId="1" type="noConversion"/>
  </si>
  <si>
    <t>재고37</t>
  </si>
  <si>
    <t>재고38</t>
  </si>
  <si>
    <t>재고39</t>
  </si>
  <si>
    <t>5.출하</t>
  </si>
  <si>
    <t>출하예정</t>
    <phoneticPr fontId="8" type="noConversion"/>
  </si>
  <si>
    <t>SAP에서 피킹지시서 할당 작성(판매출하B)</t>
  </si>
  <si>
    <t>SAP 피킹지시서 할당 입력 후 SAP -&gt; WMS IF 전송 확인</t>
  </si>
  <si>
    <t>출하B2C05</t>
  </si>
  <si>
    <t>출하B2B19</t>
  </si>
  <si>
    <t>출하처리</t>
    <phoneticPr fontId="27" type="noConversion"/>
  </si>
  <si>
    <t>출하B2B20</t>
  </si>
  <si>
    <t>출하B2B07</t>
  </si>
  <si>
    <t>출하취소 기능은 정상 구현되는지?</t>
    <phoneticPr fontId="1" type="noConversion"/>
  </si>
  <si>
    <t>출하B2B08</t>
  </si>
  <si>
    <t>SAP 출하취소 정상여부 확인 WMS -&gt; SAP IF 전송</t>
  </si>
  <si>
    <t>출하B2B02</t>
  </si>
  <si>
    <t>SAP에서 재고이동요청 (기타출하B)</t>
  </si>
  <si>
    <t>출하B2B03</t>
  </si>
  <si>
    <t>출하B2B04</t>
  </si>
  <si>
    <t>출하B2B09</t>
  </si>
  <si>
    <t>출고지시</t>
    <phoneticPr fontId="8" type="noConversion"/>
  </si>
  <si>
    <t>출하B2B10</t>
  </si>
  <si>
    <t>출고지시 생성 기능은 정상 구현되는지?(지시유형별)</t>
    <phoneticPr fontId="1" type="noConversion"/>
  </si>
  <si>
    <t>출하B2B11</t>
  </si>
  <si>
    <t>출하B2B12</t>
  </si>
  <si>
    <t>출고지시수정 처리(판매출하B)</t>
    <phoneticPr fontId="1" type="noConversion"/>
  </si>
  <si>
    <t>출하B2B13</t>
  </si>
  <si>
    <t>출하B2B14</t>
  </si>
  <si>
    <t>출고처리</t>
    <phoneticPr fontId="27" type="noConversion"/>
  </si>
  <si>
    <t>출고처리 조회(판매출하B)</t>
    <phoneticPr fontId="1" type="noConversion"/>
  </si>
  <si>
    <t>출하B2B15</t>
  </si>
  <si>
    <t>출하B2B16</t>
  </si>
  <si>
    <t>출고 처리 기능은 정상 구현되는지?(수불,재고)</t>
    <phoneticPr fontId="1" type="noConversion"/>
  </si>
  <si>
    <t>출하B2B17</t>
  </si>
  <si>
    <t>출하B2B18</t>
  </si>
  <si>
    <t>출하B2B06</t>
  </si>
  <si>
    <t>출하취소 처리(판매출하B)</t>
    <phoneticPr fontId="1" type="noConversion"/>
  </si>
  <si>
    <t>출하B2B21</t>
  </si>
  <si>
    <t>출하B2B22</t>
  </si>
  <si>
    <t>출하B2B23</t>
  </si>
  <si>
    <t>SAP 납품처리(판매출하B) 정상여부 확인 WMS -&gt; SAP IF 전송</t>
  </si>
  <si>
    <t>출하B2B24</t>
  </si>
  <si>
    <t>SAP 재고이전처리(기타출하B) 정상여부 확인 WMS -&gt; SAP IF 전송</t>
  </si>
  <si>
    <t>출하B2B25</t>
  </si>
  <si>
    <t>출하B2B26</t>
  </si>
  <si>
    <t>출하B2B27</t>
  </si>
  <si>
    <t>출하B2B28</t>
  </si>
  <si>
    <t>출하지시서 생성은 구현 되는지? (버전 두개 확인)</t>
    <phoneticPr fontId="1" type="noConversion"/>
  </si>
  <si>
    <t>SAP에서 피킹지시서 할당 작성(판매출하C)</t>
  </si>
  <si>
    <t>출하B2C02</t>
  </si>
  <si>
    <t>SAP에서 재고이동요청 (기타출하C)</t>
  </si>
  <si>
    <t>출하B2C03</t>
  </si>
  <si>
    <t>출하B2C04</t>
  </si>
  <si>
    <t>출하B2C06</t>
  </si>
  <si>
    <t>출하B2C07</t>
  </si>
  <si>
    <t>출하B2C08</t>
  </si>
  <si>
    <t>출하B2C09</t>
  </si>
  <si>
    <t>출하B2C15</t>
  </si>
  <si>
    <t>출하B2C16</t>
  </si>
  <si>
    <t>출하B2C17</t>
  </si>
  <si>
    <t>출하B2C18</t>
  </si>
  <si>
    <t>출하B2C19</t>
  </si>
  <si>
    <t>출하B2C20</t>
  </si>
  <si>
    <t>출하B2C21</t>
  </si>
  <si>
    <t>출하B2C22</t>
  </si>
  <si>
    <t>출하B2C23</t>
  </si>
  <si>
    <t>SAP 납품처리(판매출하C) 정상여부 확인 WMS -&gt; SAP IF 전송</t>
  </si>
  <si>
    <t>출하B2C25</t>
  </si>
  <si>
    <t>출하B2C24</t>
  </si>
  <si>
    <t>SAP 재고이전처리(기타출하C) 정상여부 확인 WMS -&gt; SAP IF 전송</t>
  </si>
  <si>
    <t>출하B2C26</t>
  </si>
  <si>
    <t>출하B2C27</t>
  </si>
  <si>
    <t>출하B2C28</t>
  </si>
  <si>
    <t>6.출하</t>
  </si>
  <si>
    <t>센터출하01</t>
    <phoneticPr fontId="1" type="noConversion"/>
  </si>
  <si>
    <t>SAP에서 재고이동요청 (센터출하/외주센터출하)</t>
  </si>
  <si>
    <t>센터출하02</t>
  </si>
  <si>
    <t>센터출하03</t>
  </si>
  <si>
    <t>센터출하04</t>
  </si>
  <si>
    <t>센터출하05</t>
  </si>
  <si>
    <t>센터출하06</t>
  </si>
  <si>
    <t>센터출하07</t>
  </si>
  <si>
    <t>센터출하08</t>
  </si>
  <si>
    <t>센터출하09</t>
  </si>
  <si>
    <t>센터출하10</t>
  </si>
  <si>
    <t>센터출하11</t>
  </si>
  <si>
    <t>센터출하14</t>
  </si>
  <si>
    <t>센터출하15</t>
  </si>
  <si>
    <t>센터출하16</t>
  </si>
  <si>
    <t>센터출하17</t>
  </si>
  <si>
    <t>센터출하18</t>
  </si>
  <si>
    <t>센터출하19</t>
  </si>
  <si>
    <t>센터출하20</t>
  </si>
  <si>
    <t>센터출하21</t>
  </si>
  <si>
    <t>센터출하22</t>
  </si>
  <si>
    <t>SAP 재고이전처리(센터출하/외주센터출하) 정상여부 확인 WMS -&gt; SAP IF 전송</t>
  </si>
  <si>
    <t>센터출하23</t>
  </si>
  <si>
    <t>센터출하24</t>
  </si>
  <si>
    <t>SAP 재고이전처리(센터출하/외주센터출하)정상여부 확인 WMS -&gt; SAP IF 전송</t>
  </si>
  <si>
    <t>센터출하25</t>
  </si>
  <si>
    <t>외주직출02</t>
  </si>
  <si>
    <t>외주직출03</t>
  </si>
  <si>
    <t>외주직출04</t>
  </si>
  <si>
    <t>외주직출05</t>
  </si>
  <si>
    <t>외주직출06</t>
  </si>
  <si>
    <t>외주직출07</t>
  </si>
  <si>
    <t>외주직출08</t>
  </si>
  <si>
    <t>외주직출09</t>
  </si>
  <si>
    <t>외주직출10</t>
  </si>
  <si>
    <t>SAP 납품처리(외주직출) 정상여부 확인 WMS -&gt; SAP IF 전송</t>
  </si>
  <si>
    <t>외주직출11</t>
  </si>
  <si>
    <t>외주직출12</t>
  </si>
  <si>
    <t>출하B2C10</t>
  </si>
  <si>
    <t>출하B2C11</t>
  </si>
  <si>
    <t>출하B2C12</t>
  </si>
  <si>
    <t>출하B2C13</t>
  </si>
  <si>
    <t>출하B2C14</t>
  </si>
  <si>
    <t>통합테스트 수정 및 요청사항</t>
    <phoneticPr fontId="1" type="noConversion"/>
  </si>
  <si>
    <t>NO</t>
    <phoneticPr fontId="1" type="noConversion"/>
  </si>
  <si>
    <t>요청일자</t>
    <phoneticPr fontId="1" type="noConversion"/>
  </si>
  <si>
    <t>요청자</t>
    <phoneticPr fontId="1" type="noConversion"/>
  </si>
  <si>
    <t>메뉴</t>
  </si>
  <si>
    <t>유형
(오류,사양변경,개발)</t>
    <phoneticPr fontId="1" type="noConversion"/>
  </si>
  <si>
    <t>수정 및 요청사항</t>
    <phoneticPr fontId="1" type="noConversion"/>
  </si>
  <si>
    <t>처리일자</t>
  </si>
  <si>
    <t>담당자</t>
  </si>
  <si>
    <t>우선순위</t>
    <phoneticPr fontId="1" type="noConversion"/>
  </si>
  <si>
    <t>수정내용</t>
  </si>
  <si>
    <t>비고</t>
  </si>
  <si>
    <t>2024. 11. 11</t>
  </si>
  <si>
    <t>최정은</t>
  </si>
  <si>
    <t>거래처</t>
  </si>
  <si>
    <t>사양변경</t>
  </si>
  <si>
    <t>수정팝업 활성화</t>
  </si>
  <si>
    <t>우광현</t>
  </si>
  <si>
    <t>2024. 11. 12</t>
  </si>
  <si>
    <t>재고실사일정등록</t>
  </si>
  <si>
    <t>일부창고만 선택 등록 가능하게 수정 (현재는 센터기준으로 전체 생성만 가능) - 창고별 추가</t>
  </si>
  <si>
    <t>2024. 11. 29</t>
    <phoneticPr fontId="1" type="noConversion"/>
  </si>
  <si>
    <t>김정훈</t>
  </si>
  <si>
    <t>재고실사등록</t>
  </si>
  <si>
    <t>재고실사표양식 0일경우 -으로 표시 &amp; 1000단위 ,표시</t>
  </si>
  <si>
    <t>2024. 11. 15</t>
  </si>
  <si>
    <t>모든 숫자 0 =&gt; '-' 처리 및 콤마(,) 처리</t>
  </si>
  <si>
    <t>메뉴바</t>
  </si>
  <si>
    <t>순서변경(입고관리,출고관리,재고관리,반품관리,재고조회,재고실사,기준정보,시스템정보)</t>
  </si>
  <si>
    <t>2024. 11. 14</t>
  </si>
  <si>
    <t>김연수</t>
  </si>
  <si>
    <t>SKU라벨출력</t>
  </si>
  <si>
    <t>오류</t>
  </si>
  <si>
    <t>출력양식 구매오더번호 하단에 "@lotNoBold01"멘트삭제, 구매오더번호 정렬, 폰트UP</t>
  </si>
  <si>
    <t>2024. 11. 13</t>
  </si>
  <si>
    <t>신재섭</t>
  </si>
  <si>
    <t>세트작업</t>
  </si>
  <si>
    <t>상태값 헷갈림, 세트작업 완료인지 해체작업 완료인지 구분없이 상태값 완료 - ST03(해체작업) 추가</t>
  </si>
  <si>
    <t>2024. 11. 18</t>
  </si>
  <si>
    <t>배광열</t>
  </si>
  <si>
    <t>입고처리</t>
  </si>
  <si>
    <t>외주센터 입고 시 입고위치를 지금 기증창고 -&gt; 예외창고로 변경</t>
  </si>
  <si>
    <t>김희정</t>
  </si>
  <si>
    <t>I/F</t>
  </si>
  <si>
    <t>품목마스터, 거래처마스터 내용변경 시 I/F오류 메시지 표시 (현재는 표시안됨)</t>
  </si>
  <si>
    <t>수입입고 처리취소 시 예정 상태가 아닌 취소로 상태 변경 -&gt; 예정 리스트에서 아예 삭제해서 중복안되게 - 사양 확인 필요</t>
  </si>
  <si>
    <t>I/F 사양에 따른 수정</t>
  </si>
  <si>
    <t>품목</t>
  </si>
  <si>
    <t>품목마스터 갱신 시 활성화 상태 변경 안됨</t>
  </si>
  <si>
    <t>입고처리 강제확정 시 품목상태값 현재는 처리중 -&gt; 확정으로 변경</t>
  </si>
  <si>
    <t>품목마스터 입수량 반영안됨 (모닝에서 입수와 박스수량 컬럼을 반대로 줌)</t>
  </si>
  <si>
    <t>입고예정</t>
  </si>
  <si>
    <t>개발</t>
  </si>
  <si>
    <t>외주센터입고 시, 재고지정 팝업(돋보기) 추가.
+ 버튼으로 row 추가 =&gt; 품목 입력 =&gt; 지정 팝업 오픈 시 해당 외주센터의 재고 목록 =&gt; 선택한 재고 row에 세팅(수량만 수정 가능하도록)
BL_NO 추가
정렬 조건 : SKU 생성일, BL_NO, 구매오더</t>
  </si>
  <si>
    <t>고문경</t>
  </si>
  <si>
    <t>거래처정보 마스터 정보값 연동 안됨</t>
  </si>
  <si>
    <t>공통</t>
  </si>
  <si>
    <t>현재 그리드 체크되어있는 항목만 처리하는 부분 그리드 전체로 변경
(추가한 row의 값이 입력 안되어 있으면 validation 체크 안하고 넘기지도 않기)</t>
  </si>
  <si>
    <t>2024. 11. 26</t>
  </si>
  <si>
    <t>팝업에 사업장, 센터 있는 경우 헤더의 사업장, 센터값 안따라가는 부분 모두 확인 후 수정</t>
  </si>
  <si>
    <t>전민주</t>
  </si>
  <si>
    <t>수정완료</t>
  </si>
  <si>
    <t>confirmSwal 띄울 때 버튼이 '취소', '취소'인 경우 '처리취소'로 변경</t>
  </si>
  <si>
    <t>컬럼 정렬 확인 필요 - 품목은 왼쪽 정렬, 숫자는 오른쪽 정렬 (출고지시 팝업 하단 그리드)</t>
  </si>
  <si>
    <t>날짜 기입 시 6글자만 기입해도 적용되도록 수정 (ex. 241113 기입하면, 20241113으로 나오게)</t>
  </si>
  <si>
    <t>2024. 11. 20</t>
  </si>
  <si>
    <t>일괄업로드 양식 밑에 주의사항 등의 글자 위로 올리고 헤더 부분 수정 못하게 잠그기</t>
  </si>
  <si>
    <t>일괄업로드 사업장 예시가 [매크로통상] 으로 되어있는데 [매크로통상㈜] 로 변경</t>
  </si>
  <si>
    <t>요청수량 기입 안할 시 화면에서 막기</t>
  </si>
  <si>
    <t>센터입고의 경우 취소 불가능하도록 수정, 센터입고 취소하려면 "센터입고 취소 불가능" 메세지 띄우기</t>
  </si>
  <si>
    <t>반품처리</t>
  </si>
  <si>
    <t>매장반품의 경우도 ERP에서 재고이전으로 처리되어 마감취소 시 상태값을 "취소"로 변경</t>
  </si>
  <si>
    <t>재고조회(품목별)</t>
  </si>
  <si>
    <t>조회조건에 창고 추가</t>
  </si>
  <si>
    <t>가용재고, 예약재고 확인 필요, 소비기한별탭 상세 페이지 소비기한 조건 추가함</t>
  </si>
  <si>
    <t>재고조회(품목별) 검색조건의 물류센터 '전체' 옵션 추가</t>
  </si>
  <si>
    <t>출고지시</t>
  </si>
  <si>
    <t>출고지시 출하예정일 짤리지 않도록 수정</t>
  </si>
  <si>
    <t>지시팝업 가로길이 늘림</t>
  </si>
  <si>
    <t>이다희</t>
  </si>
  <si>
    <t>출고지시서 출력할 때 비고란에 납품처 우선, 없을 경우 거래처</t>
  </si>
  <si>
    <t>수정 완료</t>
  </si>
  <si>
    <t>출고지시' 버튼 '출고지시 생성'으로 명칭 변경</t>
  </si>
  <si>
    <t>출고처리</t>
  </si>
  <si>
    <t>업체라벨 라벨 별로 전체체크 가능하도록 변경</t>
  </si>
  <si>
    <t>용지명 셀 클릭시 동일 용지 전체 선택</t>
  </si>
  <si>
    <t>출하예정</t>
  </si>
  <si>
    <t>납품처 더블 클릭 시 납품처 변경할수있는 팝업 개발 필요</t>
  </si>
  <si>
    <t>기능 추가</t>
  </si>
  <si>
    <t>출하예정 그리드 거래처, 납품처 필터 추가</t>
  </si>
  <si>
    <t>필터 추가</t>
  </si>
  <si>
    <t>보충지시 생성 시 이동지시서 비고 납품처 넣기</t>
  </si>
  <si>
    <t>비고 세팅 수정</t>
  </si>
  <si>
    <t>출하처리</t>
  </si>
  <si>
    <t>센터출하 제외 출하처리 취소 시 상태값 "취소" 로 변경 - 부분처리 후 취소 포함</t>
  </si>
  <si>
    <t>품목명 한줄로 보이도록 수정</t>
  </si>
  <si>
    <t>라벨용지</t>
  </si>
  <si>
    <t>업체라벨 전체적으로 검토해서 바코드 사이즈 크게 변경</t>
  </si>
  <si>
    <t>업체라벨 납품일을 출력일로 변경</t>
  </si>
  <si>
    <t>출력일로 변경</t>
  </si>
  <si>
    <t>재고조회, 출고처리, 출하처리)</t>
  </si>
  <si>
    <t>SKU라벨 생성시 구매오더 가운데 정렬 및 크게 변경</t>
  </si>
  <si>
    <t>SKU라벨 출력 시 밀림 현상 발생</t>
  </si>
  <si>
    <t>이마트-평택 라벨용지 밀림</t>
  </si>
  <si>
    <t>I/F 송신에러 팝업에서 강제확정 버튼 유저도 보이도록 수정</t>
  </si>
  <si>
    <t>FE, BE 조건 주석</t>
  </si>
  <si>
    <t>FE, BE 둘다 수정해야됌</t>
  </si>
  <si>
    <t>거래처/품목</t>
  </si>
  <si>
    <t>거래처/품목을 사용으로 변경하는 경우 WMS업데이트 되지 않음</t>
  </si>
  <si>
    <t>라벨품목</t>
  </si>
  <si>
    <t>라벨품목 삭제 버튼 슈퍼계정에만 보이는것이 아니라 수정권한이 있는 사람도 보이도록 수정</t>
  </si>
  <si>
    <t>엑셀일괄업로드 시 에러인 사유 표시 안함 - 이상없음</t>
  </si>
  <si>
    <t>PDA 공통</t>
  </si>
  <si>
    <t>PDA 위치 조회 공통에서 바코드 스캔 시 like 검색됨.
ex) 바코드값이 8인 바코드를 찍으면 하나가 선택되는게 아니라 8이 포함된 모든 위치가 검색됨
=&gt; 기본 위치바코드 자동 생성 규칙 변경: 그룹코드 + '-' + locSeq6자리</t>
  </si>
  <si>
    <t>PDA 필터 버튼 등 잘 안눌려서 크기 크게 변경</t>
  </si>
  <si>
    <t>PDA 공통코드 못불러오는듯함 - PDA 입고목록에서 필터 눌렀는데 공통코드 관련해서 표시가 안되는 현상 발생 - 비고에 사진 첨부
공통코드 가져오는 부분이 느린듯함.... 1층에서 확인했을때 불러오긴 했지만 느림 - 첫번째로 들어갔을때는 안뜨다가 다시 누르니까 뜸
로그인할때 공통코드 조회해오고 페이지마다 공통코드 조회 하지않고, 소켓으로 변경사항 적용시키기</t>
  </si>
  <si>
    <t>2024. 11. 19</t>
  </si>
  <si>
    <t>김희정, 
우광현</t>
  </si>
  <si>
    <t>PDA 처리, 실패시 음성 필요</t>
  </si>
  <si>
    <t>사업장 색깔 고정 (매크로통상 : 주황색, 성준코퍼레이션 : 초록색)</t>
  </si>
  <si>
    <t>PDA 재고이동</t>
  </si>
  <si>
    <t>재고이동 품목에서 위치 스캔 시 해당 위치에 재고가 1개면 바로 처리팝업 띄우기
+ 위치 스캔 시 위치가 1일 때 열지 않기, 처리 후에는 위치 검색 초기화</t>
  </si>
  <si>
    <t>품목 기준월수 표시</t>
  </si>
  <si>
    <t>내용 확인 필요</t>
  </si>
  <si>
    <t>상세 배치번호 생성이 잘못됨. ERP 배치번호 '-'에서 '@'로 수정</t>
  </si>
  <si>
    <t>안희선</t>
  </si>
  <si>
    <t>보충이동지시 위치 정렬순서 확인 (ex. A12-03-05A, A11-03-05B, A11-04-03A 인 경우 A12-03-05A, A11-04-03A, A11-03-05B)</t>
  </si>
  <si>
    <t>보충계산시 재고 정렬 순서 변경
1. 품명 2. 소비기한 빠른 3. 위치역순</t>
  </si>
  <si>
    <t>출고처리 요청자명 표시. 없으면 reg_id</t>
  </si>
  <si>
    <t>출고지시 요청자명 표시. 없으면 reg_id</t>
  </si>
  <si>
    <t>전메뉴</t>
  </si>
  <si>
    <t>전체 팝업 스크롤 최대한 안나오게 컬럼표시 되도록 수정
- 할 수 있을만큼 수정</t>
  </si>
  <si>
    <t>I/F 처리내역에서 파일로 다운받을 수 있도록 요청</t>
    <phoneticPr fontId="1" type="noConversion"/>
  </si>
  <si>
    <t>I/F 처리 실패 시 I/F 에러 표시하도록 수정</t>
  </si>
  <si>
    <t>임대원</t>
  </si>
  <si>
    <t>반품예정</t>
  </si>
  <si>
    <t>헤더 그리드에 송장번호 추가</t>
  </si>
  <si>
    <t>추가완료</t>
  </si>
  <si>
    <t>PDA 반품</t>
  </si>
  <si>
    <t>반품예정 목록의 사업장 옆에 체크핀 표시(반품H에 송장번호 존재할 시 표시)</t>
  </si>
  <si>
    <t>출하예정 하단에 품목수 총합계 푸터 추가</t>
  </si>
  <si>
    <t>손정민</t>
  </si>
  <si>
    <t>소비기한별 탭에서 format을 과재고조회 형태로 변경(센터 컬럼 제외) - 조회 시 물류센터 빼고 조회하도록 수정</t>
  </si>
  <si>
    <t>출하예정 헤더그리드 높이 줄이고, 품목 그리드 높이 늘리도록 수정</t>
  </si>
  <si>
    <t>PDA 실사</t>
  </si>
  <si>
    <t>재고실사 하는데 소비기한은 같고 구매오더는 다른 품목이 있는데 같은 소비기한의 구매오더 처럼 표시 됨, 이 경우 재고차이 보기 버튼도 기능이 안됨</t>
  </si>
  <si>
    <t>재고실사 사업장 가지고 가는게 조금 이상한것같음 기흥과 용인이 섞여서 됨, (처음에 기흥이었다가 용인으로 바꾸고 검색 후 용인으로 들어갔는데 창고 스캔했는데 기흥창고가 검색됨)</t>
  </si>
  <si>
    <t>출하수량 0으로 바뀌면 확정으로 바뀌는 로직 제거 (예정으로 두기)</t>
  </si>
  <si>
    <t>재고이동요청</t>
  </si>
  <si>
    <t>재고이동요청 재고정렬 순서 변경(소비기한 짧은 순, 창고, 위치역순)</t>
  </si>
  <si>
    <t>SKU변경</t>
  </si>
  <si>
    <t>SKU변경시에 SKU라벨 발행 버튼 있으면 좋겠다</t>
  </si>
  <si>
    <t>예외출고</t>
  </si>
  <si>
    <t>예외출고 하단 그리드로 내릴때 디폴트로 전체수량 넣기</t>
  </si>
  <si>
    <t>이동상태값 [지정] 추가. 헤더에서 요청건 눌러서 지정으로 상태 변경. 지정해제 불가. 헤더 지정 시 품목 변경 불가 =&gt; 처리버튼만 보이게 수정</t>
  </si>
  <si>
    <t>2024. 11. 27</t>
  </si>
  <si>
    <t>재고이동요청(PDA)</t>
  </si>
  <si>
    <t>검색필터 상태 기본값 변경 (지정)</t>
  </si>
  <si>
    <t>납품처변경팝업에서 디폴트로 조회. (거래처명 -&gt; 납품처명으로 변경)</t>
  </si>
  <si>
    <t>자동 검색 및 컬럼명 변경</t>
  </si>
  <si>
    <t>거래처의 납품처는 사용/미사용 변경 가능하게 수정</t>
  </si>
  <si>
    <t>거래처구분 수정가능하게 변경</t>
  </si>
  <si>
    <t>판매출하(B)인데 ERP문서번호가 OW로 시작하는 경우는 납품처 대표업체 체크 불필요</t>
  </si>
  <si>
    <t>체크 로직 수정</t>
  </si>
  <si>
    <t>제품조회(품목별)상세 : ERP업로드용 엑셀다운로드 시 검색된 결과값에 해당되는 재고리스트만 엑셀다운로드, ERP 창고코드 별로 나오도록</t>
  </si>
  <si>
    <t>업체라벨출력</t>
  </si>
  <si>
    <t>업체라벨출력 미리보기 에러발생 -&gt; 에러메시지 스샷 전달완료</t>
  </si>
  <si>
    <t>이은복</t>
  </si>
  <si>
    <t>출하예정 -&gt;예정취소 시 인터페이스오류 알림(IF오류내역) 버튼 없음 -&gt; 생성예정</t>
  </si>
  <si>
    <t>예외출고, 출하처리</t>
  </si>
  <si>
    <t>구매반품, 출하처리에 강제확정 기능 생성</t>
  </si>
  <si>
    <t>거래처정보 납품처 관리 사용, 미사용 WMS에서 변경할 수 있게 수정</t>
  </si>
  <si>
    <t>출하준비/취소, 출하중단/취소 =&gt; 버튼 분리 및 순서를 시나리오에 맞게 변경</t>
  </si>
  <si>
    <t>세트작업 재고이동요청 시 WMS에 재고가 없는 경우 안내창 띄우기</t>
  </si>
  <si>
    <t>출하예정 헤더 그리드 다운로드 추가</t>
  </si>
  <si>
    <t>출하취소 시 취소자 추가 (DECODE로 취소 상태일때만 mod_id로 user_nm 보여주기)</t>
  </si>
  <si>
    <t>처리 및 처리취소 할때 기처리건 섞여있는 경우 기처리건 제외하고 처리할건지 물어보고 나머지 처리하기
ex) 출고처리 일부 처리된 상태에서 전체 체크 후 처리 클릭 시, "처리된 품목을 제외하고 처리하시겠습니까?" 물어보고 제외해서 처리하기</t>
  </si>
  <si>
    <t xml:space="preserve">출고처리, 출하처리 적용 
</t>
  </si>
  <si>
    <t>이택</t>
  </si>
  <si>
    <t>재고이동요청 상태컬럼 유형다음으로 옮기고 "상태" =&gt; "처리상태" 명칭 변경</t>
  </si>
  <si>
    <t>PDA 송장</t>
  </si>
  <si>
    <t>품목검증시 화면에서 마지막 품목 스캔 시 자동으로 처리하기</t>
  </si>
  <si>
    <t>PDA 출고</t>
  </si>
  <si>
    <t>PDA 출고처리 속도 개선 여부 확인 요청</t>
    <phoneticPr fontId="1" type="noConversion"/>
  </si>
  <si>
    <t>2024. 11. 28</t>
    <phoneticPr fontId="1" type="noConversion"/>
  </si>
  <si>
    <t>출고처리 안하고 출하처리시 메세지가 "가용재고가 부족합니다" 로 뜨는 버그</t>
  </si>
  <si>
    <t>메세지를 "출하창고에 재고가 부족합니다"로 수정</t>
  </si>
  <si>
    <t>I/F에러내역</t>
  </si>
  <si>
    <t>I/F에러내역 팝업에 처리자 보여주면 좋겠음</t>
  </si>
  <si>
    <t>PDA</t>
  </si>
  <si>
    <t>PDA ID 저장 동작하지 않음</t>
  </si>
  <si>
    <t>이영인</t>
  </si>
  <si>
    <t>I/F 에러내역</t>
  </si>
  <si>
    <t>I/F 출하 강제 확정 추가</t>
  </si>
  <si>
    <t>PDA 반품처리 할때 SKU 생성 소비기한 수정 불가능하도록 변경
일반반품 - 그냥 input 
매장반품 - 캘린더</t>
  </si>
  <si>
    <t>매장반품 I/F에서 소비기한 NOT NULL 로 바꾸기</t>
  </si>
  <si>
    <t>상품정보 -&gt; 입수량 : Obox박스입수량, 상품내입수량 : IBox 입수량으로 명칭변경</t>
  </si>
  <si>
    <t>사용자 메인센터 설정(아주천천히):캐시값으로 들어가서 캐시삭제하면 초기화, 다른피씨로 자리옮겨서 설정값이 다르면 적용 안됨</t>
  </si>
  <si>
    <t>2024. 11. 28</t>
    <phoneticPr fontId="1" type="noConversion"/>
  </si>
  <si>
    <t>거래처 팝업 사이즈 작게 나옴
- 늘렸는데 모자르다고 하면 항목 재배치하기</t>
  </si>
  <si>
    <t>출고지시 내릴때 해더단위로 내리기 (현재는 센터출하만 헤더단위로 내려짐)</t>
  </si>
  <si>
    <t>2024.11.18</t>
  </si>
  <si>
    <t>사용자</t>
  </si>
  <si>
    <t>사용/미사용 검색조건 추가</t>
  </si>
  <si>
    <t>출하중단 상단 히스토리 배경색으로 변경</t>
  </si>
  <si>
    <t>사용자코드 등록값 해당메뉴에 반영안됨 ( 품목소분류,중분류 품목정보미반영, 위치관리그룹 위치정보 미반영)</t>
  </si>
  <si>
    <t>47번 동일</t>
  </si>
  <si>
    <t>상품정보 엣지브라우저에서 정렬 안맞게 나옴</t>
  </si>
  <si>
    <t>위치</t>
  </si>
  <si>
    <t>위치라벨 미리보기화면 &amp; 출력화면 정렬 안맞음</t>
  </si>
  <si>
    <t>사용자 조회조건 사용/미사용 추가</t>
  </si>
  <si>
    <t>사용자 수정 팝업도 확인 필요</t>
  </si>
  <si>
    <t>출고지시 위치 수동지정 시 지정수량이 해당재고의 전체 재고수량으로 입력됨 -&gt; 요청수량만큼만 입력되게 수정</t>
  </si>
  <si>
    <t>출고지시수정 시 지정된 위치를 배는건 되는데 다른위치로 선택바꾸는건 안됨 : 지정가능위치에 아예 안뜸</t>
  </si>
  <si>
    <t>클라이언트 확인 필요_그대로 사용</t>
  </si>
  <si>
    <t>사용자코드</t>
  </si>
  <si>
    <t>사용자코드 위치관리그룹 -&gt; 용인, 기흥, 외주 센터별로 나눠서 등록하게</t>
  </si>
  <si>
    <t>구분없이 기존과 동일하게 사용</t>
  </si>
  <si>
    <t>출하처리리스트 목록에 지시유형 항목 추가-&gt;출하지시서 출력 시 선택사항 기본, 지시유형별이 
있는데 해당리스트에 지시유형이 안써있어서 헷갈림 -&gt; 출하 그리드에 지시유형 컬럼 추가</t>
  </si>
  <si>
    <t>2024. 11. 22</t>
  </si>
  <si>
    <t>지시유형 컬럼 추가</t>
  </si>
  <si>
    <t>재고조정</t>
  </si>
  <si>
    <t>재고조정 예정상태 품목등록 후 저장 없음 -&gt; 품목등록 후 처리안하고 다른문서 클릭하면 등록했던 품목 없어짐-&gt;예정상태 저장기능 필요 (예정상태에서 계속해서 품목 추가 및 수정필요)</t>
  </si>
  <si>
    <t>개발 불가</t>
  </si>
  <si>
    <t>재고조정 신규품목 등록 행 복제 추가</t>
  </si>
  <si>
    <t>2024. 11. 25</t>
  </si>
  <si>
    <t>재고조정 신규품목 동일유통기한이지만 구매오더 다른데 계속 품목중복 에러메시지</t>
  </si>
  <si>
    <t>클라이언트 확인 필요
신재섭 : 해봤는데 정상처리 됨. 개발DB AD2024110500003
어떤 증상이 나왔는지 물어보기(로컬에서 시뮬레이션 함)</t>
  </si>
  <si>
    <t>재고조회(기간별)</t>
  </si>
  <si>
    <t>기간별조회 : 11/13-11/17 11011-233 조회 시 B창고에서 출하창고 이동은 왜 표시안되나?</t>
  </si>
  <si>
    <t>출하예정에서 재고확인 후 부족재고 다른소비기한 재고확인해서 예정정보변경하고싶은데 소비기한을 하나만 찍어야함. 소비기한 미입력 시 해당재고 해당창고의 재고 다 보여주면 안되나요?</t>
  </si>
  <si>
    <t>설명 필요</t>
  </si>
  <si>
    <t>수불조회</t>
  </si>
  <si>
    <t>수불조회 조회조건 중 수불상세 동일항목이 반복해서 목록에 표시 됨</t>
  </si>
  <si>
    <t>재고조정 신규품목 엑셀일괄업로드 마지막행 계속 업로드 안됨</t>
  </si>
  <si>
    <t>재고조정 시 차이수량임ㄴ 계산해서 넣는게 너무 헷갈리는데 그냥 총 수량으로 입력하면 알아서 차이수량만 처리해주시면 안되나요?</t>
  </si>
  <si>
    <t>변경 불가</t>
  </si>
  <si>
    <t>예외출고 신규등록 시 제품선택 : 상단에 선택가능한 리스트에서 더블클릭하면 아래 선택창으로 보내면 안되나요? 체크후 화살표 누르려니 번거로워요</t>
  </si>
  <si>
    <t>일단 예외출고 적용 예정</t>
  </si>
  <si>
    <t>재고실사비교</t>
  </si>
  <si>
    <t>재고실사등록에서 일부 품목 수량변경하여 재고차이비교 -&gt; 재고조정요청 -&gt; 재고조정처리완료했는데 해당 건 수정사항 없이 그대로 재고차이비교 -&gt; 재고조정요청 -&gt; 재고조정처리 반복해서 처리가능함 (재고조정 1번 처리되면 수정안되게 막아주세요)</t>
  </si>
  <si>
    <t>기흥센터 기타입고 예정문서 IW2024111700006 -&gt; 입고처리화면 소비기한이 입고예정 소비기한과 다름</t>
  </si>
  <si>
    <t>날짜 포맷 유효성 검사 추가</t>
  </si>
  <si>
    <t>구매반품 예정정보 요청자 32로 찍히는건 뭘까요? 소비기한, 구매오더 정보가 하나도 안 와서 처리하려면 재고를 찾아서 선택해야함</t>
  </si>
  <si>
    <t>i/f 오류</t>
  </si>
  <si>
    <t>예외출고 재고선택 팝업창 소비기한 달력체크밖에 안됨 -&gt; 일자 수동입력도 가능하게 해주세요</t>
  </si>
  <si>
    <t>납품처인 경우 사용/미사용 수정 가능하게 변경</t>
  </si>
  <si>
    <t>세트구성</t>
  </si>
  <si>
    <t>검색조건에 사용여부 추가</t>
  </si>
  <si>
    <t>그리드 remote 품목 조회에서 사업장 및 사용여부를 넘기지 않아 전부 표시되는 버그</t>
  </si>
  <si>
    <t>품목 추가 시 사업장 세팅, 사용여부는 'N'으로 설정되어 있었음</t>
  </si>
  <si>
    <t>선반라벨 추가 개발</t>
  </si>
  <si>
    <t>품목비고(라인비고) 추가</t>
  </si>
  <si>
    <t>전체선택하여 담당자 지정하면 에러 남</t>
  </si>
  <si>
    <t>기타입고 처리 시 비고 전송</t>
  </si>
  <si>
    <t>예외출고 처리 시 비고 전송</t>
  </si>
  <si>
    <t>사용자 권한범위 수정 시 적용 안됨</t>
  </si>
  <si>
    <t>외주출하(쿠팡/컬리) 엑셀 다운로드</t>
  </si>
  <si>
    <t>품목번호 알면 해당화면에서 바로 등록하는지 가능한지 검토</t>
  </si>
  <si>
    <t>불가</t>
  </si>
  <si>
    <t>입고처리 시 같은 품목, 같은 소비기한이 있는 경우 같은 품목 같은 소비기한은 나누되, 다른품목 같은 소비기한은 묶어서 처리묶음번호 생성 요청</t>
  </si>
  <si>
    <t>판매출하 C 주문번호 길어서 수신 받아지지 않음</t>
  </si>
  <si>
    <t>사업장</t>
  </si>
  <si>
    <t>사업장 수정 후 저장하면 상단 사용자정보에 해당사업장명으로 바뀜
사업장 변경 시 우측화면에 사업장에 등록된 센터 정보가 안나옴</t>
  </si>
  <si>
    <t>2024. 11. 21</t>
  </si>
  <si>
    <t>출하예정 SAP =&gt; WMS 연동 시 15개 품목 중 1개 품목 소비기한 값이 없음 =&gt; 오류메세지 어떤 품목의 필수값이 없는지 표시 요청</t>
  </si>
  <si>
    <t>신규엑셀등록시 맨 첫번째 재고 누락</t>
  </si>
  <si>
    <t>실사재고등록</t>
  </si>
  <si>
    <t>재고실사표 출력시 랙 단위로 안쪼개짐</t>
  </si>
  <si>
    <t>체크박스 페이징 단위 =&gt; 전체로 변경 (저장시 다건 가능한지도 체크)</t>
  </si>
  <si>
    <t>체크박스 페이징 단위 =&gt; 전체로 변경 (재고조정요청시 다건 가능한지도 체크)</t>
  </si>
  <si>
    <t>출하지시서 업체명이 나누어지지 않음</t>
  </si>
  <si>
    <t>입고예정 헤더 컬럼 최초작성자, 비고 추가 (상세내역에서는 최초작성자, 최종작성자, 비고 모두)</t>
  </si>
  <si>
    <t>재고부족 팝업 정렬 순서 변경. 1순위: 재고부족, 2순위: 품목번호</t>
  </si>
  <si>
    <t>재고부족 팝업 조건에 맞지 않는 재고가 있을 경우 상세 사유 자세히 보여주기
- 재고가 0일 경우: 재고가 존재하지 않습니다
- 유통기한이 작은게 있을 때: 유통기한에 맞는 재고가 존재하지 않습니다
- 유통기한이 기입 유통기한보다 큰게 존재할 경우: 미래의 유통기한이 존재합니다</t>
  </si>
  <si>
    <t>출고지시생성 팝업에서 기흥센터일 때 출하유형, 판매출하(B)를 기본으로</t>
  </si>
  <si>
    <t>출고지시 수정팝업에서 삭제 못하도록 버튼 삭제</t>
  </si>
  <si>
    <t>입고/반품처리</t>
  </si>
  <si>
    <t>반품처리 라벨 출력 시 품목별 출력 그리드 작성(기본 수량 OBox 올림 처리)(출고처리라벨 팝업 참고)</t>
  </si>
  <si>
    <t>추가완료(요청수량 / 입수량)</t>
  </si>
  <si>
    <t>반품 이력조회 검색 시 최근 6개월 내역 보여질 때 최근 건이 상위인지 정렬 확인하기</t>
  </si>
  <si>
    <t>실사요청건 D1 삭제 안됌 및 헤더 삭제시 에러 발생</t>
  </si>
  <si>
    <t>재고조회</t>
  </si>
  <si>
    <t>사업장 권한인 경우 품목조회 안됨</t>
  </si>
  <si>
    <t>PDA 반품처리에서 품목 수정 버튼 너무 작아서 누르기 힘듦</t>
  </si>
  <si>
    <t>수정이미지 교체 예정. 지금은 대충 만들어서 붙임</t>
  </si>
  <si>
    <t>처리중인 상태여도 품목 수정 가능하게 요청</t>
  </si>
  <si>
    <t>고문경, 김희정</t>
  </si>
  <si>
    <t>소비기한별 탭 소비기한 초과된건 빨간줄로 안뜸</t>
  </si>
  <si>
    <t>[재고조회 품목별] 소비기한별 탭에 잔여일 추가(잔여일 : 오늘날짜 기준으로 소비기한 남은 일수)</t>
  </si>
  <si>
    <t>등록할 때 요청자명 추가</t>
  </si>
  <si>
    <t>헤더 그리드에 요청자명, 비고 표시</t>
  </si>
  <si>
    <t>PDA재고실사</t>
  </si>
  <si>
    <t>실사 품목 스캔 시 포커스 이동될 때 맨아래 항목일 경우 저장 버튼에 가려져서 포커스 이동된지 확인 안됨</t>
  </si>
  <si>
    <t>포커스 이동 대상이 해당 품목의 재고가 아닌 해당 품목 전체로 잡혀있어서 발생했던 오류. 포커스 이동 대상을 변경하여 해결.</t>
  </si>
  <si>
    <t>재고실사표 실사수량 컬럼 공란으로 출력 + 사이즈 조정(여백 줄이기)</t>
  </si>
  <si>
    <t>TEST서버 템플릿 수정완료</t>
  </si>
  <si>
    <t>레드마인 #13031 참조</t>
  </si>
  <si>
    <t>재고실사비고</t>
  </si>
  <si>
    <t>완료인 경우 재고조정요청 못하게 막기</t>
  </si>
  <si>
    <t>외주출하</t>
  </si>
  <si>
    <t>[외주출하] 신규 메뉴 개발</t>
  </si>
  <si>
    <t>개발 완료</t>
  </si>
  <si>
    <t>출하유형이 판매출하B, C 인데 납품처가 공란일 경우 출하준비 못하게 막기</t>
  </si>
  <si>
    <t>출하지시서</t>
  </si>
  <si>
    <t>출하지시서 세로로 변경</t>
  </si>
  <si>
    <t>판매출하(B), 기타출하(B), 외주직출인 경우 납품처가 없으면 I/F 에러 던지기</t>
  </si>
  <si>
    <t>전체</t>
  </si>
  <si>
    <t>구매오더 자동으로 생성하는 경우 앞에 사업장에 따라 MC/SJ 붙이기</t>
  </si>
  <si>
    <t>사용자 등록 후 등록팝업 열었을 시 등록/수정버튼이 보이지 않음</t>
  </si>
  <si>
    <t>김나경</t>
  </si>
  <si>
    <t>ERP번호, 주문번호, ERP피킹번호, 출하번호 그리드 필터 추가</t>
  </si>
  <si>
    <t>송장번호 검색조건 추가</t>
  </si>
  <si>
    <t>ERP피킹번호, 주문번호 검색조건 추가 및 헤더그리드 추가</t>
  </si>
  <si>
    <t>품목 사용여부 비활성화</t>
  </si>
  <si>
    <t>박지연</t>
  </si>
  <si>
    <t>출고예정</t>
  </si>
  <si>
    <t>재고확인 출고번호별 엑셀 다운로드 추가</t>
  </si>
  <si>
    <t>송장처리</t>
  </si>
  <si>
    <t>송장번호 스캔 시 중단인건 체크하기</t>
  </si>
  <si>
    <t>송장처리 실패 유형 음성 나누기 (출하중단, 기처리 ....)</t>
  </si>
  <si>
    <t>매뉴얼</t>
  </si>
  <si>
    <t>화면 바뀐부분들 매뉴얼 최신화 부탁드립니다</t>
  </si>
  <si>
    <t>ZIN</t>
    <phoneticPr fontId="1" type="noConversion"/>
  </si>
  <si>
    <t>입고유형 바뀌지 않음</t>
  </si>
  <si>
    <t>출고지시서 세로형 추가. 출고지시서 출력 시 가로형/세로형 옵션 추가</t>
  </si>
  <si>
    <t xml:space="preserve"> </t>
    <phoneticPr fontId="1" type="noConversion"/>
  </si>
  <si>
    <t>품목번호, 소비기한, 창고, 위치 순으로 정렬</t>
  </si>
  <si>
    <t>외주센터의 창고인 경우 출하창고 유효성 검사 제외</t>
  </si>
  <si>
    <t>외주센터입고인 경우 재고 선택시 복수로 선택&amp; 재고 수량 기입할 수 있도록 변경</t>
    <phoneticPr fontId="1" type="noConversion"/>
  </si>
  <si>
    <t>헤더에 작업창고 선택(기흥/용인인 경우 디폴트 작업창고 선택). 처리시 헤더에 있는 창고 끌고와서, 구성품이랑 세트품 둘 다 해당 창고 안에서 이루어지도록 수정</t>
  </si>
  <si>
    <t>재고조회(창고별)</t>
  </si>
  <si>
    <t>창고별 상세팝업에서 엑셀다운로드 기능 추가</t>
  </si>
  <si>
    <t>출하지시서 납품처/자동화 구분으로 묶어서 출력(업체 다건인 경우 외 N건으로 표시)</t>
  </si>
  <si>
    <t>출고지시서</t>
  </si>
  <si>
    <t>다른 유형의 출고지시서에도 비고가 보이도록 수정</t>
  </si>
  <si>
    <t>김나영</t>
  </si>
  <si>
    <t>총합계 보이도록 수정</t>
  </si>
  <si>
    <t>헤더그리드의 품목수 옆에 총품목수량 보이도록 수정</t>
  </si>
  <si>
    <t>위치에서 검색조건 기입 후 전체 삭제하면 위치 삭제 안되는 버그 수정</t>
  </si>
  <si>
    <t>2024. 11. 28</t>
  </si>
  <si>
    <t>국내/수입입고인 경우 구매오더 앞에 MC/SJ 붙이기</t>
  </si>
  <si>
    <t>합계</t>
    <phoneticPr fontId="1" type="noConversion"/>
  </si>
  <si>
    <t>유형</t>
  </si>
  <si>
    <t>건수</t>
  </si>
  <si>
    <t>완료</t>
  </si>
  <si>
    <t>진행율</t>
    <phoneticPr fontId="1" type="noConversion"/>
  </si>
  <si>
    <t>합계</t>
  </si>
  <si>
    <t>통합테스트 수행보고서(WMS)</t>
    <phoneticPr fontId="1" type="noConversion"/>
  </si>
  <si>
    <t>업무영역</t>
    <phoneticPr fontId="1" type="noConversion"/>
  </si>
  <si>
    <t>테스트ID</t>
    <phoneticPr fontId="1" type="noConversion"/>
  </si>
  <si>
    <t>항목</t>
    <phoneticPr fontId="1" type="noConversion"/>
  </si>
  <si>
    <t>처리내용</t>
    <phoneticPr fontId="1" type="noConversion"/>
  </si>
  <si>
    <t>확인결과
(O,△,X)</t>
    <phoneticPr fontId="1" type="noConversion"/>
  </si>
  <si>
    <t>오류내용</t>
    <phoneticPr fontId="1" type="noConversion"/>
  </si>
  <si>
    <t>오류조치일자</t>
    <phoneticPr fontId="1" type="noConversion"/>
  </si>
  <si>
    <t>조치결과확인</t>
    <phoneticPr fontId="1" type="noConversion"/>
  </si>
  <si>
    <t>기준정보01</t>
    <phoneticPr fontId="1" type="noConversion"/>
  </si>
  <si>
    <t>창고 조회</t>
    <phoneticPr fontId="1" type="noConversion"/>
  </si>
  <si>
    <t>WEB</t>
    <phoneticPr fontId="1" type="noConversion"/>
  </si>
  <si>
    <t>조회 조건은 정상 구현 되는지?</t>
    <phoneticPr fontId="1" type="noConversion"/>
  </si>
  <si>
    <t>창고 등록</t>
    <phoneticPr fontId="1" type="noConversion"/>
  </si>
  <si>
    <t>등록/수정은 정상 구현 되는지?</t>
    <phoneticPr fontId="1" type="noConversion"/>
  </si>
  <si>
    <t>O</t>
    <phoneticPr fontId="1" type="noConversion"/>
  </si>
  <si>
    <t>위치</t>
    <phoneticPr fontId="1" type="noConversion"/>
  </si>
  <si>
    <t>최정은</t>
    <phoneticPr fontId="1" type="noConversion"/>
  </si>
  <si>
    <t>출력가능하나 정렬안맞음 / 미리보기와 실출력물 정렬이 다름</t>
    <phoneticPr fontId="1" type="noConversion"/>
  </si>
  <si>
    <t>사용자</t>
    <phoneticPr fontId="1" type="noConversion"/>
  </si>
  <si>
    <t>조회조건 사용/미사용 없음</t>
    <phoneticPr fontId="1" type="noConversion"/>
  </si>
  <si>
    <t>사용자</t>
    <phoneticPr fontId="1" type="noConversion"/>
  </si>
  <si>
    <t>추가/수정 기능은 정상 구현 되는지? (삭제는 안됨)</t>
    <phoneticPr fontId="1" type="noConversion"/>
  </si>
  <si>
    <t>비밀번호 초기화</t>
    <phoneticPr fontId="1" type="noConversion"/>
  </si>
  <si>
    <t>비밀번호초기화 기능은 정상 구현 되는지?</t>
    <phoneticPr fontId="1" type="noConversion"/>
  </si>
  <si>
    <t>O</t>
    <phoneticPr fontId="1" type="noConversion"/>
  </si>
  <si>
    <t>SAP</t>
    <phoneticPr fontId="1" type="noConversion"/>
  </si>
  <si>
    <t>품목분류 WMS와 SAP 값이 다름</t>
    <phoneticPr fontId="1" type="noConversion"/>
  </si>
  <si>
    <t>품목</t>
    <phoneticPr fontId="1" type="noConversion"/>
  </si>
  <si>
    <t>수신내역 확인 및 품목조회</t>
    <phoneticPr fontId="1" type="noConversion"/>
  </si>
  <si>
    <t>WMS 품목 정보 수신 내용 확인</t>
    <phoneticPr fontId="1" type="noConversion"/>
  </si>
  <si>
    <t>품목정보 항목이름변경, 기준월수항목표시추가</t>
    <phoneticPr fontId="1" type="noConversion"/>
  </si>
  <si>
    <t>품목 조회</t>
    <phoneticPr fontId="1" type="noConversion"/>
  </si>
  <si>
    <t>PDA</t>
    <phoneticPr fontId="1" type="noConversion"/>
  </si>
  <si>
    <t>조회 조건별 제품정보 제대로 나오는가?</t>
    <phoneticPr fontId="1" type="noConversion"/>
  </si>
  <si>
    <t>배광열</t>
    <phoneticPr fontId="1" type="noConversion"/>
  </si>
  <si>
    <t>품목 조회</t>
    <phoneticPr fontId="1" type="noConversion"/>
  </si>
  <si>
    <t>품목속성 수정 후 저장</t>
    <phoneticPr fontId="1" type="noConversion"/>
  </si>
  <si>
    <t>품목 수정 기능 정상 구현 되는지?</t>
    <phoneticPr fontId="1" type="noConversion"/>
  </si>
  <si>
    <t>최정은</t>
    <phoneticPr fontId="1" type="noConversion"/>
  </si>
  <si>
    <t>거래처</t>
    <phoneticPr fontId="1" type="noConversion"/>
  </si>
  <si>
    <t>SAP</t>
    <phoneticPr fontId="1" type="noConversion"/>
  </si>
  <si>
    <t>거래처</t>
    <phoneticPr fontId="1" type="noConversion"/>
  </si>
  <si>
    <t>수신내역 확인 및 거래처 조회</t>
    <phoneticPr fontId="1" type="noConversion"/>
  </si>
  <si>
    <t>WMS 거래처 정보 수신 내용 확인</t>
    <phoneticPr fontId="1" type="noConversion"/>
  </si>
  <si>
    <t>거래처 정보 입력 후 저장</t>
    <phoneticPr fontId="1" type="noConversion"/>
  </si>
  <si>
    <t>WEB</t>
    <phoneticPr fontId="1" type="noConversion"/>
  </si>
  <si>
    <t>비고, 대표업체 자동화구분 및 적용품목 기능은 정상 구현 되는지?</t>
    <phoneticPr fontId="1" type="noConversion"/>
  </si>
  <si>
    <t>안희선</t>
    <phoneticPr fontId="1" type="noConversion"/>
  </si>
  <si>
    <t>라벨용지 등록</t>
    <phoneticPr fontId="1" type="noConversion"/>
  </si>
  <si>
    <t>라벨용지 설정 기능은 정상 구현 되는지?</t>
    <phoneticPr fontId="1" type="noConversion"/>
  </si>
  <si>
    <t>안희선</t>
    <phoneticPr fontId="1" type="noConversion"/>
  </si>
  <si>
    <t>라벨품목 조회</t>
    <phoneticPr fontId="1" type="noConversion"/>
  </si>
  <si>
    <t>조회 조건별로 결과값이 제대로 나오는가?</t>
    <phoneticPr fontId="1" type="noConversion"/>
  </si>
  <si>
    <t>라벨품목</t>
    <phoneticPr fontId="1" type="noConversion"/>
  </si>
  <si>
    <t>라벨품목 등록</t>
    <phoneticPr fontId="1" type="noConversion"/>
  </si>
  <si>
    <t>추가/수정/삭제 기능은 정상 구현 되는지?</t>
    <phoneticPr fontId="1" type="noConversion"/>
  </si>
  <si>
    <t>라벨품목 일괄등록</t>
    <phoneticPr fontId="1" type="noConversion"/>
  </si>
  <si>
    <t>세트구성</t>
    <phoneticPr fontId="1" type="noConversion"/>
  </si>
  <si>
    <t>세트구성 조회</t>
    <phoneticPr fontId="1" type="noConversion"/>
  </si>
  <si>
    <t>국내입고01</t>
    <phoneticPr fontId="1" type="noConversion"/>
  </si>
  <si>
    <t>입고예정</t>
    <phoneticPr fontId="1" type="noConversion"/>
  </si>
  <si>
    <t>SAP 구매오더 입력 후 연동 -&gt; WMS IF 전송 확인</t>
    <phoneticPr fontId="1" type="noConversion"/>
  </si>
  <si>
    <t>WMS 입고예정 정보 수신 내용 확인 (국내입고)</t>
    <phoneticPr fontId="1" type="noConversion"/>
  </si>
  <si>
    <t>입고예정</t>
    <phoneticPr fontId="1" type="noConversion"/>
  </si>
  <si>
    <t>입고 취소 처리</t>
    <phoneticPr fontId="1" type="noConversion"/>
  </si>
  <si>
    <t xml:space="preserve">입고 취소 기능은 정상구현되는지? </t>
    <phoneticPr fontId="1" type="noConversion"/>
  </si>
  <si>
    <t>입고 취소 처리</t>
    <phoneticPr fontId="1" type="noConversion"/>
  </si>
  <si>
    <t>SAP 구매오더 취소처리 정상여부 확인 WMS -&gt; SAP IF 전송</t>
    <phoneticPr fontId="1" type="noConversion"/>
  </si>
  <si>
    <t>입고처리</t>
    <phoneticPr fontId="1" type="noConversion"/>
  </si>
  <si>
    <t>SKU생성 및 라벨 발행</t>
    <phoneticPr fontId="1" type="noConversion"/>
  </si>
  <si>
    <t>입고처리</t>
    <phoneticPr fontId="1" type="noConversion"/>
  </si>
  <si>
    <t>예외출고</t>
    <phoneticPr fontId="1" type="noConversion"/>
  </si>
  <si>
    <t>SAP에서 구매반품등록</t>
    <phoneticPr fontId="1" type="noConversion"/>
  </si>
  <si>
    <t>SAP 반품처리 정상여부 확인 SAP -&gt; WMS IF 전송</t>
    <phoneticPr fontId="1" type="noConversion"/>
  </si>
  <si>
    <t>요청자코드 32? / 구매오더 소비기한 연결정보 하나도 안 옴</t>
    <phoneticPr fontId="1" type="noConversion"/>
  </si>
  <si>
    <t>예외출고</t>
    <phoneticPr fontId="1" type="noConversion"/>
  </si>
  <si>
    <t>구매반품 취소</t>
    <phoneticPr fontId="1" type="noConversion"/>
  </si>
  <si>
    <t>SAP 구매반품요청 마감 확인</t>
    <phoneticPr fontId="1" type="noConversion"/>
  </si>
  <si>
    <t>구매반품 처리 및 처리취소</t>
    <phoneticPr fontId="1" type="noConversion"/>
  </si>
  <si>
    <t>SAP 구매반품 예외처리 및 취소</t>
    <phoneticPr fontId="1" type="noConversion"/>
  </si>
  <si>
    <t>예외출고 처리(구매반품)</t>
    <phoneticPr fontId="1" type="noConversion"/>
  </si>
  <si>
    <t>구매반품 처리취소</t>
    <phoneticPr fontId="1" type="noConversion"/>
  </si>
  <si>
    <t xml:space="preserve">구매반품처리취소 기능은 정상구현되는지? </t>
    <phoneticPr fontId="1" type="noConversion"/>
  </si>
  <si>
    <t>SAP 구매반품 처리취소 정상여부 확인 WMS -&gt; SAP IF 전송</t>
    <phoneticPr fontId="1" type="noConversion"/>
  </si>
  <si>
    <t>재고이동</t>
    <phoneticPr fontId="1" type="noConversion"/>
  </si>
  <si>
    <t>재고이동 처리</t>
    <phoneticPr fontId="1" type="noConversion"/>
  </si>
  <si>
    <t>PDA</t>
    <phoneticPr fontId="1" type="noConversion"/>
  </si>
  <si>
    <t>재고이동 처리는 정상처리 되는지?</t>
    <phoneticPr fontId="1" type="noConversion"/>
  </si>
  <si>
    <t>강제확정 처리</t>
    <phoneticPr fontId="1" type="noConversion"/>
  </si>
  <si>
    <t>센터/기타입고01</t>
    <phoneticPr fontId="1" type="noConversion"/>
  </si>
  <si>
    <t>입고예정 정보 등록(외주센터입고:아미-&gt;기흥, 천일-&gt;기흥)</t>
    <phoneticPr fontId="1" type="noConversion"/>
  </si>
  <si>
    <t>입고예정 정보 등록(기타입고:샘플,행사,교환,소분,기타)</t>
    <phoneticPr fontId="1" type="noConversion"/>
  </si>
  <si>
    <t>입고예정 품목의 추가/삭제 기능은 구현되는지? (기타입고)</t>
    <phoneticPr fontId="1" type="noConversion"/>
  </si>
  <si>
    <t>SAP에서 재고이동요청 등록(센터입고:용인-&gt;기흥)</t>
    <phoneticPr fontId="1" type="noConversion"/>
  </si>
  <si>
    <t>SKU생성 및 라벨 발행</t>
    <phoneticPr fontId="1" type="noConversion"/>
  </si>
  <si>
    <t>SKU생성/생성취소, 라벨 발행 및 출력은 정상 처리되는지?</t>
    <phoneticPr fontId="1" type="noConversion"/>
  </si>
  <si>
    <t>입고처리 시 정상수량, 불량수량 및 식검수량을 등록</t>
    <phoneticPr fontId="1" type="noConversion"/>
  </si>
  <si>
    <t>입고처리 시 입고상태/수불/재고는 정상등록 되는지?</t>
    <phoneticPr fontId="1" type="noConversion"/>
  </si>
  <si>
    <t>배광열</t>
    <phoneticPr fontId="1" type="noConversion"/>
  </si>
  <si>
    <t>SAP 재고이동 처리 정상여부 확인 WMS -&gt; SAP IF 전송(재고이전생성)</t>
    <phoneticPr fontId="1" type="noConversion"/>
  </si>
  <si>
    <t>SAP에서 재고이동 처리 확인(센터입고)</t>
    <phoneticPr fontId="1" type="noConversion"/>
  </si>
  <si>
    <t>SAP 기타출고 처리 정상여부 확인 WMS -&gt; SAP IF 전송(기타출고생성)</t>
    <phoneticPr fontId="1" type="noConversion"/>
  </si>
  <si>
    <t>SAP에서 기타입고 처리 확인(기타입고:샘플,행사,교환,기타)</t>
    <phoneticPr fontId="1" type="noConversion"/>
  </si>
  <si>
    <t>입고처리(센터입고)</t>
    <phoneticPr fontId="1" type="noConversion"/>
  </si>
  <si>
    <t>센터입고예정리스트 확인 및 입고처리 정상 구현?</t>
    <phoneticPr fontId="1" type="noConversion"/>
  </si>
  <si>
    <t>임대원</t>
    <phoneticPr fontId="1" type="noConversion"/>
  </si>
  <si>
    <t>SAP 재고이전처리(센터입고)정상여부 확인 WMS -&gt; SAP IF 전송</t>
    <phoneticPr fontId="1" type="noConversion"/>
  </si>
  <si>
    <t>이다술</t>
    <phoneticPr fontId="1" type="noConversion"/>
  </si>
  <si>
    <t>입고처리(기타입고)</t>
    <phoneticPr fontId="1" type="noConversion"/>
  </si>
  <si>
    <t>기타입고예정리스트 확인 및 입고처리 정상 구현?</t>
    <phoneticPr fontId="1" type="noConversion"/>
  </si>
  <si>
    <t>SAP 입고 문서생성 (기타입고)정상여부 확인 WMS -&gt; SAP IF 전송</t>
    <phoneticPr fontId="1" type="noConversion"/>
  </si>
  <si>
    <t>이다술</t>
    <phoneticPr fontId="1" type="noConversion"/>
  </si>
  <si>
    <t>수입입고01</t>
    <phoneticPr fontId="1" type="noConversion"/>
  </si>
  <si>
    <t>SAP 입고PO입력 후 SAP -&gt; WMS IF 전송 확인</t>
    <phoneticPr fontId="1" type="noConversion"/>
  </si>
  <si>
    <t>WMS 입고예정 정보 수신 내용 확인 (수입입고)</t>
    <phoneticPr fontId="1" type="noConversion"/>
  </si>
  <si>
    <t>반품01</t>
    <phoneticPr fontId="1" type="noConversion"/>
  </si>
  <si>
    <t>반품예정</t>
    <phoneticPr fontId="1" type="noConversion"/>
  </si>
  <si>
    <t>SAP 반품요청 입력 후 SAP -&gt; WMS IF 전송 확인</t>
    <phoneticPr fontId="1" type="noConversion"/>
  </si>
  <si>
    <t>김아람</t>
    <phoneticPr fontId="1" type="noConversion"/>
  </si>
  <si>
    <t>SAP 웹사이트(필수값입력체크) -&gt; SAP 재고이동요청 연동 -&gt; WMS IF 전송 확인</t>
    <phoneticPr fontId="1" type="noConversion"/>
  </si>
  <si>
    <t>김아람</t>
    <phoneticPr fontId="1" type="noConversion"/>
  </si>
  <si>
    <t>반품예정</t>
    <phoneticPr fontId="1" type="noConversion"/>
  </si>
  <si>
    <t>WMS 입고예정 정보 수신 내용 확인 (반품예정)</t>
    <phoneticPr fontId="1" type="noConversion"/>
  </si>
  <si>
    <t>반품취소</t>
    <phoneticPr fontId="1" type="noConversion"/>
  </si>
  <si>
    <t xml:space="preserve">반품예정 취소 기능은 정상구현되는지? </t>
    <phoneticPr fontId="1" type="noConversion"/>
  </si>
  <si>
    <t>SAP 반품처리 정상여부 확인 WMS -&gt; SAP IF 전송, SAP 반품요청 문서취소확인</t>
    <phoneticPr fontId="1" type="noConversion"/>
  </si>
  <si>
    <t>반품처리</t>
    <phoneticPr fontId="1" type="noConversion"/>
  </si>
  <si>
    <t>반품처리(판매출하C)</t>
    <phoneticPr fontId="1" type="noConversion"/>
  </si>
  <si>
    <t>반품처리 시 반품상태/수불/재고는 정상등록 되는지?</t>
    <phoneticPr fontId="1" type="noConversion"/>
  </si>
  <si>
    <t>흐름도 변경/ 수정예정</t>
    <phoneticPr fontId="1" type="noConversion"/>
  </si>
  <si>
    <t>반품처리(판매출하B)</t>
    <phoneticPr fontId="1" type="noConversion"/>
  </si>
  <si>
    <t>반품처리(판매출하C)</t>
    <phoneticPr fontId="1" type="noConversion"/>
  </si>
  <si>
    <t>반품처리 취소(판매출하C)</t>
    <phoneticPr fontId="1" type="noConversion"/>
  </si>
  <si>
    <t>반품처리 취소 시 반품상태/수불/재고는 정상등록 되는지?</t>
    <phoneticPr fontId="1" type="noConversion"/>
  </si>
  <si>
    <t>반품처리 취소(판매출하B)</t>
    <phoneticPr fontId="1" type="noConversion"/>
  </si>
  <si>
    <t>반품마감 처리 시 반품상태 정상등록 되는지?</t>
    <phoneticPr fontId="1" type="noConversion"/>
  </si>
  <si>
    <t>반품마감 / 반품마감 취소(판매출하B)</t>
    <phoneticPr fontId="1" type="noConversion"/>
  </si>
  <si>
    <t>SAP 반품처리 정상여부 확인 WMS -&gt; SAP IF 전송(반품요청마감, 반품생성)</t>
    <phoneticPr fontId="1" type="noConversion"/>
  </si>
  <si>
    <t>SAP 재고이전 처리 정상여부 확인 WMS -&gt; SAP IF 전송(재고이전요청마감, 재고이전생성)</t>
    <phoneticPr fontId="1" type="noConversion"/>
  </si>
  <si>
    <t>재고41</t>
    <phoneticPr fontId="1" type="noConversion"/>
  </si>
  <si>
    <t>수불조회</t>
    <phoneticPr fontId="1" type="noConversion"/>
  </si>
  <si>
    <t>리포트 조회</t>
    <phoneticPr fontId="1" type="noConversion"/>
  </si>
  <si>
    <t>조회조건 및 결과값 정상작동?</t>
    <phoneticPr fontId="1" type="noConversion"/>
  </si>
  <si>
    <t>조회조건 : 수불상세 동일항목 반복표시</t>
    <phoneticPr fontId="1" type="noConversion"/>
  </si>
  <si>
    <t>재고01</t>
    <phoneticPr fontId="1" type="noConversion"/>
  </si>
  <si>
    <t>재고이동요청</t>
    <phoneticPr fontId="1" type="noConversion"/>
  </si>
  <si>
    <t>재고이동 요청 등록</t>
    <phoneticPr fontId="1" type="noConversion"/>
  </si>
  <si>
    <t>창고/위치 지정 및 수량지정 기능은 정상 구현되는지?</t>
    <phoneticPr fontId="1" type="noConversion"/>
  </si>
  <si>
    <t>재고이동요청</t>
    <phoneticPr fontId="1" type="noConversion"/>
  </si>
  <si>
    <t>이동처리 기능은 정상 구현되는지?(수불, 재고 확인)</t>
    <phoneticPr fontId="1" type="noConversion"/>
  </si>
  <si>
    <t>이동처리 기능은 정상 구현되는지?(수불, 재고 확인)</t>
    <phoneticPr fontId="1" type="noConversion"/>
  </si>
  <si>
    <t>이동지시서 출력</t>
    <phoneticPr fontId="1" type="noConversion"/>
  </si>
  <si>
    <t>이동지시서는 정상 출력되는지?</t>
    <phoneticPr fontId="1" type="noConversion"/>
  </si>
  <si>
    <t>SAP에서 재고이전 처리 확인</t>
    <phoneticPr fontId="1" type="noConversion"/>
  </si>
  <si>
    <t>SAP 재고이전처리 정상여부 확인 WMS -&gt; SAP IF 전송(재고이전요청마감,재고이전생성)</t>
    <phoneticPr fontId="1" type="noConversion"/>
  </si>
  <si>
    <t>품목바코드 / 위치바코드 스캔 후 재고이동 처리</t>
    <phoneticPr fontId="1" type="noConversion"/>
  </si>
  <si>
    <t>SAP 재고이전처리 정상여부 확인 WMS -&gt; SAP IF 전송(재고이전생성)</t>
    <phoneticPr fontId="1" type="noConversion"/>
  </si>
  <si>
    <t>재고조회</t>
    <phoneticPr fontId="1" type="noConversion"/>
  </si>
  <si>
    <t>품목바코드 / 위치바코드 스캔 후 재고수량 확인</t>
    <phoneticPr fontId="1" type="noConversion"/>
  </si>
  <si>
    <t>품목바코드 &amp; 위치바코드 스캔 시 품목/재고/위치 정보가 정상으로 표시 되는지?</t>
    <phoneticPr fontId="1" type="noConversion"/>
  </si>
  <si>
    <t>재고조정</t>
    <phoneticPr fontId="8" type="noConversion"/>
  </si>
  <si>
    <t>재고조정 등록</t>
    <phoneticPr fontId="1" type="noConversion"/>
  </si>
  <si>
    <t>재고조정 헤더정보 추가/수정/삭제 기능은 정상 구현되는지?</t>
    <phoneticPr fontId="1" type="noConversion"/>
  </si>
  <si>
    <t>재고조정 품목 등록</t>
    <phoneticPr fontId="1" type="noConversion"/>
  </si>
  <si>
    <t>품목추가시 +조정, -조정 기능은 정상 구현되는지?</t>
    <phoneticPr fontId="1" type="noConversion"/>
  </si>
  <si>
    <t>재고엑셀등록 및 신규엑셀등록 처리</t>
    <phoneticPr fontId="1" type="noConversion"/>
  </si>
  <si>
    <t>재고일괄등록 및 신규재고 등록 기능은 정상 구현되는지?</t>
    <phoneticPr fontId="1" type="noConversion"/>
  </si>
  <si>
    <t>재고조정 처리</t>
    <phoneticPr fontId="1" type="noConversion"/>
  </si>
  <si>
    <t>재고조정 기능은 정상 구현되는지?(수불, 재고 확인)</t>
    <phoneticPr fontId="1" type="noConversion"/>
  </si>
  <si>
    <t>예외출고 등록(폐기/기증/소분출고/식약청출고/기타출고)</t>
    <phoneticPr fontId="1" type="noConversion"/>
  </si>
  <si>
    <t>예외출고 헤더정보 및 품목 추가/수정/삭제 기능은 정상 구현되는지?</t>
    <phoneticPr fontId="1" type="noConversion"/>
  </si>
  <si>
    <t>SAP 반품처리 정상여부 확인 SAP -&gt; WMS IF 전송</t>
    <phoneticPr fontId="1" type="noConversion"/>
  </si>
  <si>
    <t>예외출고 처리 및 처리취소</t>
    <phoneticPr fontId="1" type="noConversion"/>
  </si>
  <si>
    <t>예외출고 처리 시 상태/수불/재고는 정상등록 되는지?</t>
    <phoneticPr fontId="1" type="noConversion"/>
  </si>
  <si>
    <t>예외출고 처리(폐기/기증/소분/식약청/기타)</t>
    <phoneticPr fontId="1" type="noConversion"/>
  </si>
  <si>
    <t>재고부족으로 전송실패 시 오류메시지에 해당품목번호 찍어주세요. 현재는 라인넘버로만 나옴 / 기타출고 역처리 시 2개 품목 중 1개 품목만 입고생성함</t>
    <phoneticPr fontId="1" type="noConversion"/>
  </si>
  <si>
    <t>SKU변경</t>
    <phoneticPr fontId="8" type="noConversion"/>
  </si>
  <si>
    <t>SKU변경 등록</t>
    <phoneticPr fontId="1" type="noConversion"/>
  </si>
  <si>
    <t>SKU변경 품목 조회 정상 구현되는지?</t>
    <phoneticPr fontId="1" type="noConversion"/>
  </si>
  <si>
    <t>SKU변경</t>
    <phoneticPr fontId="8" type="noConversion"/>
  </si>
  <si>
    <t>SKU변경 기능은 정상 구현되는지?(수불,재고확인)</t>
    <phoneticPr fontId="1" type="noConversion"/>
  </si>
  <si>
    <t>SKU변경 처리</t>
    <phoneticPr fontId="1" type="noConversion"/>
  </si>
  <si>
    <t>세트작업</t>
    <phoneticPr fontId="8" type="noConversion"/>
  </si>
  <si>
    <t>세트작업 등록</t>
    <phoneticPr fontId="1" type="noConversion"/>
  </si>
  <si>
    <t>재고이동 요청</t>
    <phoneticPr fontId="1" type="noConversion"/>
  </si>
  <si>
    <t>재고이동요청 기능은 정상 구현되는지?(재고이동요청 확인)</t>
    <phoneticPr fontId="1" type="noConversion"/>
  </si>
  <si>
    <t>세트작업 처리</t>
    <phoneticPr fontId="1" type="noConversion"/>
  </si>
  <si>
    <t>세트작업 처리 기능은 정상 구현되는지?(수불,재고확인)</t>
    <phoneticPr fontId="1" type="noConversion"/>
  </si>
  <si>
    <t>라벨출력 기능은 정상 구현되는지?</t>
    <phoneticPr fontId="1" type="noConversion"/>
  </si>
  <si>
    <t>출력물 미리보기 수정필요</t>
    <phoneticPr fontId="1" type="noConversion"/>
  </si>
  <si>
    <t>세트작업 해체</t>
    <phoneticPr fontId="1" type="noConversion"/>
  </si>
  <si>
    <t>세트작업 해체처리 기능은 정상 구현되는지?(수불,재고확인)</t>
    <phoneticPr fontId="1" type="noConversion"/>
  </si>
  <si>
    <t>재고실사 일정등록</t>
    <phoneticPr fontId="8" type="noConversion"/>
  </si>
  <si>
    <t>실사일정등록을 정상 구현되는지?</t>
    <phoneticPr fontId="1" type="noConversion"/>
  </si>
  <si>
    <t>창고별생성기능추가</t>
    <phoneticPr fontId="1" type="noConversion"/>
  </si>
  <si>
    <t>재고실사일정등록</t>
    <phoneticPr fontId="8" type="noConversion"/>
  </si>
  <si>
    <t>재고고정 기능은 정상 구현되는지?</t>
    <phoneticPr fontId="1" type="noConversion"/>
  </si>
  <si>
    <t>실사재고등록</t>
    <phoneticPr fontId="8" type="noConversion"/>
  </si>
  <si>
    <t>저장 기능은 정상 구현 되는지?</t>
    <phoneticPr fontId="1" type="noConversion"/>
  </si>
  <si>
    <t>실사재고등록</t>
    <phoneticPr fontId="8" type="noConversion"/>
  </si>
  <si>
    <t>이미 확인해서 재고조정 했는데도 계속 반복요청 됨</t>
    <phoneticPr fontId="1" type="noConversion"/>
  </si>
  <si>
    <t>재고실사</t>
    <phoneticPr fontId="8" type="noConversion"/>
  </si>
  <si>
    <t>실사 재고 등록</t>
    <phoneticPr fontId="8" type="noConversion"/>
  </si>
  <si>
    <t>실사 재고 등록</t>
    <phoneticPr fontId="8" type="noConversion"/>
  </si>
  <si>
    <t>재고실사비교</t>
    <phoneticPr fontId="8" type="noConversion"/>
  </si>
  <si>
    <t>재고실사비교 조회</t>
    <phoneticPr fontId="8" type="noConversion"/>
  </si>
  <si>
    <t>조회 조건은 정상 구현 되는지?</t>
    <phoneticPr fontId="1" type="noConversion"/>
  </si>
  <si>
    <t>재고조정 요청</t>
    <phoneticPr fontId="8" type="noConversion"/>
  </si>
  <si>
    <t>재고조정요청은 정상 구현 되는지?</t>
    <phoneticPr fontId="1" type="noConversion"/>
  </si>
  <si>
    <t>재고40</t>
    <phoneticPr fontId="1" type="noConversion"/>
  </si>
  <si>
    <t>과재고조회리포트 조회조건 및 결과값 확인</t>
    <phoneticPr fontId="1" type="noConversion"/>
  </si>
  <si>
    <t>손정민</t>
    <phoneticPr fontId="1" type="noConversion"/>
  </si>
  <si>
    <t>재고조회(품목별) 조회</t>
    <phoneticPr fontId="1" type="noConversion"/>
  </si>
  <si>
    <t>조회리포트 조회조건 및 결과값 확인</t>
    <phoneticPr fontId="1" type="noConversion"/>
  </si>
  <si>
    <t>재고조회 결과값 항목변경(재고수량)</t>
    <phoneticPr fontId="1" type="noConversion"/>
  </si>
  <si>
    <t>재고42</t>
    <phoneticPr fontId="1" type="noConversion"/>
  </si>
  <si>
    <t>재고조회(창고별) 조회</t>
    <phoneticPr fontId="1" type="noConversion"/>
  </si>
  <si>
    <t>재고43</t>
    <phoneticPr fontId="1" type="noConversion"/>
  </si>
  <si>
    <t>재고조회(기간별) 조회</t>
    <phoneticPr fontId="1" type="noConversion"/>
  </si>
  <si>
    <t>출하B2B01</t>
    <phoneticPr fontId="1" type="noConversion"/>
  </si>
  <si>
    <t>출하예정</t>
    <phoneticPr fontId="8" type="noConversion"/>
  </si>
  <si>
    <t>SAP에서 피킹지시서 할당 작성(외주직출)</t>
    <phoneticPr fontId="1" type="noConversion"/>
  </si>
  <si>
    <t>출하준비/취소 처리(외주직출)</t>
    <phoneticPr fontId="1" type="noConversion"/>
  </si>
  <si>
    <t>출하상태가 출하준비로 정상 구현되는지?</t>
    <phoneticPr fontId="1" type="noConversion"/>
  </si>
  <si>
    <t>출하처리</t>
    <phoneticPr fontId="27" type="noConversion"/>
  </si>
  <si>
    <t>출하처리 조회(외주직출)</t>
    <phoneticPr fontId="27" type="noConversion"/>
  </si>
  <si>
    <t>출하처리(외주직출)</t>
    <phoneticPr fontId="27" type="noConversion"/>
  </si>
  <si>
    <t>출하 처리 기능은 정상 구현되는지?(수불,재고)</t>
    <phoneticPr fontId="1" type="noConversion"/>
  </si>
  <si>
    <t>외주직출 출하처리는 왜 1개씩 처리해야하나요?</t>
    <phoneticPr fontId="1" type="noConversion"/>
  </si>
  <si>
    <t>출하취소 처리(외주직출)</t>
    <phoneticPr fontId="1" type="noConversion"/>
  </si>
  <si>
    <t>출하취소 기능은 정상 구현되는지?</t>
    <phoneticPr fontId="1" type="noConversion"/>
  </si>
  <si>
    <t>수신내역 확인 및 출하예정 조회</t>
    <phoneticPr fontId="1" type="noConversion"/>
  </si>
  <si>
    <t>WMS 출하예정 정보 수신 내용 확인 (판매출하B/기타출하B)</t>
    <phoneticPr fontId="1" type="noConversion"/>
  </si>
  <si>
    <t>재고확인</t>
    <phoneticPr fontId="1" type="noConversion"/>
  </si>
  <si>
    <t>재고확인 기능은 정상 구현되는지?</t>
    <phoneticPr fontId="1" type="noConversion"/>
  </si>
  <si>
    <t>출고지시</t>
    <phoneticPr fontId="8" type="noConversion"/>
  </si>
  <si>
    <t>출고지시 조회(판매출하B)</t>
    <phoneticPr fontId="1" type="noConversion"/>
  </si>
  <si>
    <t>출고지시 처리(판매출하B)</t>
    <phoneticPr fontId="1" type="noConversion"/>
  </si>
  <si>
    <t>위치자동지정 및 수동지정 기능은 구현되는지?</t>
    <phoneticPr fontId="1" type="noConversion"/>
  </si>
  <si>
    <t>출고지시 수정 기능은 구현되는지?</t>
    <phoneticPr fontId="1" type="noConversion"/>
  </si>
  <si>
    <t>출고지시취소 처리(판매출하B)</t>
    <phoneticPr fontId="1" type="noConversion"/>
  </si>
  <si>
    <t>출고지시 취소 기능은 구현되는지?</t>
    <phoneticPr fontId="1" type="noConversion"/>
  </si>
  <si>
    <t>출고처리</t>
    <phoneticPr fontId="27" type="noConversion"/>
  </si>
  <si>
    <t>출고지시서 출력(판매출하B)</t>
    <phoneticPr fontId="1" type="noConversion"/>
  </si>
  <si>
    <t>출고지시서 출력 잘 되는가?(선입고창고위치표시 확인)</t>
    <phoneticPr fontId="1" type="noConversion"/>
  </si>
  <si>
    <t>출고처리(판매출하B)</t>
    <phoneticPr fontId="1" type="noConversion"/>
  </si>
  <si>
    <t>출고 처리 기능은 정상 구현되는지?(수불,재고)</t>
    <phoneticPr fontId="1" type="noConversion"/>
  </si>
  <si>
    <t>출고처리 기능확인(재고/수불반영, 선입고창고 화면표시 확인)</t>
    <phoneticPr fontId="1" type="noConversion"/>
  </si>
  <si>
    <t>출고처리(판매출하B)</t>
    <phoneticPr fontId="27" type="noConversion"/>
  </si>
  <si>
    <t>출고 처리취소 기능은 정상 구현되는지?(수불,재고)</t>
    <phoneticPr fontId="1" type="noConversion"/>
  </si>
  <si>
    <t>출하처리 조회(판매출하B)</t>
    <phoneticPr fontId="27" type="noConversion"/>
  </si>
  <si>
    <t>출하처리(판매출하B)</t>
    <phoneticPr fontId="27" type="noConversion"/>
  </si>
  <si>
    <t>출하중단/중단해체 처리 (판매출하B)</t>
    <phoneticPr fontId="1" type="noConversion"/>
  </si>
  <si>
    <t>출하중단/중단취소 기능은 정상 구현되는지?</t>
    <phoneticPr fontId="1" type="noConversion"/>
  </si>
  <si>
    <t>출하취소 처리(판매출하B)</t>
    <phoneticPr fontId="1" type="noConversion"/>
  </si>
  <si>
    <t>배분조회</t>
    <phoneticPr fontId="27" type="noConversion"/>
  </si>
  <si>
    <t>유통, 품목바코드 스캔 시 조건에 따라 조회 되는지?</t>
    <phoneticPr fontId="1" type="noConversion"/>
  </si>
  <si>
    <t>출하 처리 기능은 정상 구현되는지?(수불/재고반영, 배치변경, 위치변경 출고 처리)</t>
    <phoneticPr fontId="1" type="noConversion"/>
  </si>
  <si>
    <t>출하처리(기타출하B)</t>
    <phoneticPr fontId="27" type="noConversion"/>
  </si>
  <si>
    <t>출하처리 취소(판매출하B)</t>
    <phoneticPr fontId="27" type="noConversion"/>
  </si>
  <si>
    <t>출하 처리취소 기능은 구현되는지?(수불,재고)</t>
    <phoneticPr fontId="1" type="noConversion"/>
  </si>
  <si>
    <t>출하처리 취소(기타출하B)</t>
    <phoneticPr fontId="27" type="noConversion"/>
  </si>
  <si>
    <t>출하처리</t>
    <phoneticPr fontId="27" type="noConversion"/>
  </si>
  <si>
    <t>출하지시서 출력(판매출하B)</t>
    <phoneticPr fontId="27" type="noConversion"/>
  </si>
  <si>
    <t>출하지시서 생성은 구현 되는지? (버전 두개 확인)</t>
    <phoneticPr fontId="1" type="noConversion"/>
  </si>
  <si>
    <t>출하B2B29</t>
    <phoneticPr fontId="1" type="noConversion"/>
  </si>
  <si>
    <t>업체라벨 출력(판매출하B)</t>
    <phoneticPr fontId="27" type="noConversion"/>
  </si>
  <si>
    <t>업체별 라벨은 정상 출력은 가능한지?</t>
    <phoneticPr fontId="1" type="noConversion"/>
  </si>
  <si>
    <t>출하B2C01</t>
    <phoneticPr fontId="1" type="noConversion"/>
  </si>
  <si>
    <t>WMS 출하예정 정보 수신 내용 확인 (판매출하C/기타출하C)</t>
    <phoneticPr fontId="1" type="noConversion"/>
  </si>
  <si>
    <t>송장매핑</t>
    <phoneticPr fontId="1" type="noConversion"/>
  </si>
  <si>
    <t>송장매핑 엑셀업로드 기능은 정상 구현되는지?(용인센터)</t>
    <phoneticPr fontId="1" type="noConversion"/>
  </si>
  <si>
    <t>출하준비/취소 처리</t>
    <phoneticPr fontId="1" type="noConversion"/>
  </si>
  <si>
    <t>출하중단/중단해체 처리</t>
    <phoneticPr fontId="1" type="noConversion"/>
  </si>
  <si>
    <t>출하취소 처리</t>
    <phoneticPr fontId="1" type="noConversion"/>
  </si>
  <si>
    <t>출고처리 조회</t>
    <phoneticPr fontId="1" type="noConversion"/>
  </si>
  <si>
    <t>출고지시서 출력</t>
    <phoneticPr fontId="1" type="noConversion"/>
  </si>
  <si>
    <t>출고지시서 출력 기능은 구현되는지?</t>
    <phoneticPr fontId="1" type="noConversion"/>
  </si>
  <si>
    <t>출고처리</t>
    <phoneticPr fontId="1" type="noConversion"/>
  </si>
  <si>
    <t>출고처리(판매출하C)</t>
    <phoneticPr fontId="1" type="noConversion"/>
  </si>
  <si>
    <t>출하처리 조회</t>
    <phoneticPr fontId="27" type="noConversion"/>
  </si>
  <si>
    <t>출하 처리 기능은 정상 구현되는지?(수불,재고)</t>
    <phoneticPr fontId="1" type="noConversion"/>
  </si>
  <si>
    <t>송장처리(판매출하C)</t>
    <phoneticPr fontId="27" type="noConversion"/>
  </si>
  <si>
    <t>출하처리(판매출하C)</t>
    <phoneticPr fontId="27" type="noConversion"/>
  </si>
  <si>
    <t>출하처리 취소(판매출하C)</t>
    <phoneticPr fontId="27" type="noConversion"/>
  </si>
  <si>
    <t>출하처리(기타출하C)</t>
    <phoneticPr fontId="27" type="noConversion"/>
  </si>
  <si>
    <t>출하처리 취소(기타출하C)</t>
    <phoneticPr fontId="27" type="noConversion"/>
  </si>
  <si>
    <t>출하지시서 출력</t>
    <phoneticPr fontId="27" type="noConversion"/>
  </si>
  <si>
    <t>센터출하01</t>
    <phoneticPr fontId="1" type="noConversion"/>
  </si>
  <si>
    <t>수신내역 확인 및 출하예정 조회(센터출하)</t>
    <phoneticPr fontId="1" type="noConversion"/>
  </si>
  <si>
    <t>WMS 출하예정 정보 수신 내용 확인  (센터출하/외주센터출하)</t>
    <phoneticPr fontId="1" type="noConversion"/>
  </si>
  <si>
    <t>입고예정</t>
    <phoneticPr fontId="8" type="noConversion"/>
  </si>
  <si>
    <t>WMS 입고예정 정보 수신 내용 확인 (센터출하/외주센터출하)</t>
    <phoneticPr fontId="1" type="noConversion"/>
  </si>
  <si>
    <t>재고확인(센터출하)</t>
    <phoneticPr fontId="1" type="noConversion"/>
  </si>
  <si>
    <t>출하준비/취소 처리(센터출하)</t>
    <phoneticPr fontId="1" type="noConversion"/>
  </si>
  <si>
    <t>보충품목 조회 및 이동요청 기능은 구현되는지?(기흥센터)</t>
    <phoneticPr fontId="1" type="noConversion"/>
  </si>
  <si>
    <t>출하중단/중단해체 처리(센터출하)</t>
    <phoneticPr fontId="1" type="noConversion"/>
  </si>
  <si>
    <t>출하중단/중단해체 처리(센터출하)</t>
    <phoneticPr fontId="1" type="noConversion"/>
  </si>
  <si>
    <t>출하예정</t>
    <phoneticPr fontId="8" type="noConversion"/>
  </si>
  <si>
    <t>출하취소 처리(센터출하)</t>
    <phoneticPr fontId="1" type="noConversion"/>
  </si>
  <si>
    <t>출고지시 조회(센터출하)</t>
    <phoneticPr fontId="1" type="noConversion"/>
  </si>
  <si>
    <t>출고지시 조회(센터출하)</t>
    <phoneticPr fontId="1" type="noConversion"/>
  </si>
  <si>
    <t>출고지시 처리(센터출하)</t>
    <phoneticPr fontId="1" type="noConversion"/>
  </si>
  <si>
    <t>출고지시 생성 기능은 정상 구현되는지?(지시유형별)</t>
    <phoneticPr fontId="1" type="noConversion"/>
  </si>
  <si>
    <t>데이터가 별로 없어서..</t>
    <phoneticPr fontId="1" type="noConversion"/>
  </si>
  <si>
    <t>출고처리</t>
    <phoneticPr fontId="1" type="noConversion"/>
  </si>
  <si>
    <t>출고처리(센터출하)</t>
    <phoneticPr fontId="1" type="noConversion"/>
  </si>
  <si>
    <t>출하 처리 기능은 정상 구현되는지?(수불,재고) (센터출하/외주센터출하)</t>
    <phoneticPr fontId="1" type="noConversion"/>
  </si>
  <si>
    <t>출하처리 문서생성 정상반영여부(납품생성&amp;문서연결&amp;배치정보)</t>
    <phoneticPr fontId="1" type="noConversion"/>
  </si>
  <si>
    <t>출하처리 취소</t>
    <phoneticPr fontId="27" type="noConversion"/>
  </si>
  <si>
    <t>출하 처리취소 기능은 구현되는지?(수불,재고)</t>
    <phoneticPr fontId="1" type="noConversion"/>
  </si>
  <si>
    <t>출하처리 문서생성 정상반영여부(납품취소생성, 판매오더 미결)</t>
    <phoneticPr fontId="1" type="noConversion"/>
  </si>
  <si>
    <t>유형별 조회결과값이 항목추가</t>
    <phoneticPr fontId="1" type="noConversion"/>
  </si>
  <si>
    <t>외주직출01</t>
    <phoneticPr fontId="1" type="noConversion"/>
  </si>
  <si>
    <t>WMS 출하예정 정보 수신 내용 확인 (외주직출)</t>
    <phoneticPr fontId="1" type="noConversion"/>
  </si>
  <si>
    <t>출고번호 OW2024111400001 문서 출하취소 IF에러남</t>
    <phoneticPr fontId="1" type="noConversion"/>
  </si>
  <si>
    <t>출고지시 조회(판매출하c)</t>
    <phoneticPr fontId="1" type="noConversion"/>
  </si>
  <si>
    <t>출고지시 처리(판매출하c)</t>
    <phoneticPr fontId="1" type="noConversion"/>
  </si>
  <si>
    <t>출고지시수정 처리(판매출하c)</t>
    <phoneticPr fontId="1" type="noConversion"/>
  </si>
  <si>
    <t>출고지시취소 처리(판매출하c)</t>
    <phoneticPr fontId="1" type="noConversion"/>
  </si>
  <si>
    <t>출고지시 취소 기능은 구현되는지?</t>
    <phoneticPr fontId="1" type="noConversion"/>
  </si>
  <si>
    <t>7. 시스템정보</t>
    <phoneticPr fontId="1" type="noConversion"/>
  </si>
  <si>
    <t>시스템01</t>
    <phoneticPr fontId="1" type="noConversion"/>
  </si>
  <si>
    <t>시스템정보</t>
    <phoneticPr fontId="1" type="noConversion"/>
  </si>
  <si>
    <t>사용자권한</t>
    <phoneticPr fontId="1" type="noConversion"/>
  </si>
  <si>
    <t>사용자권한별 메뉴노출 및 기능정상확인</t>
    <phoneticPr fontId="1" type="noConversion"/>
  </si>
  <si>
    <t>합계</t>
    <phoneticPr fontId="1" type="noConversion"/>
  </si>
  <si>
    <t>오픈 이슈사항으로 이전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</si>
</sst>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2" formatCode="_-&quot;₩&quot;* #,##0_-;\-&quot;₩&quot;* #,##0_-;_-&quot;₩&quot;* &quot;-&quot;_-;_-@_-"/>
    <numFmt numFmtId="176" formatCode="0.0_ "/>
    <numFmt numFmtId="177" formatCode="yyyy/mm/dd;@"/>
    <numFmt numFmtId="178" formatCode="0_);[Red]\(0\)"/>
    <numFmt numFmtId="179" formatCode="#,##0_ "/>
    <numFmt numFmtId="180" formatCode="yyyy\-mm\-dd"/>
    <numFmt numFmtId="181" formatCode="0.0%"/>
    <numFmt numFmtId="182" formatCode="yyyy\.\ m\.\ d"/>
  </numFmts>
  <fonts count="3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6"/>
      <name val="맑은 고딕"/>
      <family val="3"/>
      <charset val="129"/>
      <scheme val="minor"/>
    </font>
    <font>
      <sz val="20"/>
      <name val="HY헤드라인M"/>
      <family val="1"/>
      <charset val="129"/>
    </font>
    <font>
      <b/>
      <sz val="20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28"/>
      <name val="HY헤드라인M"/>
      <family val="1"/>
      <charset val="129"/>
    </font>
    <font>
      <b/>
      <sz val="28"/>
      <name val="맑은 고딕"/>
      <family val="3"/>
      <charset val="129"/>
      <scheme val="minor"/>
    </font>
    <font>
      <b/>
      <u/>
      <sz val="14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0"/>
      <color rgb="FF000000"/>
      <name val="Arial"/>
      <family val="2"/>
    </font>
    <font>
      <sz val="11"/>
      <color rgb="FF000000"/>
      <name val="맑은 고딕"/>
      <family val="2"/>
      <scheme val="minor"/>
    </font>
    <font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rgb="FF00B0F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6"/>
      <color rgb="FF00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323848"/>
      <name val="맑은 고딕"/>
      <family val="3"/>
      <charset val="129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돋움"/>
      <family val="3"/>
      <charset val="129"/>
    </font>
    <font>
      <b/>
      <sz val="11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DC9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9" tint="0.79998168889431442"/>
        <bgColor rgb="FFD9EAD3"/>
      </patternFill>
    </fill>
    <fill>
      <patternFill patternType="solid">
        <fgColor theme="9" tint="0.79998168889431442"/>
        <bgColor theme="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8">
    <xf numFmtId="0" fontId="0" fillId="0" borderId="0">
      <alignment vertical="center"/>
    </xf>
    <xf numFmtId="0" fontId="3" fillId="0" borderId="0">
      <alignment vertical="center"/>
    </xf>
    <xf numFmtId="0" fontId="4" fillId="0" borderId="0"/>
    <xf numFmtId="0" fontId="4" fillId="0" borderId="0"/>
    <xf numFmtId="0" fontId="16" fillId="0" borderId="0"/>
    <xf numFmtId="0" fontId="3" fillId="0" borderId="0">
      <alignment vertical="center"/>
    </xf>
    <xf numFmtId="0" fontId="17" fillId="0" borderId="0"/>
    <xf numFmtId="0" fontId="4" fillId="0" borderId="0">
      <alignment vertical="center"/>
    </xf>
  </cellStyleXfs>
  <cellXfs count="165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3" borderId="0" xfId="2" applyFont="1" applyFill="1" applyAlignment="1">
      <alignment horizontal="left"/>
    </xf>
    <xf numFmtId="0" fontId="0" fillId="3" borderId="0" xfId="0" applyFill="1">
      <alignment vertical="center"/>
    </xf>
    <xf numFmtId="0" fontId="6" fillId="3" borderId="0" xfId="2" applyFont="1" applyFill="1" applyAlignment="1">
      <alignment horizontal="right"/>
    </xf>
    <xf numFmtId="0" fontId="7" fillId="3" borderId="0" xfId="2" applyFont="1" applyFill="1" applyAlignment="1">
      <alignment horizontal="right"/>
    </xf>
    <xf numFmtId="0" fontId="9" fillId="3" borderId="0" xfId="2" applyFont="1" applyFill="1" applyAlignment="1">
      <alignment vertical="center"/>
    </xf>
    <xf numFmtId="0" fontId="10" fillId="3" borderId="0" xfId="2" applyFont="1" applyFill="1" applyAlignment="1">
      <alignment horizontal="right"/>
    </xf>
    <xf numFmtId="0" fontId="11" fillId="3" borderId="0" xfId="2" applyFont="1" applyFill="1" applyAlignment="1">
      <alignment horizontal="right"/>
    </xf>
    <xf numFmtId="0" fontId="13" fillId="4" borderId="0" xfId="3" applyFont="1" applyFill="1"/>
    <xf numFmtId="0" fontId="13" fillId="4" borderId="0" xfId="3" applyFont="1" applyFill="1" applyAlignment="1">
      <alignment horizontal="center"/>
    </xf>
    <xf numFmtId="0" fontId="14" fillId="2" borderId="1" xfId="3" applyFont="1" applyFill="1" applyBorder="1" applyAlignment="1">
      <alignment horizontal="center" vertical="center" wrapText="1"/>
    </xf>
    <xf numFmtId="176" fontId="15" fillId="4" borderId="1" xfId="3" applyNumberFormat="1" applyFont="1" applyFill="1" applyBorder="1" applyAlignment="1">
      <alignment horizontal="center" vertical="center" wrapText="1"/>
    </xf>
    <xf numFmtId="0" fontId="15" fillId="4" borderId="1" xfId="3" applyFont="1" applyFill="1" applyBorder="1" applyAlignment="1">
      <alignment horizontal="justify" vertical="center" wrapText="1"/>
    </xf>
    <xf numFmtId="0" fontId="15" fillId="4" borderId="1" xfId="3" applyFont="1" applyFill="1" applyBorder="1" applyAlignment="1">
      <alignment horizontal="center" vertical="center" wrapText="1"/>
    </xf>
    <xf numFmtId="177" fontId="15" fillId="4" borderId="1" xfId="3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19" fillId="0" borderId="0" xfId="0" applyFont="1">
      <alignment vertical="center"/>
    </xf>
    <xf numFmtId="0" fontId="2" fillId="6" borderId="1" xfId="0" applyFont="1" applyFill="1" applyBorder="1" applyAlignment="1">
      <alignment horizontal="center" vertical="center"/>
    </xf>
    <xf numFmtId="178" fontId="2" fillId="6" borderId="1" xfId="0" applyNumberFormat="1" applyFont="1" applyFill="1" applyBorder="1" applyAlignment="1">
      <alignment horizontal="center" vertical="center" wrapText="1"/>
    </xf>
    <xf numFmtId="42" fontId="2" fillId="0" borderId="1" xfId="0" applyNumberFormat="1" applyFont="1" applyBorder="1">
      <alignment vertical="center"/>
    </xf>
    <xf numFmtId="42" fontId="2" fillId="0" borderId="1" xfId="0" applyNumberFormat="1" applyFont="1" applyBorder="1" applyAlignment="1">
      <alignment horizontal="center" vertical="center"/>
    </xf>
    <xf numFmtId="42" fontId="2" fillId="0" borderId="4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18" xfId="0" applyBorder="1" applyAlignment="1">
      <alignment horizontal="center" vertical="center"/>
    </xf>
    <xf numFmtId="0" fontId="0" fillId="0" borderId="18" xfId="0" applyBorder="1">
      <alignment vertical="center"/>
    </xf>
    <xf numFmtId="0" fontId="0" fillId="0" borderId="0" xfId="0" applyAlignment="1">
      <alignment vertical="center" wrapText="1"/>
    </xf>
    <xf numFmtId="0" fontId="0" fillId="0" borderId="2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0" borderId="13" xfId="0" applyBorder="1">
      <alignment vertical="center"/>
    </xf>
    <xf numFmtId="0" fontId="0" fillId="7" borderId="14" xfId="0" applyFill="1" applyBorder="1" applyAlignment="1">
      <alignment horizontal="center" vertical="center"/>
    </xf>
    <xf numFmtId="0" fontId="0" fillId="0" borderId="16" xfId="0" applyBorder="1">
      <alignment vertical="center"/>
    </xf>
    <xf numFmtId="0" fontId="0" fillId="5" borderId="15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22" fillId="0" borderId="16" xfId="0" applyFont="1" applyBorder="1">
      <alignment vertical="center"/>
    </xf>
    <xf numFmtId="0" fontId="0" fillId="0" borderId="15" xfId="0" applyBorder="1" applyAlignment="1">
      <alignment horizontal="left" vertical="center"/>
    </xf>
    <xf numFmtId="0" fontId="0" fillId="8" borderId="17" xfId="0" applyFill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9" borderId="18" xfId="0" applyFill="1" applyBorder="1" applyAlignment="1">
      <alignment horizontal="center" vertical="center"/>
    </xf>
    <xf numFmtId="0" fontId="0" fillId="0" borderId="19" xfId="0" applyBorder="1">
      <alignment vertical="center"/>
    </xf>
    <xf numFmtId="0" fontId="21" fillId="0" borderId="16" xfId="0" applyFont="1" applyBorder="1">
      <alignment vertical="center"/>
    </xf>
    <xf numFmtId="0" fontId="0" fillId="7" borderId="17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5" borderId="18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7" borderId="30" xfId="0" applyFill="1" applyBorder="1" applyAlignment="1">
      <alignment horizontal="center" vertical="center"/>
    </xf>
    <xf numFmtId="0" fontId="0" fillId="0" borderId="32" xfId="0" applyBorder="1" applyAlignment="1">
      <alignment horizontal="left" vertical="center"/>
    </xf>
    <xf numFmtId="0" fontId="23" fillId="0" borderId="0" xfId="5" applyFont="1" applyAlignment="1">
      <alignment horizontal="left" vertical="center" shrinkToFit="1"/>
    </xf>
    <xf numFmtId="0" fontId="19" fillId="11" borderId="0" xfId="0" applyFont="1" applyFill="1" applyAlignment="1">
      <alignment horizontal="center" vertical="center"/>
    </xf>
    <xf numFmtId="0" fontId="24" fillId="5" borderId="3" xfId="0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/>
    </xf>
    <xf numFmtId="0" fontId="25" fillId="11" borderId="1" xfId="0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4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14" fontId="24" fillId="0" borderId="1" xfId="0" applyNumberFormat="1" applyFont="1" applyBorder="1" applyAlignment="1">
      <alignment horizontal="center" vertical="center"/>
    </xf>
    <xf numFmtId="0" fontId="24" fillId="11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6" fillId="0" borderId="1" xfId="0" applyFont="1" applyBorder="1">
      <alignment vertical="center"/>
    </xf>
    <xf numFmtId="14" fontId="26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7" borderId="1" xfId="4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4" fillId="0" borderId="1" xfId="4" applyFont="1" applyBorder="1" applyAlignment="1">
      <alignment horizontal="center" vertical="center"/>
    </xf>
    <xf numFmtId="0" fontId="24" fillId="0" borderId="7" xfId="4" applyFont="1" applyBorder="1" applyAlignment="1">
      <alignment horizontal="center" vertical="center"/>
    </xf>
    <xf numFmtId="0" fontId="24" fillId="0" borderId="1" xfId="4" applyFont="1" applyBorder="1" applyAlignment="1">
      <alignment horizontal="left" vertical="center"/>
    </xf>
    <xf numFmtId="0" fontId="2" fillId="5" borderId="1" xfId="0" applyFont="1" applyFill="1" applyBorder="1">
      <alignment vertical="center"/>
    </xf>
    <xf numFmtId="179" fontId="28" fillId="5" borderId="1" xfId="0" applyNumberFormat="1" applyFont="1" applyFill="1" applyBorder="1" applyAlignment="1">
      <alignment horizontal="center" vertical="center"/>
    </xf>
    <xf numFmtId="179" fontId="28" fillId="11" borderId="1" xfId="0" applyNumberFormat="1" applyFont="1" applyFill="1" applyBorder="1" applyAlignment="1">
      <alignment horizontal="center" vertical="center"/>
    </xf>
    <xf numFmtId="0" fontId="29" fillId="0" borderId="0" xfId="6" applyFont="1" applyAlignment="1">
      <alignment vertical="center"/>
    </xf>
    <xf numFmtId="0" fontId="30" fillId="13" borderId="33" xfId="6" applyFont="1" applyFill="1" applyBorder="1" applyAlignment="1">
      <alignment horizontal="center" vertical="center" wrapText="1"/>
    </xf>
    <xf numFmtId="180" fontId="2" fillId="14" borderId="33" xfId="6" applyNumberFormat="1" applyFont="1" applyFill="1" applyBorder="1" applyAlignment="1">
      <alignment horizontal="center" vertical="center" wrapText="1"/>
    </xf>
    <xf numFmtId="0" fontId="31" fillId="0" borderId="0" xfId="6" applyFont="1" applyAlignment="1">
      <alignment vertical="center"/>
    </xf>
    <xf numFmtId="0" fontId="2" fillId="15" borderId="33" xfId="6" applyFont="1" applyFill="1" applyBorder="1" applyAlignment="1">
      <alignment horizontal="center" vertical="center" wrapText="1"/>
    </xf>
    <xf numFmtId="180" fontId="2" fillId="15" borderId="33" xfId="6" applyNumberFormat="1" applyFont="1" applyFill="1" applyBorder="1" applyAlignment="1">
      <alignment horizontal="center" vertical="center" wrapText="1"/>
    </xf>
    <xf numFmtId="0" fontId="2" fillId="15" borderId="33" xfId="6" applyFont="1" applyFill="1" applyBorder="1" applyAlignment="1">
      <alignment horizontal="left" vertical="center" wrapText="1"/>
    </xf>
    <xf numFmtId="14" fontId="2" fillId="15" borderId="33" xfId="6" applyNumberFormat="1" applyFont="1" applyFill="1" applyBorder="1" applyAlignment="1">
      <alignment horizontal="center" vertical="center" wrapText="1"/>
    </xf>
    <xf numFmtId="0" fontId="2" fillId="15" borderId="33" xfId="6" applyFont="1" applyFill="1" applyBorder="1" applyAlignment="1">
      <alignment vertical="center" wrapText="1"/>
    </xf>
    <xf numFmtId="0" fontId="32" fillId="12" borderId="33" xfId="6" applyFont="1" applyFill="1" applyBorder="1" applyAlignment="1">
      <alignment vertical="center"/>
    </xf>
    <xf numFmtId="0" fontId="2" fillId="0" borderId="33" xfId="6" applyFont="1" applyFill="1" applyBorder="1" applyAlignment="1">
      <alignment horizontal="center" vertical="center" wrapText="1"/>
    </xf>
    <xf numFmtId="0" fontId="2" fillId="0" borderId="33" xfId="6" applyFont="1" applyBorder="1" applyAlignment="1">
      <alignment horizontal="left" vertical="center" wrapText="1"/>
    </xf>
    <xf numFmtId="180" fontId="2" fillId="0" borderId="33" xfId="6" applyNumberFormat="1" applyFont="1" applyFill="1" applyBorder="1" applyAlignment="1">
      <alignment horizontal="center" vertical="center" wrapText="1"/>
    </xf>
    <xf numFmtId="0" fontId="32" fillId="0" borderId="33" xfId="6" applyFont="1" applyFill="1" applyBorder="1" applyAlignment="1">
      <alignment vertical="center"/>
    </xf>
    <xf numFmtId="14" fontId="2" fillId="0" borderId="33" xfId="6" applyNumberFormat="1" applyFont="1" applyFill="1" applyBorder="1" applyAlignment="1">
      <alignment horizontal="center" vertical="center" wrapText="1"/>
    </xf>
    <xf numFmtId="0" fontId="2" fillId="0" borderId="33" xfId="6" applyFont="1" applyFill="1" applyBorder="1" applyAlignment="1">
      <alignment horizontal="left" vertical="center" wrapText="1"/>
    </xf>
    <xf numFmtId="0" fontId="2" fillId="0" borderId="33" xfId="6" applyFont="1" applyFill="1" applyBorder="1" applyAlignment="1">
      <alignment vertical="center" wrapText="1"/>
    </xf>
    <xf numFmtId="0" fontId="31" fillId="0" borderId="0" xfId="6" applyFont="1" applyFill="1" applyAlignment="1">
      <alignment vertical="center"/>
    </xf>
    <xf numFmtId="0" fontId="32" fillId="16" borderId="33" xfId="6" applyFont="1" applyFill="1" applyBorder="1" applyAlignment="1">
      <alignment vertical="center"/>
    </xf>
    <xf numFmtId="0" fontId="31" fillId="3" borderId="0" xfId="6" applyFont="1" applyFill="1" applyAlignment="1">
      <alignment vertical="center"/>
    </xf>
    <xf numFmtId="180" fontId="2" fillId="0" borderId="33" xfId="6" applyNumberFormat="1" applyFont="1" applyBorder="1" applyAlignment="1">
      <alignment horizontal="center" vertical="center" wrapText="1"/>
    </xf>
    <xf numFmtId="0" fontId="33" fillId="0" borderId="0" xfId="0" applyFont="1">
      <alignment vertical="center"/>
    </xf>
    <xf numFmtId="179" fontId="2" fillId="14" borderId="33" xfId="6" applyNumberFormat="1" applyFont="1" applyFill="1" applyBorder="1" applyAlignment="1">
      <alignment horizontal="center" vertical="center" wrapText="1"/>
    </xf>
    <xf numFmtId="181" fontId="2" fillId="14" borderId="33" xfId="6" applyNumberFormat="1" applyFont="1" applyFill="1" applyBorder="1" applyAlignment="1">
      <alignment horizontal="center" vertical="center" wrapText="1"/>
    </xf>
    <xf numFmtId="0" fontId="2" fillId="14" borderId="33" xfId="6" applyFont="1" applyFill="1" applyBorder="1" applyAlignment="1">
      <alignment vertical="center" wrapText="1"/>
    </xf>
    <xf numFmtId="0" fontId="2" fillId="0" borderId="0" xfId="6" applyFont="1" applyAlignment="1">
      <alignment vertical="center" wrapText="1"/>
    </xf>
    <xf numFmtId="0" fontId="2" fillId="0" borderId="0" xfId="6" applyFont="1" applyAlignment="1">
      <alignment horizontal="center" vertical="center" wrapText="1"/>
    </xf>
    <xf numFmtId="0" fontId="2" fillId="0" borderId="0" xfId="6" applyFont="1" applyAlignment="1">
      <alignment horizontal="left" vertical="center" wrapText="1"/>
    </xf>
    <xf numFmtId="182" fontId="2" fillId="0" borderId="0" xfId="6" applyNumberFormat="1" applyFont="1" applyAlignment="1">
      <alignment horizontal="center" vertical="center" wrapText="1"/>
    </xf>
    <xf numFmtId="0" fontId="34" fillId="5" borderId="37" xfId="0" applyFont="1" applyFill="1" applyBorder="1" applyAlignment="1" applyProtection="1">
      <alignment horizontal="center" vertical="center" wrapText="1"/>
      <protection locked="0"/>
    </xf>
    <xf numFmtId="0" fontId="35" fillId="5" borderId="37" xfId="0" applyFont="1" applyFill="1" applyBorder="1" applyAlignment="1" applyProtection="1">
      <alignment horizontal="center" vertical="center" wrapText="1"/>
      <protection locked="0"/>
    </xf>
    <xf numFmtId="0" fontId="34" fillId="0" borderId="37" xfId="0" applyFont="1" applyBorder="1" applyAlignment="1" applyProtection="1">
      <alignment horizontal="center" vertical="center" wrapText="1"/>
      <protection locked="0"/>
    </xf>
    <xf numFmtId="181" fontId="34" fillId="0" borderId="37" xfId="0" applyNumberFormat="1" applyFont="1" applyBorder="1" applyAlignment="1" applyProtection="1">
      <alignment horizontal="center" vertical="center" wrapText="1"/>
      <protection locked="0"/>
    </xf>
    <xf numFmtId="0" fontId="36" fillId="5" borderId="37" xfId="0" applyFont="1" applyFill="1" applyBorder="1" applyAlignment="1" applyProtection="1">
      <alignment horizontal="center" vertical="center" wrapText="1"/>
      <protection locked="0"/>
    </xf>
    <xf numFmtId="181" fontId="36" fillId="5" borderId="37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6" applyFont="1" applyAlignment="1">
      <alignment horizontal="center" vertical="center"/>
    </xf>
    <xf numFmtId="0" fontId="12" fillId="4" borderId="0" xfId="3" applyFont="1" applyFill="1" applyAlignment="1">
      <alignment horizontal="center" vertical="center"/>
    </xf>
    <xf numFmtId="0" fontId="23" fillId="0" borderId="5" xfId="5" applyFont="1" applyBorder="1" applyAlignment="1">
      <alignment horizontal="left" vertical="center" shrinkToFit="1"/>
    </xf>
    <xf numFmtId="0" fontId="23" fillId="12" borderId="0" xfId="6" applyFont="1" applyFill="1" applyAlignment="1">
      <alignment horizontal="left" vertical="center"/>
    </xf>
    <xf numFmtId="0" fontId="2" fillId="14" borderId="34" xfId="6" applyFont="1" applyFill="1" applyBorder="1" applyAlignment="1">
      <alignment horizontal="center" vertical="center" wrapText="1"/>
    </xf>
    <xf numFmtId="0" fontId="2" fillId="14" borderId="35" xfId="6" applyFont="1" applyFill="1" applyBorder="1" applyAlignment="1">
      <alignment horizontal="center" vertical="center" wrapText="1"/>
    </xf>
    <xf numFmtId="0" fontId="2" fillId="14" borderId="36" xfId="6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8" borderId="14" xfId="0" applyFill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31" xfId="0" applyBorder="1" applyAlignment="1">
      <alignment horizontal="left" vertical="center"/>
    </xf>
    <xf numFmtId="42" fontId="2" fillId="0" borderId="3" xfId="0" applyNumberFormat="1" applyFont="1" applyBorder="1" applyAlignment="1">
      <alignment horizontal="center" vertical="center"/>
    </xf>
    <xf numFmtId="42" fontId="2" fillId="0" borderId="2" xfId="0" applyNumberFormat="1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center" vertical="center"/>
    </xf>
    <xf numFmtId="42" fontId="2" fillId="0" borderId="4" xfId="0" applyNumberFormat="1" applyFont="1" applyBorder="1" applyAlignment="1">
      <alignment horizontal="center" vertical="center"/>
    </xf>
    <xf numFmtId="42" fontId="2" fillId="0" borderId="3" xfId="0" applyNumberFormat="1" applyFont="1" applyBorder="1" applyAlignment="1">
      <alignment horizontal="center" vertical="center" wrapText="1"/>
    </xf>
    <xf numFmtId="42" fontId="2" fillId="0" borderId="2" xfId="0" applyNumberFormat="1" applyFont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18" fillId="0" borderId="5" xfId="0" applyFont="1" applyBorder="1" applyAlignment="1">
      <alignment horizontal="left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</cellXfs>
  <cellStyles count="8">
    <cellStyle name="표준" xfId="0" builtinId="0"/>
    <cellStyle name="표준 2" xfId="1"/>
    <cellStyle name="표준 2 2" xfId="3"/>
    <cellStyle name="표준 2 3" xfId="4"/>
    <cellStyle name="표준 3" xfId="2"/>
    <cellStyle name="표준 3 2" xfId="7"/>
    <cellStyle name="표준 4" xfId="5"/>
    <cellStyle name="표준 5" xfId="6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272143</xdr:colOff>
      <xdr:row>7</xdr:row>
      <xdr:rowOff>80116</xdr:rowOff>
    </xdr:from>
    <xdr:to>
      <xdr:col>12</xdr:col>
      <xdr:colOff>671285</xdr:colOff>
      <xdr:row>7</xdr:row>
      <xdr:rowOff>80116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xmlns="" id="{F08095D0-468B-4394-A10E-9F59E7CAAA14}"/>
            </a:ext>
          </a:extLst>
        </xdr:cNvPr>
        <xdr:cNvCxnSpPr/>
      </xdr:nvCxnSpPr>
      <xdr:spPr bwMode="auto">
        <a:xfrm>
          <a:off x="2272393" y="2175616"/>
          <a:ext cx="6399892" cy="0"/>
        </a:xfrm>
        <a:prstGeom prst="line">
          <a:avLst/>
        </a:prstGeom>
        <a:ln w="31750">
          <a:solidFill>
            <a:schemeClr val="accent1"/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100853</xdr:colOff>
      <xdr:row>22</xdr:row>
      <xdr:rowOff>123265</xdr:rowOff>
    </xdr:from>
    <xdr:to>
      <xdr:col>12</xdr:col>
      <xdr:colOff>582706</xdr:colOff>
      <xdr:row>23</xdr:row>
      <xdr:rowOff>116065</xdr:rowOff>
    </xdr:to>
    <xdr:pic>
      <xdr:nvPicPr>
        <xdr:cNvPr id="3" name="그림 2" descr="화면 캡처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103" y="5781115"/>
          <a:ext cx="1148603" cy="326175"/>
        </a:xfrm>
        <a:prstGeom prst="rect">
          <a:avLst/>
        </a:prstGeom>
      </xdr:spPr>
    </xdr:pic>
    <xdr:clientData/>
  </xdr:twoCellAnchor>
  <xdr:twoCellAnchor editAs="oneCell">
    <xdr:from>
      <xdr:col>0</xdr:col>
      <xdr:colOff>72160</xdr:colOff>
      <xdr:row>0</xdr:row>
      <xdr:rowOff>67235</xdr:rowOff>
    </xdr:from>
    <xdr:to>
      <xdr:col>1</xdr:col>
      <xdr:colOff>627529</xdr:colOff>
      <xdr:row>3</xdr:row>
      <xdr:rowOff>199641</xdr:rowOff>
    </xdr:to>
    <xdr:pic>
      <xdr:nvPicPr>
        <xdr:cNvPr id="4" name="그림 3" descr="C:\Users\taeklee\Desktop\2024 매크로통상\macro_logo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60" y="67235"/>
          <a:ext cx="1222119" cy="8848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view="pageBreakPreview" zoomScale="85" zoomScaleNormal="100" zoomScaleSheetLayoutView="85" workbookViewId="0">
      <selection activeCell="G21" sqref="G21"/>
    </sheetView>
  </sheetViews>
  <sheetFormatPr defaultColWidth="8.75" defaultRowHeight="16.5"/>
  <cols>
    <col min="1" max="16384" width="8.75" style="3"/>
  </cols>
  <sheetData>
    <row r="1" spans="1:13" ht="26.25">
      <c r="A1" s="2"/>
    </row>
    <row r="4" spans="1:13" ht="31.5">
      <c r="J4" s="4"/>
      <c r="M4" s="5" t="s">
        <v>11</v>
      </c>
    </row>
    <row r="5" spans="1:13">
      <c r="J5" s="6"/>
      <c r="M5" s="6"/>
    </row>
    <row r="6" spans="1:13">
      <c r="J6" s="6"/>
      <c r="M6" s="6"/>
    </row>
    <row r="7" spans="1:13" ht="41.25">
      <c r="J7" s="7"/>
      <c r="M7" s="8" t="s">
        <v>12</v>
      </c>
    </row>
    <row r="8" spans="1:13">
      <c r="J8" s="6"/>
      <c r="M8" s="6"/>
    </row>
    <row r="9" spans="1:13" ht="25.5">
      <c r="J9" s="4"/>
      <c r="M9" s="4"/>
    </row>
    <row r="10" spans="1:13" ht="25.5">
      <c r="M10" s="4"/>
    </row>
    <row r="14" spans="1:13" ht="31.5">
      <c r="M14" s="5"/>
    </row>
    <row r="23" spans="1:16" ht="26.25">
      <c r="A23" s="2"/>
    </row>
    <row r="24" spans="1:16">
      <c r="P24"/>
    </row>
    <row r="26" spans="1:16">
      <c r="B26" s="3" t="s">
        <v>10</v>
      </c>
    </row>
  </sheetData>
  <phoneticPr fontId="1" type="noConversion"/>
  <pageMargins left="0.7" right="0.7" top="0.75" bottom="0.75" header="0.3" footer="0.3"/>
  <pageSetup scale="6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view="pageBreakPreview" zoomScale="115" zoomScaleNormal="100" zoomScaleSheetLayoutView="115" workbookViewId="0">
      <selection activeCell="C25" sqref="C25"/>
    </sheetView>
  </sheetViews>
  <sheetFormatPr defaultColWidth="8.75" defaultRowHeight="16.5"/>
  <cols>
    <col min="1" max="2" width="12.5" style="3" customWidth="1"/>
    <col min="3" max="3" width="30.875" style="3" customWidth="1"/>
    <col min="4" max="5" width="12.5" style="3" customWidth="1"/>
    <col min="6" max="16384" width="8.75" style="3"/>
  </cols>
  <sheetData>
    <row r="1" spans="1:5" ht="20.25">
      <c r="A1" s="125" t="s">
        <v>0</v>
      </c>
      <c r="B1" s="125"/>
      <c r="C1" s="125"/>
      <c r="D1" s="125"/>
      <c r="E1" s="125"/>
    </row>
    <row r="2" spans="1:5" ht="10.15" customHeight="1">
      <c r="A2" s="9"/>
      <c r="B2" s="9"/>
      <c r="C2" s="9"/>
      <c r="D2" s="10"/>
      <c r="E2" s="10"/>
    </row>
    <row r="3" spans="1:5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</row>
    <row r="4" spans="1:5">
      <c r="A4" s="12" t="s">
        <v>6</v>
      </c>
      <c r="B4" s="12" t="s">
        <v>7</v>
      </c>
      <c r="C4" s="13" t="s">
        <v>8</v>
      </c>
      <c r="D4" s="14" t="s">
        <v>9</v>
      </c>
      <c r="E4" s="15" t="s">
        <v>13</v>
      </c>
    </row>
    <row r="5" spans="1:5">
      <c r="A5" s="12"/>
      <c r="B5" s="15"/>
      <c r="C5" s="13"/>
      <c r="D5" s="14"/>
      <c r="E5" s="14"/>
    </row>
    <row r="6" spans="1:5">
      <c r="A6" s="12"/>
      <c r="B6" s="15"/>
      <c r="C6" s="13"/>
      <c r="D6" s="14"/>
      <c r="E6" s="14"/>
    </row>
    <row r="7" spans="1:5">
      <c r="A7" s="12"/>
      <c r="B7" s="15"/>
      <c r="C7" s="13"/>
      <c r="D7" s="14"/>
      <c r="E7" s="14"/>
    </row>
    <row r="8" spans="1:5">
      <c r="A8" s="12"/>
      <c r="B8" s="15"/>
      <c r="C8" s="13"/>
      <c r="D8" s="14"/>
      <c r="E8" s="14"/>
    </row>
    <row r="9" spans="1:5">
      <c r="A9" s="12"/>
      <c r="B9" s="15"/>
      <c r="C9" s="13"/>
      <c r="D9" s="14"/>
      <c r="E9" s="14"/>
    </row>
    <row r="10" spans="1:5">
      <c r="A10" s="12"/>
      <c r="B10" s="15"/>
      <c r="C10" s="13"/>
      <c r="D10" s="14"/>
      <c r="E10" s="14"/>
    </row>
    <row r="11" spans="1:5">
      <c r="A11" s="12"/>
      <c r="B11" s="15"/>
      <c r="C11" s="13"/>
      <c r="D11" s="14"/>
      <c r="E11" s="14"/>
    </row>
    <row r="12" spans="1:5">
      <c r="A12" s="12"/>
      <c r="B12" s="15"/>
      <c r="C12" s="13"/>
      <c r="D12" s="14"/>
      <c r="E12" s="14"/>
    </row>
    <row r="13" spans="1:5">
      <c r="A13" s="12"/>
      <c r="B13" s="15"/>
      <c r="C13" s="13"/>
      <c r="D13" s="14"/>
      <c r="E13" s="14"/>
    </row>
    <row r="14" spans="1:5">
      <c r="A14" s="12"/>
      <c r="B14" s="15"/>
      <c r="C14" s="13"/>
      <c r="D14" s="14"/>
      <c r="E14" s="14"/>
    </row>
    <row r="15" spans="1:5">
      <c r="A15" s="12"/>
      <c r="B15" s="15"/>
      <c r="C15" s="13"/>
      <c r="D15" s="14"/>
      <c r="E15" s="14"/>
    </row>
    <row r="16" spans="1:5">
      <c r="A16" s="12"/>
      <c r="B16" s="15"/>
      <c r="C16" s="13"/>
      <c r="D16" s="14"/>
      <c r="E16" s="14"/>
    </row>
    <row r="17" spans="1:5">
      <c r="A17" s="12"/>
      <c r="B17" s="15"/>
      <c r="C17" s="13"/>
      <c r="D17" s="14"/>
      <c r="E17" s="14"/>
    </row>
    <row r="18" spans="1:5">
      <c r="A18" s="12"/>
      <c r="B18" s="15"/>
      <c r="C18" s="13"/>
      <c r="D18" s="14"/>
      <c r="E18" s="14"/>
    </row>
    <row r="19" spans="1:5">
      <c r="A19" s="12"/>
      <c r="B19" s="15"/>
      <c r="C19" s="13"/>
      <c r="D19" s="14"/>
      <c r="E19" s="14"/>
    </row>
    <row r="20" spans="1:5">
      <c r="A20" s="12"/>
      <c r="B20" s="15"/>
      <c r="C20" s="13"/>
      <c r="D20" s="14"/>
      <c r="E20" s="14"/>
    </row>
    <row r="21" spans="1:5">
      <c r="A21" s="12"/>
      <c r="B21" s="15"/>
      <c r="C21" s="13"/>
      <c r="D21" s="14"/>
      <c r="E21" s="14"/>
    </row>
  </sheetData>
  <mergeCells count="1">
    <mergeCell ref="A1:E1"/>
  </mergeCells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0"/>
  <sheetViews>
    <sheetView tabSelected="1" zoomScaleNormal="100" workbookViewId="0">
      <pane xSplit="2" ySplit="2" topLeftCell="C218" activePane="bottomRight" state="frozen"/>
      <selection pane="topRight" activeCell="C1" sqref="C1"/>
      <selection pane="bottomLeft" activeCell="A3" sqref="A3"/>
      <selection pane="bottomRight" activeCell="D241" sqref="D241"/>
    </sheetView>
  </sheetViews>
  <sheetFormatPr defaultColWidth="9" defaultRowHeight="16.5"/>
  <cols>
    <col min="1" max="1" width="12.875" style="17" bestFit="1" customWidth="1"/>
    <col min="2" max="2" width="16.625" style="17" customWidth="1"/>
    <col min="3" max="3" width="15.5" style="17" bestFit="1" customWidth="1"/>
    <col min="4" max="4" width="46.375" style="19" customWidth="1"/>
    <col min="5" max="5" width="13.5" style="17" bestFit="1" customWidth="1"/>
    <col min="6" max="6" width="67.125" style="19" customWidth="1"/>
    <col min="7" max="7" width="12" style="17" bestFit="1" customWidth="1"/>
    <col min="8" max="8" width="10.375" style="63" bestFit="1" customWidth="1"/>
    <col min="9" max="9" width="12.875" style="17" bestFit="1" customWidth="1"/>
    <col min="10" max="10" width="21.25" style="19" customWidth="1"/>
    <col min="11" max="11" width="21.25" style="17" customWidth="1"/>
    <col min="12" max="12" width="21.25" style="19" customWidth="1"/>
    <col min="13" max="16384" width="9" style="19"/>
  </cols>
  <sheetData>
    <row r="1" spans="1:12" ht="56.25" customHeight="1">
      <c r="A1" s="126" t="s">
        <v>1128</v>
      </c>
      <c r="B1" s="126"/>
      <c r="C1" s="126"/>
      <c r="D1" s="126"/>
      <c r="F1" s="62"/>
    </row>
    <row r="2" spans="1:12" ht="27">
      <c r="A2" s="64" t="s">
        <v>1129</v>
      </c>
      <c r="B2" s="64" t="s">
        <v>1130</v>
      </c>
      <c r="C2" s="65" t="s">
        <v>1131</v>
      </c>
      <c r="D2" s="65" t="s">
        <v>1132</v>
      </c>
      <c r="E2" s="66" t="s">
        <v>494</v>
      </c>
      <c r="F2" s="65" t="s">
        <v>495</v>
      </c>
      <c r="G2" s="66" t="s">
        <v>496</v>
      </c>
      <c r="H2" s="67" t="s">
        <v>497</v>
      </c>
      <c r="I2" s="68" t="s">
        <v>1133</v>
      </c>
      <c r="J2" s="65" t="s">
        <v>1134</v>
      </c>
      <c r="K2" s="65" t="s">
        <v>1135</v>
      </c>
      <c r="L2" s="65" t="s">
        <v>1136</v>
      </c>
    </row>
    <row r="3" spans="1:12" s="1" customFormat="1" ht="20.100000000000001" customHeight="1">
      <c r="A3" s="69" t="s">
        <v>498</v>
      </c>
      <c r="B3" s="70" t="s">
        <v>1137</v>
      </c>
      <c r="C3" s="70" t="s">
        <v>499</v>
      </c>
      <c r="D3" s="71" t="s">
        <v>1138</v>
      </c>
      <c r="E3" s="72" t="s">
        <v>1139</v>
      </c>
      <c r="F3" s="73" t="s">
        <v>1140</v>
      </c>
      <c r="G3" s="74">
        <v>45607</v>
      </c>
      <c r="H3" s="75" t="s">
        <v>501</v>
      </c>
      <c r="I3" s="76" t="s">
        <v>38</v>
      </c>
      <c r="J3" s="77"/>
      <c r="K3" s="78"/>
      <c r="L3" s="77"/>
    </row>
    <row r="4" spans="1:12" s="1" customFormat="1" ht="20.100000000000001" customHeight="1">
      <c r="A4" s="69" t="s">
        <v>502</v>
      </c>
      <c r="B4" s="70" t="s">
        <v>503</v>
      </c>
      <c r="C4" s="70" t="s">
        <v>499</v>
      </c>
      <c r="D4" s="71" t="s">
        <v>1141</v>
      </c>
      <c r="E4" s="72" t="s">
        <v>1139</v>
      </c>
      <c r="F4" s="73" t="s">
        <v>1142</v>
      </c>
      <c r="G4" s="79">
        <v>45609</v>
      </c>
      <c r="H4" s="80" t="s">
        <v>501</v>
      </c>
      <c r="I4" s="76" t="s">
        <v>1143</v>
      </c>
      <c r="J4" s="73"/>
      <c r="K4" s="79"/>
      <c r="L4" s="73"/>
    </row>
    <row r="5" spans="1:12" s="1" customFormat="1" ht="20.100000000000001" customHeight="1">
      <c r="A5" s="69" t="s">
        <v>502</v>
      </c>
      <c r="B5" s="70" t="s">
        <v>504</v>
      </c>
      <c r="C5" s="70" t="s">
        <v>1144</v>
      </c>
      <c r="D5" s="71" t="s">
        <v>505</v>
      </c>
      <c r="E5" s="72" t="s">
        <v>1139</v>
      </c>
      <c r="F5" s="73" t="s">
        <v>500</v>
      </c>
      <c r="G5" s="79">
        <v>45611</v>
      </c>
      <c r="H5" s="80" t="s">
        <v>1145</v>
      </c>
      <c r="I5" s="76" t="s">
        <v>38</v>
      </c>
      <c r="J5" s="73"/>
      <c r="K5" s="79"/>
      <c r="L5" s="73"/>
    </row>
    <row r="6" spans="1:12" s="1" customFormat="1" ht="20.100000000000001" customHeight="1">
      <c r="A6" s="69" t="s">
        <v>502</v>
      </c>
      <c r="B6" s="70" t="s">
        <v>506</v>
      </c>
      <c r="C6" s="70" t="s">
        <v>70</v>
      </c>
      <c r="D6" s="71" t="s">
        <v>507</v>
      </c>
      <c r="E6" s="72" t="s">
        <v>1139</v>
      </c>
      <c r="F6" s="73" t="s">
        <v>1142</v>
      </c>
      <c r="G6" s="79">
        <v>45611</v>
      </c>
      <c r="H6" s="80" t="s">
        <v>1145</v>
      </c>
      <c r="I6" s="70" t="s">
        <v>38</v>
      </c>
      <c r="J6" s="73"/>
      <c r="K6" s="79"/>
      <c r="L6" s="73"/>
    </row>
    <row r="7" spans="1:12" s="1" customFormat="1" ht="20.100000000000001" customHeight="1">
      <c r="A7" s="69" t="s">
        <v>502</v>
      </c>
      <c r="B7" s="70" t="s">
        <v>508</v>
      </c>
      <c r="C7" s="70" t="s">
        <v>1144</v>
      </c>
      <c r="D7" s="71" t="s">
        <v>509</v>
      </c>
      <c r="E7" s="72" t="s">
        <v>1139</v>
      </c>
      <c r="F7" s="73" t="s">
        <v>510</v>
      </c>
      <c r="G7" s="79">
        <v>45611</v>
      </c>
      <c r="H7" s="80" t="s">
        <v>501</v>
      </c>
      <c r="I7" s="70" t="s">
        <v>1143</v>
      </c>
      <c r="J7" s="73" t="s">
        <v>1146</v>
      </c>
      <c r="K7" s="79"/>
      <c r="L7" s="73"/>
    </row>
    <row r="8" spans="1:12" s="1" customFormat="1" ht="20.100000000000001" customHeight="1">
      <c r="A8" s="69" t="s">
        <v>502</v>
      </c>
      <c r="B8" s="70" t="s">
        <v>511</v>
      </c>
      <c r="C8" s="70" t="s">
        <v>1147</v>
      </c>
      <c r="D8" s="71" t="s">
        <v>513</v>
      </c>
      <c r="E8" s="72" t="s">
        <v>125</v>
      </c>
      <c r="F8" s="73" t="s">
        <v>1140</v>
      </c>
      <c r="G8" s="79">
        <v>45611</v>
      </c>
      <c r="H8" s="80" t="s">
        <v>501</v>
      </c>
      <c r="I8" s="70" t="s">
        <v>1143</v>
      </c>
      <c r="J8" s="73" t="s">
        <v>1148</v>
      </c>
      <c r="K8" s="79"/>
      <c r="L8" s="73"/>
    </row>
    <row r="9" spans="1:12" s="1" customFormat="1" ht="20.100000000000001" customHeight="1">
      <c r="A9" s="69" t="s">
        <v>502</v>
      </c>
      <c r="B9" s="70" t="s">
        <v>514</v>
      </c>
      <c r="C9" s="70" t="s">
        <v>1149</v>
      </c>
      <c r="D9" s="71" t="s">
        <v>515</v>
      </c>
      <c r="E9" s="72" t="s">
        <v>125</v>
      </c>
      <c r="F9" s="73" t="s">
        <v>1150</v>
      </c>
      <c r="G9" s="79">
        <v>45611</v>
      </c>
      <c r="H9" s="80" t="s">
        <v>501</v>
      </c>
      <c r="I9" s="76" t="s">
        <v>38</v>
      </c>
      <c r="J9" s="73"/>
      <c r="K9" s="79"/>
      <c r="L9" s="73"/>
    </row>
    <row r="10" spans="1:12" s="1" customFormat="1" ht="20.100000000000001" customHeight="1">
      <c r="A10" s="69" t="s">
        <v>502</v>
      </c>
      <c r="B10" s="70" t="s">
        <v>516</v>
      </c>
      <c r="C10" s="70" t="s">
        <v>512</v>
      </c>
      <c r="D10" s="71" t="s">
        <v>1151</v>
      </c>
      <c r="E10" s="72" t="s">
        <v>1139</v>
      </c>
      <c r="F10" s="73" t="s">
        <v>1152</v>
      </c>
      <c r="G10" s="79">
        <v>45610</v>
      </c>
      <c r="H10" s="80" t="s">
        <v>1145</v>
      </c>
      <c r="I10" s="76" t="s">
        <v>1153</v>
      </c>
      <c r="J10" s="73"/>
      <c r="K10" s="79"/>
      <c r="L10" s="73"/>
    </row>
    <row r="11" spans="1:12" s="1" customFormat="1" ht="20.100000000000001" customHeight="1">
      <c r="A11" s="69" t="s">
        <v>502</v>
      </c>
      <c r="B11" s="70" t="s">
        <v>517</v>
      </c>
      <c r="C11" s="70" t="s">
        <v>14</v>
      </c>
      <c r="D11" s="71" t="s">
        <v>518</v>
      </c>
      <c r="E11" s="81" t="s">
        <v>1154</v>
      </c>
      <c r="F11" s="73" t="s">
        <v>519</v>
      </c>
      <c r="G11" s="79">
        <v>45611</v>
      </c>
      <c r="H11" s="80" t="s">
        <v>1145</v>
      </c>
      <c r="I11" s="70" t="s">
        <v>1153</v>
      </c>
      <c r="J11" s="73" t="s">
        <v>1155</v>
      </c>
      <c r="K11" s="79"/>
      <c r="L11" s="73"/>
    </row>
    <row r="12" spans="1:12" s="1" customFormat="1" ht="20.100000000000001" customHeight="1">
      <c r="A12" s="69" t="s">
        <v>502</v>
      </c>
      <c r="B12" s="70" t="s">
        <v>520</v>
      </c>
      <c r="C12" s="70" t="s">
        <v>1156</v>
      </c>
      <c r="D12" s="71" t="s">
        <v>1157</v>
      </c>
      <c r="E12" s="72" t="s">
        <v>125</v>
      </c>
      <c r="F12" s="73" t="s">
        <v>1158</v>
      </c>
      <c r="G12" s="79">
        <v>45611</v>
      </c>
      <c r="H12" s="80" t="s">
        <v>501</v>
      </c>
      <c r="I12" s="70" t="s">
        <v>38</v>
      </c>
      <c r="J12" s="73" t="s">
        <v>1159</v>
      </c>
      <c r="K12" s="79"/>
      <c r="L12" s="73"/>
    </row>
    <row r="13" spans="1:12" s="1" customFormat="1" ht="20.100000000000001" customHeight="1">
      <c r="A13" s="69" t="s">
        <v>502</v>
      </c>
      <c r="B13" s="70" t="s">
        <v>521</v>
      </c>
      <c r="C13" s="70" t="s">
        <v>1156</v>
      </c>
      <c r="D13" s="71" t="s">
        <v>522</v>
      </c>
      <c r="E13" s="72" t="s">
        <v>125</v>
      </c>
      <c r="F13" s="73" t="s">
        <v>500</v>
      </c>
      <c r="G13" s="79">
        <v>45610</v>
      </c>
      <c r="H13" s="80" t="s">
        <v>1145</v>
      </c>
      <c r="I13" s="76" t="s">
        <v>1143</v>
      </c>
      <c r="J13" s="73"/>
      <c r="K13" s="79"/>
      <c r="L13" s="73"/>
    </row>
    <row r="14" spans="1:12" s="1" customFormat="1" ht="20.100000000000001" customHeight="1">
      <c r="A14" s="69" t="s">
        <v>502</v>
      </c>
      <c r="B14" s="70" t="s">
        <v>521</v>
      </c>
      <c r="C14" s="70" t="s">
        <v>1156</v>
      </c>
      <c r="D14" s="71" t="s">
        <v>1160</v>
      </c>
      <c r="E14" s="72" t="s">
        <v>1161</v>
      </c>
      <c r="F14" s="73" t="s">
        <v>1162</v>
      </c>
      <c r="G14" s="79">
        <v>45618</v>
      </c>
      <c r="H14" s="80" t="s">
        <v>1163</v>
      </c>
      <c r="I14" s="70" t="s">
        <v>1153</v>
      </c>
      <c r="J14" s="73"/>
      <c r="K14" s="79"/>
      <c r="L14" s="73"/>
    </row>
    <row r="15" spans="1:12" s="1" customFormat="1" ht="20.100000000000001" customHeight="1">
      <c r="A15" s="69" t="s">
        <v>502</v>
      </c>
      <c r="B15" s="70" t="s">
        <v>521</v>
      </c>
      <c r="C15" s="70" t="s">
        <v>14</v>
      </c>
      <c r="D15" s="71" t="s">
        <v>1164</v>
      </c>
      <c r="E15" s="72" t="s">
        <v>127</v>
      </c>
      <c r="F15" s="73" t="s">
        <v>1162</v>
      </c>
      <c r="G15" s="79">
        <v>45610</v>
      </c>
      <c r="H15" s="80" t="s">
        <v>524</v>
      </c>
      <c r="I15" s="70" t="s">
        <v>1143</v>
      </c>
      <c r="J15" s="73"/>
      <c r="K15" s="79"/>
      <c r="L15" s="73"/>
    </row>
    <row r="16" spans="1:12" s="1" customFormat="1" ht="20.100000000000001" customHeight="1">
      <c r="A16" s="69" t="s">
        <v>502</v>
      </c>
      <c r="B16" s="70" t="s">
        <v>525</v>
      </c>
      <c r="C16" s="70" t="s">
        <v>14</v>
      </c>
      <c r="D16" s="71" t="s">
        <v>1165</v>
      </c>
      <c r="E16" s="72" t="s">
        <v>125</v>
      </c>
      <c r="F16" s="73" t="s">
        <v>1166</v>
      </c>
      <c r="G16" s="79">
        <v>45611</v>
      </c>
      <c r="H16" s="80" t="s">
        <v>1167</v>
      </c>
      <c r="I16" s="76" t="s">
        <v>38</v>
      </c>
      <c r="J16" s="73"/>
      <c r="K16" s="79"/>
      <c r="L16" s="73"/>
    </row>
    <row r="17" spans="1:12" s="1" customFormat="1" ht="20.100000000000001" customHeight="1">
      <c r="A17" s="69" t="s">
        <v>502</v>
      </c>
      <c r="B17" s="70" t="s">
        <v>526</v>
      </c>
      <c r="C17" s="70" t="s">
        <v>1168</v>
      </c>
      <c r="D17" s="71" t="s">
        <v>527</v>
      </c>
      <c r="E17" s="81" t="s">
        <v>1169</v>
      </c>
      <c r="F17" s="73" t="s">
        <v>528</v>
      </c>
      <c r="G17" s="79">
        <v>45610</v>
      </c>
      <c r="H17" s="80" t="s">
        <v>1145</v>
      </c>
      <c r="I17" s="76" t="s">
        <v>1143</v>
      </c>
      <c r="J17" s="82"/>
      <c r="K17" s="70"/>
      <c r="L17" s="82"/>
    </row>
    <row r="18" spans="1:12" s="1" customFormat="1" ht="20.100000000000001" customHeight="1">
      <c r="A18" s="69" t="s">
        <v>502</v>
      </c>
      <c r="B18" s="70" t="s">
        <v>529</v>
      </c>
      <c r="C18" s="70" t="s">
        <v>1170</v>
      </c>
      <c r="D18" s="71" t="s">
        <v>1171</v>
      </c>
      <c r="E18" s="72" t="s">
        <v>1139</v>
      </c>
      <c r="F18" s="73" t="s">
        <v>1172</v>
      </c>
      <c r="G18" s="79">
        <v>45610</v>
      </c>
      <c r="H18" s="80" t="s">
        <v>1167</v>
      </c>
      <c r="I18" s="76" t="s">
        <v>1143</v>
      </c>
      <c r="J18" s="73"/>
      <c r="K18" s="70"/>
      <c r="L18" s="73"/>
    </row>
    <row r="19" spans="1:12" s="1" customFormat="1" ht="20.100000000000001" customHeight="1">
      <c r="A19" s="70" t="s">
        <v>502</v>
      </c>
      <c r="B19" s="70" t="s">
        <v>530</v>
      </c>
      <c r="C19" s="70" t="s">
        <v>1170</v>
      </c>
      <c r="D19" s="71" t="s">
        <v>1173</v>
      </c>
      <c r="E19" s="72" t="s">
        <v>1174</v>
      </c>
      <c r="F19" s="73" t="s">
        <v>1175</v>
      </c>
      <c r="G19" s="79">
        <v>45610</v>
      </c>
      <c r="H19" s="80" t="s">
        <v>1176</v>
      </c>
      <c r="I19" s="70" t="s">
        <v>38</v>
      </c>
      <c r="J19" s="73"/>
      <c r="K19" s="70"/>
      <c r="L19" s="73"/>
    </row>
    <row r="20" spans="1:12" s="1" customFormat="1" ht="20.100000000000001" customHeight="1">
      <c r="A20" s="70" t="s">
        <v>502</v>
      </c>
      <c r="B20" s="70" t="s">
        <v>532</v>
      </c>
      <c r="C20" s="70" t="s">
        <v>1168</v>
      </c>
      <c r="D20" s="71" t="s">
        <v>1177</v>
      </c>
      <c r="E20" s="72" t="s">
        <v>125</v>
      </c>
      <c r="F20" s="73" t="s">
        <v>1178</v>
      </c>
      <c r="G20" s="79">
        <v>45610</v>
      </c>
      <c r="H20" s="80" t="s">
        <v>1179</v>
      </c>
      <c r="I20" s="70" t="s">
        <v>1143</v>
      </c>
      <c r="J20" s="73"/>
      <c r="K20" s="70"/>
      <c r="L20" s="73"/>
    </row>
    <row r="21" spans="1:12" s="1" customFormat="1" ht="20.100000000000001" customHeight="1">
      <c r="A21" s="70" t="s">
        <v>502</v>
      </c>
      <c r="B21" s="70" t="s">
        <v>533</v>
      </c>
      <c r="C21" s="70" t="s">
        <v>72</v>
      </c>
      <c r="D21" s="71" t="s">
        <v>1180</v>
      </c>
      <c r="E21" s="72" t="s">
        <v>1139</v>
      </c>
      <c r="F21" s="73" t="s">
        <v>1181</v>
      </c>
      <c r="G21" s="79">
        <v>45610</v>
      </c>
      <c r="H21" s="80" t="s">
        <v>1176</v>
      </c>
      <c r="I21" s="70" t="s">
        <v>38</v>
      </c>
      <c r="J21" s="73"/>
      <c r="K21" s="70"/>
      <c r="L21" s="73"/>
    </row>
    <row r="22" spans="1:12" s="1" customFormat="1" ht="20.100000000000001" customHeight="1">
      <c r="A22" s="69" t="s">
        <v>502</v>
      </c>
      <c r="B22" s="70" t="s">
        <v>534</v>
      </c>
      <c r="C22" s="70" t="s">
        <v>1182</v>
      </c>
      <c r="D22" s="71" t="s">
        <v>1183</v>
      </c>
      <c r="E22" s="72" t="s">
        <v>1139</v>
      </c>
      <c r="F22" s="73" t="s">
        <v>1184</v>
      </c>
      <c r="G22" s="79">
        <v>45610</v>
      </c>
      <c r="H22" s="80" t="s">
        <v>1176</v>
      </c>
      <c r="I22" s="70" t="s">
        <v>1143</v>
      </c>
      <c r="J22" s="73"/>
      <c r="K22" s="79"/>
      <c r="L22" s="73"/>
    </row>
    <row r="23" spans="1:12" s="1" customFormat="1" ht="20.100000000000001" customHeight="1">
      <c r="A23" s="69" t="s">
        <v>502</v>
      </c>
      <c r="B23" s="70" t="s">
        <v>535</v>
      </c>
      <c r="C23" s="70" t="s">
        <v>72</v>
      </c>
      <c r="D23" s="71" t="s">
        <v>1185</v>
      </c>
      <c r="E23" s="72" t="s">
        <v>1139</v>
      </c>
      <c r="F23" s="73" t="s">
        <v>536</v>
      </c>
      <c r="G23" s="79">
        <v>45610</v>
      </c>
      <c r="H23" s="80" t="s">
        <v>1176</v>
      </c>
      <c r="I23" s="70" t="s">
        <v>38</v>
      </c>
      <c r="J23" s="73"/>
      <c r="K23" s="70"/>
      <c r="L23" s="73"/>
    </row>
    <row r="24" spans="1:12" s="1" customFormat="1" ht="20.100000000000001" customHeight="1">
      <c r="A24" s="69" t="s">
        <v>502</v>
      </c>
      <c r="B24" s="70" t="s">
        <v>537</v>
      </c>
      <c r="C24" s="70" t="s">
        <v>1186</v>
      </c>
      <c r="D24" s="71" t="s">
        <v>1187</v>
      </c>
      <c r="E24" s="72" t="s">
        <v>1139</v>
      </c>
      <c r="F24" s="73" t="s">
        <v>1140</v>
      </c>
      <c r="G24" s="79">
        <v>45610</v>
      </c>
      <c r="H24" s="80" t="s">
        <v>1167</v>
      </c>
      <c r="I24" s="76" t="s">
        <v>38</v>
      </c>
      <c r="J24" s="73"/>
      <c r="K24" s="70"/>
      <c r="L24" s="73"/>
    </row>
    <row r="25" spans="1:12" s="1" customFormat="1" ht="20.100000000000001" customHeight="1">
      <c r="A25" s="69" t="s">
        <v>502</v>
      </c>
      <c r="B25" s="70" t="s">
        <v>538</v>
      </c>
      <c r="C25" s="70" t="s">
        <v>1186</v>
      </c>
      <c r="D25" s="71" t="s">
        <v>539</v>
      </c>
      <c r="E25" s="72" t="s">
        <v>1174</v>
      </c>
      <c r="F25" s="73" t="s">
        <v>1184</v>
      </c>
      <c r="G25" s="79">
        <v>45610</v>
      </c>
      <c r="H25" s="80" t="s">
        <v>1145</v>
      </c>
      <c r="I25" s="76" t="s">
        <v>38</v>
      </c>
      <c r="J25" s="73"/>
      <c r="K25" s="79"/>
      <c r="L25" s="73"/>
    </row>
    <row r="26" spans="1:12" s="1" customFormat="1" ht="20.100000000000001" customHeight="1">
      <c r="A26" s="69" t="s">
        <v>540</v>
      </c>
      <c r="B26" s="70" t="s">
        <v>1188</v>
      </c>
      <c r="C26" s="72" t="s">
        <v>1189</v>
      </c>
      <c r="D26" s="71" t="s">
        <v>541</v>
      </c>
      <c r="E26" s="81" t="s">
        <v>1154</v>
      </c>
      <c r="F26" s="73" t="s">
        <v>1190</v>
      </c>
      <c r="G26" s="79">
        <v>45609</v>
      </c>
      <c r="H26" s="80" t="s">
        <v>1145</v>
      </c>
      <c r="I26" s="76" t="s">
        <v>38</v>
      </c>
      <c r="J26" s="82"/>
      <c r="K26" s="70"/>
      <c r="L26" s="82"/>
    </row>
    <row r="27" spans="1:12" s="1" customFormat="1" ht="20.100000000000001" customHeight="1">
      <c r="A27" s="69" t="s">
        <v>540</v>
      </c>
      <c r="B27" s="70" t="s">
        <v>542</v>
      </c>
      <c r="C27" s="72" t="s">
        <v>1189</v>
      </c>
      <c r="D27" s="71" t="s">
        <v>543</v>
      </c>
      <c r="E27" s="72" t="s">
        <v>125</v>
      </c>
      <c r="F27" s="73" t="s">
        <v>1191</v>
      </c>
      <c r="G27" s="79">
        <v>45609</v>
      </c>
      <c r="H27" s="80" t="s">
        <v>1145</v>
      </c>
      <c r="I27" s="76" t="s">
        <v>38</v>
      </c>
      <c r="J27" s="73"/>
      <c r="K27" s="70"/>
      <c r="L27" s="73"/>
    </row>
    <row r="28" spans="1:12" s="1" customFormat="1" ht="20.100000000000001" customHeight="1">
      <c r="A28" s="69" t="s">
        <v>540</v>
      </c>
      <c r="B28" s="70" t="s">
        <v>544</v>
      </c>
      <c r="C28" s="72" t="s">
        <v>1192</v>
      </c>
      <c r="D28" s="71" t="s">
        <v>1193</v>
      </c>
      <c r="E28" s="72" t="s">
        <v>1174</v>
      </c>
      <c r="F28" s="73" t="s">
        <v>1194</v>
      </c>
      <c r="G28" s="79">
        <v>45611</v>
      </c>
      <c r="H28" s="80" t="s">
        <v>1145</v>
      </c>
      <c r="I28" s="76" t="s">
        <v>1143</v>
      </c>
      <c r="J28" s="73"/>
      <c r="K28" s="70"/>
      <c r="L28" s="73"/>
    </row>
    <row r="29" spans="1:12" s="1" customFormat="1" ht="20.100000000000001" customHeight="1">
      <c r="A29" s="69" t="s">
        <v>540</v>
      </c>
      <c r="B29" s="70" t="s">
        <v>545</v>
      </c>
      <c r="C29" s="72" t="s">
        <v>1189</v>
      </c>
      <c r="D29" s="71" t="s">
        <v>1195</v>
      </c>
      <c r="E29" s="81" t="s">
        <v>1169</v>
      </c>
      <c r="F29" s="73" t="s">
        <v>1196</v>
      </c>
      <c r="G29" s="79">
        <v>45611</v>
      </c>
      <c r="H29" s="80" t="s">
        <v>1145</v>
      </c>
      <c r="I29" s="76" t="s">
        <v>38</v>
      </c>
      <c r="J29" s="73"/>
      <c r="K29" s="70"/>
      <c r="L29" s="73"/>
    </row>
    <row r="30" spans="1:12" s="1" customFormat="1" ht="20.100000000000001" customHeight="1">
      <c r="A30" s="69" t="s">
        <v>540</v>
      </c>
      <c r="B30" s="70" t="s">
        <v>546</v>
      </c>
      <c r="C30" s="72" t="s">
        <v>1197</v>
      </c>
      <c r="D30" s="71" t="s">
        <v>1198</v>
      </c>
      <c r="E30" s="72" t="s">
        <v>1139</v>
      </c>
      <c r="F30" s="73" t="s">
        <v>548</v>
      </c>
      <c r="G30" s="79">
        <v>45611</v>
      </c>
      <c r="H30" s="80" t="s">
        <v>501</v>
      </c>
      <c r="I30" s="70" t="s">
        <v>1143</v>
      </c>
      <c r="J30" s="82"/>
      <c r="K30" s="70"/>
      <c r="L30" s="82"/>
    </row>
    <row r="31" spans="1:12" s="1" customFormat="1" ht="20.100000000000001" customHeight="1">
      <c r="A31" s="69" t="s">
        <v>540</v>
      </c>
      <c r="B31" s="70" t="s">
        <v>549</v>
      </c>
      <c r="C31" s="72" t="s">
        <v>1199</v>
      </c>
      <c r="D31" s="71" t="s">
        <v>1197</v>
      </c>
      <c r="E31" s="72" t="s">
        <v>1174</v>
      </c>
      <c r="F31" s="73" t="s">
        <v>550</v>
      </c>
      <c r="G31" s="79">
        <v>45611</v>
      </c>
      <c r="H31" s="80" t="s">
        <v>1145</v>
      </c>
      <c r="I31" s="76" t="s">
        <v>1153</v>
      </c>
      <c r="J31" s="73"/>
      <c r="K31" s="70"/>
      <c r="L31" s="73"/>
    </row>
    <row r="32" spans="1:12" s="1" customFormat="1" ht="20.100000000000001" customHeight="1">
      <c r="A32" s="69" t="s">
        <v>540</v>
      </c>
      <c r="B32" s="70" t="s">
        <v>551</v>
      </c>
      <c r="C32" s="72" t="s">
        <v>1197</v>
      </c>
      <c r="D32" s="71" t="s">
        <v>1199</v>
      </c>
      <c r="E32" s="72" t="s">
        <v>127</v>
      </c>
      <c r="F32" s="73" t="s">
        <v>552</v>
      </c>
      <c r="G32" s="79">
        <v>45618</v>
      </c>
      <c r="H32" s="80" t="s">
        <v>1163</v>
      </c>
      <c r="I32" s="70" t="s">
        <v>1143</v>
      </c>
      <c r="J32" s="73"/>
      <c r="K32" s="70"/>
      <c r="L32" s="73"/>
    </row>
    <row r="33" spans="1:12" s="1" customFormat="1" ht="20.100000000000001" customHeight="1">
      <c r="A33" s="69" t="s">
        <v>540</v>
      </c>
      <c r="B33" s="70" t="s">
        <v>553</v>
      </c>
      <c r="C33" s="72" t="s">
        <v>1199</v>
      </c>
      <c r="D33" s="71" t="s">
        <v>554</v>
      </c>
      <c r="E33" s="81" t="s">
        <v>1154</v>
      </c>
      <c r="F33" s="73" t="s">
        <v>555</v>
      </c>
      <c r="G33" s="79">
        <v>45610</v>
      </c>
      <c r="H33" s="80" t="s">
        <v>1145</v>
      </c>
      <c r="I33" s="70" t="s">
        <v>1153</v>
      </c>
      <c r="J33" s="73"/>
      <c r="K33" s="70"/>
      <c r="L33" s="73"/>
    </row>
    <row r="34" spans="1:12" s="1" customFormat="1" ht="20.100000000000001" customHeight="1">
      <c r="A34" s="70" t="s">
        <v>556</v>
      </c>
      <c r="B34" s="70" t="s">
        <v>557</v>
      </c>
      <c r="C34" s="72" t="s">
        <v>1200</v>
      </c>
      <c r="D34" s="71" t="s">
        <v>1201</v>
      </c>
      <c r="E34" s="81" t="s">
        <v>1154</v>
      </c>
      <c r="F34" s="73" t="s">
        <v>1202</v>
      </c>
      <c r="G34" s="79">
        <v>45614</v>
      </c>
      <c r="H34" s="80" t="s">
        <v>1145</v>
      </c>
      <c r="I34" s="70" t="s">
        <v>1153</v>
      </c>
      <c r="J34" s="82" t="s">
        <v>1203</v>
      </c>
      <c r="K34" s="70"/>
      <c r="L34" s="82"/>
    </row>
    <row r="35" spans="1:12" s="1" customFormat="1" ht="20.100000000000001" customHeight="1">
      <c r="A35" s="70" t="s">
        <v>556</v>
      </c>
      <c r="B35" s="70" t="s">
        <v>558</v>
      </c>
      <c r="C35" s="72" t="s">
        <v>1204</v>
      </c>
      <c r="D35" s="71" t="s">
        <v>1205</v>
      </c>
      <c r="E35" s="81" t="s">
        <v>1169</v>
      </c>
      <c r="F35" s="73" t="s">
        <v>1206</v>
      </c>
      <c r="G35" s="79">
        <v>45611</v>
      </c>
      <c r="H35" s="80" t="s">
        <v>1167</v>
      </c>
      <c r="I35" s="70" t="s">
        <v>1153</v>
      </c>
      <c r="J35" s="82"/>
      <c r="K35" s="70"/>
      <c r="L35" s="82"/>
    </row>
    <row r="36" spans="1:12" s="1" customFormat="1" ht="20.100000000000001" customHeight="1">
      <c r="A36" s="70" t="s">
        <v>556</v>
      </c>
      <c r="B36" s="70" t="s">
        <v>558</v>
      </c>
      <c r="C36" s="72" t="s">
        <v>1200</v>
      </c>
      <c r="D36" s="71" t="s">
        <v>1207</v>
      </c>
      <c r="E36" s="72" t="s">
        <v>1139</v>
      </c>
      <c r="F36" s="73" t="s">
        <v>1208</v>
      </c>
      <c r="G36" s="79">
        <v>45611</v>
      </c>
      <c r="H36" s="80" t="s">
        <v>1167</v>
      </c>
      <c r="I36" s="70" t="s">
        <v>1143</v>
      </c>
      <c r="J36" s="82" t="s">
        <v>559</v>
      </c>
      <c r="K36" s="70"/>
      <c r="L36" s="82"/>
    </row>
    <row r="37" spans="1:12" s="1" customFormat="1" ht="20.100000000000001" customHeight="1">
      <c r="A37" s="70" t="s">
        <v>556</v>
      </c>
      <c r="B37" s="70" t="s">
        <v>560</v>
      </c>
      <c r="C37" s="72" t="s">
        <v>221</v>
      </c>
      <c r="D37" s="71" t="s">
        <v>1209</v>
      </c>
      <c r="E37" s="81" t="s">
        <v>118</v>
      </c>
      <c r="F37" s="73" t="s">
        <v>561</v>
      </c>
      <c r="G37" s="79">
        <v>45624</v>
      </c>
      <c r="H37" s="80" t="s">
        <v>1145</v>
      </c>
      <c r="I37" s="70" t="s">
        <v>1153</v>
      </c>
      <c r="J37" s="73"/>
      <c r="K37" s="70"/>
      <c r="L37" s="73"/>
    </row>
    <row r="38" spans="1:12" s="1" customFormat="1" ht="20.100000000000001" customHeight="1">
      <c r="A38" s="70" t="s">
        <v>556</v>
      </c>
      <c r="B38" s="70" t="s">
        <v>562</v>
      </c>
      <c r="C38" s="72" t="s">
        <v>1200</v>
      </c>
      <c r="D38" s="71" t="s">
        <v>1210</v>
      </c>
      <c r="E38" s="72" t="s">
        <v>1174</v>
      </c>
      <c r="F38" s="73" t="s">
        <v>1211</v>
      </c>
      <c r="G38" s="79">
        <v>45624</v>
      </c>
      <c r="H38" s="80" t="s">
        <v>501</v>
      </c>
      <c r="I38" s="70" t="s">
        <v>38</v>
      </c>
      <c r="J38" s="73"/>
      <c r="K38" s="70"/>
      <c r="L38" s="73"/>
    </row>
    <row r="39" spans="1:12" s="1" customFormat="1" ht="20.100000000000001" customHeight="1">
      <c r="A39" s="70" t="s">
        <v>556</v>
      </c>
      <c r="B39" s="70" t="s">
        <v>564</v>
      </c>
      <c r="C39" s="72" t="s">
        <v>221</v>
      </c>
      <c r="D39" s="71" t="s">
        <v>563</v>
      </c>
      <c r="E39" s="81" t="s">
        <v>118</v>
      </c>
      <c r="F39" s="73" t="s">
        <v>1212</v>
      </c>
      <c r="G39" s="79">
        <v>45624</v>
      </c>
      <c r="H39" s="80" t="s">
        <v>1145</v>
      </c>
      <c r="I39" s="70" t="s">
        <v>38</v>
      </c>
      <c r="J39" s="73"/>
      <c r="K39" s="70"/>
      <c r="L39" s="73"/>
    </row>
    <row r="40" spans="1:12" s="1" customFormat="1" ht="20.100000000000001" customHeight="1">
      <c r="A40" s="70" t="s">
        <v>540</v>
      </c>
      <c r="B40" s="70" t="s">
        <v>565</v>
      </c>
      <c r="C40" s="72" t="s">
        <v>1213</v>
      </c>
      <c r="D40" s="71" t="s">
        <v>1214</v>
      </c>
      <c r="E40" s="72" t="s">
        <v>1215</v>
      </c>
      <c r="F40" s="73" t="s">
        <v>1216</v>
      </c>
      <c r="G40" s="79">
        <v>45618</v>
      </c>
      <c r="H40" s="80" t="s">
        <v>523</v>
      </c>
      <c r="I40" s="70" t="s">
        <v>1143</v>
      </c>
      <c r="J40" s="73"/>
      <c r="K40" s="70"/>
      <c r="L40" s="73"/>
    </row>
    <row r="41" spans="1:12" s="1" customFormat="1" ht="20.100000000000001" customHeight="1">
      <c r="A41" s="70" t="s">
        <v>540</v>
      </c>
      <c r="B41" s="70" t="s">
        <v>565</v>
      </c>
      <c r="C41" s="72" t="s">
        <v>86</v>
      </c>
      <c r="D41" s="71" t="s">
        <v>1214</v>
      </c>
      <c r="E41" s="72" t="s">
        <v>1161</v>
      </c>
      <c r="F41" s="73" t="s">
        <v>566</v>
      </c>
      <c r="G41" s="79">
        <v>45610</v>
      </c>
      <c r="H41" s="80" t="s">
        <v>524</v>
      </c>
      <c r="I41" s="70" t="s">
        <v>1153</v>
      </c>
      <c r="J41" s="73"/>
      <c r="K41" s="70"/>
      <c r="L41" s="73"/>
    </row>
    <row r="42" spans="1:12" s="1" customFormat="1" ht="20.100000000000001" customHeight="1">
      <c r="A42" s="70" t="s">
        <v>540</v>
      </c>
      <c r="B42" s="70" t="s">
        <v>567</v>
      </c>
      <c r="C42" s="72" t="s">
        <v>1197</v>
      </c>
      <c r="D42" s="71" t="s">
        <v>1217</v>
      </c>
      <c r="E42" s="72" t="s">
        <v>1174</v>
      </c>
      <c r="F42" s="73" t="s">
        <v>568</v>
      </c>
      <c r="G42" s="79">
        <v>45611</v>
      </c>
      <c r="H42" s="80" t="s">
        <v>1167</v>
      </c>
      <c r="I42" s="76" t="s">
        <v>1153</v>
      </c>
      <c r="J42" s="73"/>
      <c r="K42" s="70"/>
      <c r="L42" s="73"/>
    </row>
    <row r="43" spans="1:12" s="1" customFormat="1" ht="20.100000000000001" customHeight="1">
      <c r="A43" s="70" t="s">
        <v>540</v>
      </c>
      <c r="B43" s="70" t="s">
        <v>569</v>
      </c>
      <c r="C43" s="72" t="s">
        <v>1199</v>
      </c>
      <c r="D43" s="71" t="s">
        <v>570</v>
      </c>
      <c r="E43" s="72" t="s">
        <v>125</v>
      </c>
      <c r="F43" s="73" t="s">
        <v>571</v>
      </c>
      <c r="G43" s="79">
        <v>45610</v>
      </c>
      <c r="H43" s="80" t="s">
        <v>1179</v>
      </c>
      <c r="I43" s="70" t="s">
        <v>1153</v>
      </c>
      <c r="J43" s="73"/>
      <c r="K43" s="70"/>
      <c r="L43" s="73"/>
    </row>
    <row r="44" spans="1:12" s="1" customFormat="1" ht="20.100000000000001" customHeight="1">
      <c r="A44" s="70" t="s">
        <v>540</v>
      </c>
      <c r="B44" s="70" t="s">
        <v>1218</v>
      </c>
      <c r="C44" s="72" t="s">
        <v>34</v>
      </c>
      <c r="D44" s="73" t="s">
        <v>1219</v>
      </c>
      <c r="E44" s="72" t="s">
        <v>1139</v>
      </c>
      <c r="F44" s="73" t="s">
        <v>572</v>
      </c>
      <c r="G44" s="79">
        <v>45610</v>
      </c>
      <c r="H44" s="80" t="s">
        <v>1179</v>
      </c>
      <c r="I44" s="70" t="s">
        <v>1153</v>
      </c>
      <c r="J44" s="73"/>
      <c r="K44" s="70"/>
      <c r="L44" s="73"/>
    </row>
    <row r="45" spans="1:12" s="1" customFormat="1" ht="20.100000000000001" customHeight="1">
      <c r="A45" s="70" t="s">
        <v>540</v>
      </c>
      <c r="B45" s="70" t="s">
        <v>573</v>
      </c>
      <c r="C45" s="72" t="s">
        <v>34</v>
      </c>
      <c r="D45" s="73" t="s">
        <v>1220</v>
      </c>
      <c r="E45" s="72" t="s">
        <v>125</v>
      </c>
      <c r="F45" s="73" t="s">
        <v>1221</v>
      </c>
      <c r="G45" s="79">
        <v>45611</v>
      </c>
      <c r="H45" s="80" t="s">
        <v>1145</v>
      </c>
      <c r="I45" s="70" t="s">
        <v>1143</v>
      </c>
      <c r="J45" s="73"/>
      <c r="K45" s="70"/>
      <c r="L45" s="73"/>
    </row>
    <row r="46" spans="1:12" s="1" customFormat="1" ht="20.100000000000001" customHeight="1">
      <c r="A46" s="70" t="s">
        <v>540</v>
      </c>
      <c r="B46" s="70" t="s">
        <v>574</v>
      </c>
      <c r="C46" s="72" t="s">
        <v>1189</v>
      </c>
      <c r="D46" s="71" t="s">
        <v>1222</v>
      </c>
      <c r="E46" s="81" t="s">
        <v>1169</v>
      </c>
      <c r="F46" s="73" t="s">
        <v>575</v>
      </c>
      <c r="G46" s="79">
        <v>45610</v>
      </c>
      <c r="H46" s="80" t="s">
        <v>1179</v>
      </c>
      <c r="I46" s="70" t="s">
        <v>1143</v>
      </c>
      <c r="J46" s="73"/>
      <c r="K46" s="70"/>
      <c r="L46" s="73"/>
    </row>
    <row r="47" spans="1:12" s="1" customFormat="1" ht="20.100000000000001" customHeight="1">
      <c r="A47" s="70" t="s">
        <v>540</v>
      </c>
      <c r="B47" s="70" t="s">
        <v>576</v>
      </c>
      <c r="C47" s="72" t="s">
        <v>1197</v>
      </c>
      <c r="D47" s="71" t="s">
        <v>1223</v>
      </c>
      <c r="E47" s="72" t="s">
        <v>125</v>
      </c>
      <c r="F47" s="73" t="s">
        <v>1224</v>
      </c>
      <c r="G47" s="79">
        <v>45610</v>
      </c>
      <c r="H47" s="80" t="s">
        <v>1179</v>
      </c>
      <c r="I47" s="70" t="s">
        <v>1143</v>
      </c>
      <c r="J47" s="73"/>
      <c r="K47" s="70"/>
      <c r="L47" s="73"/>
    </row>
    <row r="48" spans="1:12" s="1" customFormat="1" ht="20.100000000000001" customHeight="1">
      <c r="A48" s="70" t="s">
        <v>540</v>
      </c>
      <c r="B48" s="70" t="s">
        <v>577</v>
      </c>
      <c r="C48" s="72" t="s">
        <v>130</v>
      </c>
      <c r="D48" s="71" t="s">
        <v>1225</v>
      </c>
      <c r="E48" s="72" t="s">
        <v>1215</v>
      </c>
      <c r="F48" s="73" t="s">
        <v>1226</v>
      </c>
      <c r="G48" s="79">
        <v>45618</v>
      </c>
      <c r="H48" s="80" t="s">
        <v>1227</v>
      </c>
      <c r="I48" s="70" t="s">
        <v>38</v>
      </c>
      <c r="J48" s="73"/>
      <c r="K48" s="70"/>
      <c r="L48" s="73"/>
    </row>
    <row r="49" spans="1:12" s="1" customFormat="1" ht="20.100000000000001" customHeight="1">
      <c r="A49" s="70" t="s">
        <v>540</v>
      </c>
      <c r="B49" s="70" t="s">
        <v>578</v>
      </c>
      <c r="C49" s="72" t="s">
        <v>1199</v>
      </c>
      <c r="D49" s="71" t="s">
        <v>579</v>
      </c>
      <c r="E49" s="81" t="s">
        <v>1154</v>
      </c>
      <c r="F49" s="73" t="s">
        <v>1228</v>
      </c>
      <c r="G49" s="79">
        <v>45624</v>
      </c>
      <c r="H49" s="80" t="s">
        <v>1179</v>
      </c>
      <c r="I49" s="70" t="s">
        <v>1153</v>
      </c>
      <c r="J49" s="82"/>
      <c r="K49" s="70"/>
      <c r="L49" s="82"/>
    </row>
    <row r="50" spans="1:12" s="1" customFormat="1" ht="20.100000000000001" customHeight="1">
      <c r="A50" s="70" t="s">
        <v>540</v>
      </c>
      <c r="B50" s="70" t="s">
        <v>578</v>
      </c>
      <c r="C50" s="72" t="s">
        <v>1199</v>
      </c>
      <c r="D50" s="71" t="s">
        <v>1229</v>
      </c>
      <c r="E50" s="81" t="s">
        <v>118</v>
      </c>
      <c r="F50" s="73" t="s">
        <v>580</v>
      </c>
      <c r="G50" s="79">
        <v>45624</v>
      </c>
      <c r="H50" s="80" t="s">
        <v>1176</v>
      </c>
      <c r="I50" s="70" t="s">
        <v>38</v>
      </c>
      <c r="J50" s="82"/>
      <c r="K50" s="70"/>
      <c r="L50" s="82"/>
    </row>
    <row r="51" spans="1:12" s="1" customFormat="1" ht="20.100000000000001" customHeight="1">
      <c r="A51" s="70" t="s">
        <v>540</v>
      </c>
      <c r="B51" s="70" t="s">
        <v>581</v>
      </c>
      <c r="C51" s="72" t="s">
        <v>1197</v>
      </c>
      <c r="D51" s="71" t="s">
        <v>582</v>
      </c>
      <c r="E51" s="81" t="s">
        <v>118</v>
      </c>
      <c r="F51" s="73" t="s">
        <v>1230</v>
      </c>
      <c r="G51" s="79">
        <v>45624</v>
      </c>
      <c r="H51" s="80" t="s">
        <v>1179</v>
      </c>
      <c r="I51" s="70" t="s">
        <v>1153</v>
      </c>
      <c r="J51" s="82"/>
      <c r="K51" s="70"/>
      <c r="L51" s="82"/>
    </row>
    <row r="52" spans="1:12" s="1" customFormat="1" ht="20.100000000000001" customHeight="1">
      <c r="A52" s="70" t="s">
        <v>540</v>
      </c>
      <c r="B52" s="70" t="s">
        <v>583</v>
      </c>
      <c r="C52" s="72" t="s">
        <v>1197</v>
      </c>
      <c r="D52" s="71" t="s">
        <v>1231</v>
      </c>
      <c r="E52" s="81" t="s">
        <v>1169</v>
      </c>
      <c r="F52" s="73" t="s">
        <v>584</v>
      </c>
      <c r="G52" s="79">
        <v>45611</v>
      </c>
      <c r="H52" s="80" t="s">
        <v>1145</v>
      </c>
      <c r="I52" s="70" t="s">
        <v>38</v>
      </c>
      <c r="J52" s="82"/>
      <c r="K52" s="70"/>
      <c r="L52" s="82"/>
    </row>
    <row r="53" spans="1:12" s="1" customFormat="1" ht="20.100000000000001" customHeight="1">
      <c r="A53" s="70" t="s">
        <v>540</v>
      </c>
      <c r="B53" s="70" t="s">
        <v>585</v>
      </c>
      <c r="C53" s="83" t="s">
        <v>1199</v>
      </c>
      <c r="D53" s="71" t="s">
        <v>1232</v>
      </c>
      <c r="E53" s="72" t="s">
        <v>1215</v>
      </c>
      <c r="F53" s="73" t="s">
        <v>1233</v>
      </c>
      <c r="G53" s="79">
        <v>45624</v>
      </c>
      <c r="H53" s="80" t="s">
        <v>1234</v>
      </c>
      <c r="I53" s="70" t="s">
        <v>38</v>
      </c>
      <c r="J53" s="82"/>
      <c r="K53" s="70"/>
      <c r="L53" s="82"/>
    </row>
    <row r="54" spans="1:12" s="1" customFormat="1" ht="20.100000000000001" customHeight="1">
      <c r="A54" s="70" t="s">
        <v>540</v>
      </c>
      <c r="B54" s="70" t="s">
        <v>586</v>
      </c>
      <c r="C54" s="83" t="s">
        <v>1199</v>
      </c>
      <c r="D54" s="71" t="s">
        <v>1232</v>
      </c>
      <c r="E54" s="81" t="s">
        <v>1154</v>
      </c>
      <c r="F54" s="73" t="s">
        <v>1235</v>
      </c>
      <c r="G54" s="79">
        <v>45624</v>
      </c>
      <c r="H54" s="80" t="s">
        <v>1236</v>
      </c>
      <c r="I54" s="70" t="s">
        <v>1153</v>
      </c>
      <c r="J54" s="82"/>
      <c r="K54" s="70"/>
      <c r="L54" s="82"/>
    </row>
    <row r="55" spans="1:12" s="1" customFormat="1" ht="20.100000000000001" customHeight="1">
      <c r="A55" s="70" t="s">
        <v>540</v>
      </c>
      <c r="B55" s="70" t="s">
        <v>588</v>
      </c>
      <c r="C55" s="83" t="s">
        <v>1199</v>
      </c>
      <c r="D55" s="71" t="s">
        <v>1237</v>
      </c>
      <c r="E55" s="72" t="s">
        <v>1215</v>
      </c>
      <c r="F55" s="73" t="s">
        <v>1238</v>
      </c>
      <c r="G55" s="79">
        <v>45624</v>
      </c>
      <c r="H55" s="80" t="s">
        <v>1234</v>
      </c>
      <c r="I55" s="70" t="s">
        <v>1143</v>
      </c>
      <c r="J55" s="82"/>
      <c r="K55" s="70"/>
      <c r="L55" s="82"/>
    </row>
    <row r="56" spans="1:12" s="1" customFormat="1" ht="20.100000000000001" customHeight="1">
      <c r="A56" s="70" t="s">
        <v>540</v>
      </c>
      <c r="B56" s="70" t="s">
        <v>589</v>
      </c>
      <c r="C56" s="84" t="s">
        <v>1197</v>
      </c>
      <c r="D56" s="71" t="s">
        <v>1237</v>
      </c>
      <c r="E56" s="81" t="s">
        <v>1169</v>
      </c>
      <c r="F56" s="73" t="s">
        <v>1239</v>
      </c>
      <c r="G56" s="79">
        <v>45624</v>
      </c>
      <c r="H56" s="80" t="s">
        <v>1240</v>
      </c>
      <c r="I56" s="70" t="s">
        <v>1153</v>
      </c>
      <c r="J56" s="82"/>
      <c r="K56" s="70"/>
      <c r="L56" s="82"/>
    </row>
    <row r="57" spans="1:12" s="1" customFormat="1" ht="20.100000000000001" customHeight="1">
      <c r="A57" s="70" t="s">
        <v>540</v>
      </c>
      <c r="B57" s="70" t="s">
        <v>1241</v>
      </c>
      <c r="C57" s="72" t="s">
        <v>1192</v>
      </c>
      <c r="D57" s="71" t="s">
        <v>590</v>
      </c>
      <c r="E57" s="81" t="s">
        <v>1154</v>
      </c>
      <c r="F57" s="73" t="s">
        <v>1242</v>
      </c>
      <c r="G57" s="79">
        <v>45611</v>
      </c>
      <c r="H57" s="80" t="s">
        <v>1167</v>
      </c>
      <c r="I57" s="70" t="s">
        <v>1153</v>
      </c>
      <c r="J57" s="82"/>
      <c r="K57" s="70"/>
      <c r="L57" s="82"/>
    </row>
    <row r="58" spans="1:12" s="1" customFormat="1" ht="20.100000000000001" customHeight="1">
      <c r="A58" s="70" t="s">
        <v>540</v>
      </c>
      <c r="B58" s="70" t="s">
        <v>591</v>
      </c>
      <c r="C58" s="72" t="s">
        <v>1189</v>
      </c>
      <c r="D58" s="71" t="s">
        <v>543</v>
      </c>
      <c r="E58" s="72" t="s">
        <v>1174</v>
      </c>
      <c r="F58" s="73" t="s">
        <v>1243</v>
      </c>
      <c r="G58" s="79">
        <v>45611</v>
      </c>
      <c r="H58" s="80" t="s">
        <v>1145</v>
      </c>
      <c r="I58" s="70" t="s">
        <v>1153</v>
      </c>
      <c r="J58" s="73"/>
      <c r="K58" s="70"/>
      <c r="L58" s="73"/>
    </row>
    <row r="59" spans="1:12" s="1" customFormat="1" ht="20.100000000000001" customHeight="1">
      <c r="A59" s="70" t="s">
        <v>540</v>
      </c>
      <c r="B59" s="70" t="s">
        <v>592</v>
      </c>
      <c r="C59" s="72" t="s">
        <v>1199</v>
      </c>
      <c r="D59" s="71" t="s">
        <v>547</v>
      </c>
      <c r="E59" s="72" t="s">
        <v>1174</v>
      </c>
      <c r="F59" s="73" t="s">
        <v>1224</v>
      </c>
      <c r="G59" s="79">
        <v>45624</v>
      </c>
      <c r="H59" s="80" t="s">
        <v>1167</v>
      </c>
      <c r="I59" s="70" t="s">
        <v>38</v>
      </c>
      <c r="J59" s="82"/>
      <c r="K59" s="70"/>
      <c r="L59" s="82"/>
    </row>
    <row r="60" spans="1:12" s="1" customFormat="1" ht="20.100000000000001" customHeight="1">
      <c r="A60" s="70" t="s">
        <v>540</v>
      </c>
      <c r="B60" s="70" t="s">
        <v>593</v>
      </c>
      <c r="C60" s="72" t="s">
        <v>1199</v>
      </c>
      <c r="D60" s="71" t="s">
        <v>1199</v>
      </c>
      <c r="E60" s="72" t="s">
        <v>1174</v>
      </c>
      <c r="F60" s="73" t="s">
        <v>1226</v>
      </c>
      <c r="G60" s="79">
        <v>45609</v>
      </c>
      <c r="H60" s="80" t="s">
        <v>501</v>
      </c>
      <c r="I60" s="76" t="s">
        <v>1143</v>
      </c>
      <c r="J60" s="73"/>
      <c r="K60" s="70"/>
      <c r="L60" s="73"/>
    </row>
    <row r="61" spans="1:12" s="1" customFormat="1" ht="20.100000000000001" customHeight="1">
      <c r="A61" s="70" t="s">
        <v>540</v>
      </c>
      <c r="B61" s="70" t="s">
        <v>594</v>
      </c>
      <c r="C61" s="72" t="s">
        <v>1197</v>
      </c>
      <c r="D61" s="71" t="s">
        <v>595</v>
      </c>
      <c r="E61" s="81" t="s">
        <v>1169</v>
      </c>
      <c r="F61" s="73" t="s">
        <v>555</v>
      </c>
      <c r="G61" s="79">
        <v>45624</v>
      </c>
      <c r="H61" s="80" t="s">
        <v>1167</v>
      </c>
      <c r="I61" s="70" t="s">
        <v>1153</v>
      </c>
      <c r="J61" s="73"/>
      <c r="K61" s="70"/>
      <c r="L61" s="73"/>
    </row>
    <row r="62" spans="1:12" s="1" customFormat="1" ht="20.100000000000001" customHeight="1">
      <c r="A62" s="70" t="s">
        <v>596</v>
      </c>
      <c r="B62" s="70" t="s">
        <v>1244</v>
      </c>
      <c r="C62" s="72" t="s">
        <v>1245</v>
      </c>
      <c r="D62" s="73" t="s">
        <v>597</v>
      </c>
      <c r="E62" s="81" t="s">
        <v>118</v>
      </c>
      <c r="F62" s="73" t="s">
        <v>1246</v>
      </c>
      <c r="G62" s="79">
        <v>45624</v>
      </c>
      <c r="H62" s="80" t="s">
        <v>1247</v>
      </c>
      <c r="I62" s="70" t="s">
        <v>1153</v>
      </c>
      <c r="J62" s="73"/>
      <c r="K62" s="70"/>
      <c r="L62" s="73"/>
    </row>
    <row r="63" spans="1:12" s="1" customFormat="1" ht="20.100000000000001" customHeight="1">
      <c r="A63" s="70" t="s">
        <v>596</v>
      </c>
      <c r="B63" s="70" t="s">
        <v>598</v>
      </c>
      <c r="C63" s="72" t="s">
        <v>1245</v>
      </c>
      <c r="D63" s="73" t="s">
        <v>599</v>
      </c>
      <c r="E63" s="81" t="s">
        <v>1154</v>
      </c>
      <c r="F63" s="73" t="s">
        <v>1248</v>
      </c>
      <c r="G63" s="79">
        <v>45624</v>
      </c>
      <c r="H63" s="80" t="s">
        <v>1249</v>
      </c>
      <c r="I63" s="70" t="s">
        <v>1153</v>
      </c>
      <c r="J63" s="73"/>
      <c r="K63" s="70"/>
      <c r="L63" s="73"/>
    </row>
    <row r="64" spans="1:12" s="1" customFormat="1" ht="20.100000000000001" customHeight="1">
      <c r="A64" s="70" t="s">
        <v>596</v>
      </c>
      <c r="B64" s="70" t="s">
        <v>600</v>
      </c>
      <c r="C64" s="72" t="s">
        <v>1250</v>
      </c>
      <c r="D64" s="71" t="s">
        <v>543</v>
      </c>
      <c r="E64" s="72" t="s">
        <v>1174</v>
      </c>
      <c r="F64" s="73" t="s">
        <v>1251</v>
      </c>
      <c r="G64" s="79">
        <v>45624</v>
      </c>
      <c r="H64" s="80" t="s">
        <v>1176</v>
      </c>
      <c r="I64" s="70" t="s">
        <v>1153</v>
      </c>
      <c r="J64" s="73"/>
      <c r="K64" s="70"/>
      <c r="L64" s="73"/>
    </row>
    <row r="65" spans="1:12" s="1" customFormat="1" ht="20.100000000000001" customHeight="1">
      <c r="A65" s="70" t="s">
        <v>596</v>
      </c>
      <c r="B65" s="70" t="s">
        <v>601</v>
      </c>
      <c r="C65" s="72" t="s">
        <v>1245</v>
      </c>
      <c r="D65" s="71" t="s">
        <v>1252</v>
      </c>
      <c r="E65" s="72" t="s">
        <v>1174</v>
      </c>
      <c r="F65" s="73" t="s">
        <v>1253</v>
      </c>
      <c r="G65" s="79">
        <v>45624</v>
      </c>
      <c r="H65" s="80" t="s">
        <v>1247</v>
      </c>
      <c r="I65" s="70" t="s">
        <v>1153</v>
      </c>
      <c r="J65" s="73"/>
      <c r="K65" s="70"/>
      <c r="L65" s="73"/>
    </row>
    <row r="66" spans="1:12" s="1" customFormat="1" ht="20.100000000000001" customHeight="1">
      <c r="A66" s="70" t="s">
        <v>596</v>
      </c>
      <c r="B66" s="70" t="s">
        <v>602</v>
      </c>
      <c r="C66" s="72" t="s">
        <v>1245</v>
      </c>
      <c r="D66" s="71" t="s">
        <v>603</v>
      </c>
      <c r="E66" s="81" t="s">
        <v>118</v>
      </c>
      <c r="F66" s="73" t="s">
        <v>1254</v>
      </c>
      <c r="G66" s="79">
        <v>45624</v>
      </c>
      <c r="H66" s="80" t="s">
        <v>1249</v>
      </c>
      <c r="I66" s="70" t="s">
        <v>38</v>
      </c>
      <c r="J66" s="82"/>
      <c r="K66" s="70"/>
      <c r="L66" s="82"/>
    </row>
    <row r="67" spans="1:12" s="1" customFormat="1" ht="20.100000000000001" customHeight="1">
      <c r="A67" s="70" t="s">
        <v>596</v>
      </c>
      <c r="B67" s="70" t="s">
        <v>604</v>
      </c>
      <c r="C67" s="72" t="s">
        <v>1255</v>
      </c>
      <c r="D67" s="71" t="s">
        <v>1198</v>
      </c>
      <c r="E67" s="72" t="s">
        <v>1174</v>
      </c>
      <c r="F67" s="73" t="s">
        <v>1224</v>
      </c>
      <c r="G67" s="79">
        <v>45624</v>
      </c>
      <c r="H67" s="80" t="s">
        <v>1176</v>
      </c>
      <c r="I67" s="70" t="s">
        <v>1143</v>
      </c>
      <c r="J67" s="73"/>
      <c r="K67" s="70"/>
      <c r="L67" s="73"/>
    </row>
    <row r="68" spans="1:12" s="1" customFormat="1" ht="20.100000000000001" customHeight="1">
      <c r="A68" s="70" t="s">
        <v>596</v>
      </c>
      <c r="B68" s="70" t="s">
        <v>605</v>
      </c>
      <c r="C68" s="72" t="s">
        <v>1255</v>
      </c>
      <c r="D68" s="71" t="s">
        <v>1256</v>
      </c>
      <c r="E68" s="72" t="s">
        <v>1174</v>
      </c>
      <c r="F68" s="73" t="s">
        <v>1257</v>
      </c>
      <c r="G68" s="79">
        <v>45610</v>
      </c>
      <c r="H68" s="80" t="s">
        <v>1236</v>
      </c>
      <c r="I68" s="70" t="s">
        <v>1153</v>
      </c>
      <c r="J68" s="73" t="s">
        <v>1258</v>
      </c>
      <c r="K68" s="70"/>
      <c r="L68" s="73"/>
    </row>
    <row r="69" spans="1:12" s="1" customFormat="1" ht="20.100000000000001" customHeight="1">
      <c r="A69" s="70" t="s">
        <v>596</v>
      </c>
      <c r="B69" s="70" t="s">
        <v>605</v>
      </c>
      <c r="C69" s="72" t="s">
        <v>254</v>
      </c>
      <c r="D69" s="71" t="s">
        <v>1259</v>
      </c>
      <c r="E69" s="72" t="s">
        <v>1174</v>
      </c>
      <c r="F69" s="73" t="s">
        <v>1257</v>
      </c>
      <c r="G69" s="79">
        <v>45624</v>
      </c>
      <c r="H69" s="80" t="s">
        <v>1179</v>
      </c>
      <c r="I69" s="70" t="s">
        <v>1153</v>
      </c>
      <c r="J69" s="73"/>
      <c r="K69" s="70"/>
      <c r="L69" s="73"/>
    </row>
    <row r="70" spans="1:12" s="1" customFormat="1" ht="20.100000000000001" customHeight="1">
      <c r="A70" s="70" t="s">
        <v>596</v>
      </c>
      <c r="B70" s="70" t="s">
        <v>606</v>
      </c>
      <c r="C70" s="72" t="s">
        <v>1255</v>
      </c>
      <c r="D70" s="71" t="s">
        <v>1259</v>
      </c>
      <c r="E70" s="72" t="s">
        <v>1215</v>
      </c>
      <c r="F70" s="73" t="s">
        <v>1257</v>
      </c>
      <c r="G70" s="79">
        <v>45618</v>
      </c>
      <c r="H70" s="80" t="s">
        <v>1163</v>
      </c>
      <c r="I70" s="70" t="s">
        <v>1153</v>
      </c>
      <c r="J70" s="82"/>
      <c r="K70" s="70"/>
      <c r="L70" s="82"/>
    </row>
    <row r="71" spans="1:12" s="1" customFormat="1" ht="20.100000000000001" customHeight="1">
      <c r="A71" s="70" t="s">
        <v>596</v>
      </c>
      <c r="B71" s="70" t="s">
        <v>606</v>
      </c>
      <c r="C71" s="72" t="s">
        <v>1255</v>
      </c>
      <c r="D71" s="71" t="s">
        <v>1260</v>
      </c>
      <c r="E71" s="72" t="s">
        <v>1215</v>
      </c>
      <c r="F71" s="73" t="s">
        <v>1257</v>
      </c>
      <c r="G71" s="79">
        <v>45610</v>
      </c>
      <c r="H71" s="80" t="s">
        <v>1234</v>
      </c>
      <c r="I71" s="70" t="s">
        <v>1143</v>
      </c>
      <c r="J71" s="82"/>
      <c r="K71" s="70"/>
      <c r="L71" s="82"/>
    </row>
    <row r="72" spans="1:12" s="1" customFormat="1" ht="20.100000000000001" customHeight="1">
      <c r="A72" s="70" t="s">
        <v>596</v>
      </c>
      <c r="B72" s="70" t="s">
        <v>607</v>
      </c>
      <c r="C72" s="72" t="s">
        <v>254</v>
      </c>
      <c r="D72" s="71" t="s">
        <v>1261</v>
      </c>
      <c r="E72" s="72" t="s">
        <v>1174</v>
      </c>
      <c r="F72" s="73" t="s">
        <v>1262</v>
      </c>
      <c r="G72" s="79">
        <v>45610</v>
      </c>
      <c r="H72" s="80" t="s">
        <v>1236</v>
      </c>
      <c r="I72" s="70" t="s">
        <v>1153</v>
      </c>
      <c r="J72" s="73" t="s">
        <v>1258</v>
      </c>
      <c r="K72" s="70"/>
      <c r="L72" s="82"/>
    </row>
    <row r="73" spans="1:12" s="1" customFormat="1" ht="20.100000000000001" customHeight="1">
      <c r="A73" s="70" t="s">
        <v>596</v>
      </c>
      <c r="B73" s="70" t="s">
        <v>607</v>
      </c>
      <c r="C73" s="72" t="s">
        <v>254</v>
      </c>
      <c r="D73" s="71" t="s">
        <v>1263</v>
      </c>
      <c r="E73" s="72" t="s">
        <v>1174</v>
      </c>
      <c r="F73" s="73" t="s">
        <v>1262</v>
      </c>
      <c r="G73" s="79">
        <v>45624</v>
      </c>
      <c r="H73" s="80" t="s">
        <v>1179</v>
      </c>
      <c r="I73" s="70" t="s">
        <v>1153</v>
      </c>
      <c r="J73" s="82"/>
      <c r="K73" s="70"/>
      <c r="L73" s="82"/>
    </row>
    <row r="74" spans="1:12" s="1" customFormat="1" ht="20.100000000000001" customHeight="1">
      <c r="A74" s="70" t="s">
        <v>596</v>
      </c>
      <c r="B74" s="70" t="s">
        <v>608</v>
      </c>
      <c r="C74" s="72" t="s">
        <v>1255</v>
      </c>
      <c r="D74" s="71" t="s">
        <v>609</v>
      </c>
      <c r="E74" s="72" t="s">
        <v>125</v>
      </c>
      <c r="F74" s="73" t="s">
        <v>1264</v>
      </c>
      <c r="G74" s="79">
        <v>45610</v>
      </c>
      <c r="H74" s="80" t="s">
        <v>1236</v>
      </c>
      <c r="I74" s="70" t="s">
        <v>1153</v>
      </c>
      <c r="J74" s="73" t="s">
        <v>1258</v>
      </c>
      <c r="K74" s="70"/>
      <c r="L74" s="82"/>
    </row>
    <row r="75" spans="1:12" s="1" customFormat="1" ht="20.100000000000001" customHeight="1">
      <c r="A75" s="70" t="s">
        <v>596</v>
      </c>
      <c r="B75" s="70" t="s">
        <v>608</v>
      </c>
      <c r="C75" s="72" t="s">
        <v>1255</v>
      </c>
      <c r="D75" s="71" t="s">
        <v>1265</v>
      </c>
      <c r="E75" s="72" t="s">
        <v>1139</v>
      </c>
      <c r="F75" s="73" t="s">
        <v>1264</v>
      </c>
      <c r="G75" s="79">
        <v>45624</v>
      </c>
      <c r="H75" s="80" t="s">
        <v>1179</v>
      </c>
      <c r="I75" s="70" t="s">
        <v>1153</v>
      </c>
      <c r="J75" s="82"/>
      <c r="K75" s="70"/>
      <c r="L75" s="82"/>
    </row>
    <row r="76" spans="1:12" s="1" customFormat="1" ht="20.100000000000001" customHeight="1">
      <c r="A76" s="70" t="s">
        <v>596</v>
      </c>
      <c r="B76" s="70" t="s">
        <v>610</v>
      </c>
      <c r="C76" s="72" t="s">
        <v>1255</v>
      </c>
      <c r="D76" s="71" t="s">
        <v>611</v>
      </c>
      <c r="E76" s="81" t="s">
        <v>1154</v>
      </c>
      <c r="F76" s="73" t="s">
        <v>1266</v>
      </c>
      <c r="G76" s="79">
        <v>45624</v>
      </c>
      <c r="H76" s="80" t="s">
        <v>1249</v>
      </c>
      <c r="I76" s="70" t="s">
        <v>1153</v>
      </c>
      <c r="J76" s="82"/>
      <c r="K76" s="70"/>
      <c r="L76" s="82"/>
    </row>
    <row r="77" spans="1:12" s="1" customFormat="1" ht="20.100000000000001" customHeight="1">
      <c r="A77" s="70" t="s">
        <v>596</v>
      </c>
      <c r="B77" s="70" t="s">
        <v>612</v>
      </c>
      <c r="C77" s="72" t="s">
        <v>1255</v>
      </c>
      <c r="D77" s="71" t="s">
        <v>613</v>
      </c>
      <c r="E77" s="81" t="s">
        <v>1154</v>
      </c>
      <c r="F77" s="73" t="s">
        <v>1267</v>
      </c>
      <c r="G77" s="79">
        <v>45624</v>
      </c>
      <c r="H77" s="80" t="s">
        <v>1249</v>
      </c>
      <c r="I77" s="70" t="s">
        <v>1153</v>
      </c>
      <c r="J77" s="82"/>
      <c r="K77" s="70"/>
      <c r="L77" s="82"/>
    </row>
    <row r="78" spans="1:12" s="1" customFormat="1" ht="20.100000000000001" customHeight="1">
      <c r="A78" s="70" t="s">
        <v>556</v>
      </c>
      <c r="B78" s="70" t="s">
        <v>1268</v>
      </c>
      <c r="C78" s="72" t="s">
        <v>1269</v>
      </c>
      <c r="D78" s="71" t="s">
        <v>1270</v>
      </c>
      <c r="E78" s="72" t="s">
        <v>125</v>
      </c>
      <c r="F78" s="73" t="s">
        <v>1271</v>
      </c>
      <c r="G78" s="79">
        <v>45611</v>
      </c>
      <c r="H78" s="80" t="s">
        <v>1167</v>
      </c>
      <c r="I78" s="70" t="s">
        <v>38</v>
      </c>
      <c r="J78" s="73" t="s">
        <v>1272</v>
      </c>
      <c r="K78" s="70"/>
      <c r="L78" s="73"/>
    </row>
    <row r="79" spans="1:12" s="1" customFormat="1" ht="20.100000000000001" customHeight="1">
      <c r="A79" s="70" t="s">
        <v>556</v>
      </c>
      <c r="B79" s="70" t="s">
        <v>1273</v>
      </c>
      <c r="C79" s="72" t="s">
        <v>1274</v>
      </c>
      <c r="D79" s="73" t="s">
        <v>1275</v>
      </c>
      <c r="E79" s="72" t="s">
        <v>1174</v>
      </c>
      <c r="F79" s="73" t="s">
        <v>1276</v>
      </c>
      <c r="G79" s="79">
        <v>45610</v>
      </c>
      <c r="H79" s="80" t="s">
        <v>1179</v>
      </c>
      <c r="I79" s="70" t="s">
        <v>1153</v>
      </c>
      <c r="J79" s="73"/>
      <c r="K79" s="70"/>
      <c r="L79" s="73"/>
    </row>
    <row r="80" spans="1:12" s="1" customFormat="1" ht="20.100000000000001" customHeight="1">
      <c r="A80" s="70" t="s">
        <v>556</v>
      </c>
      <c r="B80" s="70" t="s">
        <v>615</v>
      </c>
      <c r="C80" s="72" t="s">
        <v>1277</v>
      </c>
      <c r="D80" s="73" t="s">
        <v>1214</v>
      </c>
      <c r="E80" s="72" t="s">
        <v>1174</v>
      </c>
      <c r="F80" s="73" t="s">
        <v>616</v>
      </c>
      <c r="G80" s="79">
        <v>45624</v>
      </c>
      <c r="H80" s="80" t="s">
        <v>1179</v>
      </c>
      <c r="I80" s="70" t="s">
        <v>1153</v>
      </c>
      <c r="J80" s="73"/>
      <c r="K80" s="70"/>
      <c r="L80" s="73"/>
    </row>
    <row r="81" spans="1:12" s="1" customFormat="1" ht="20.100000000000001" customHeight="1">
      <c r="A81" s="70" t="s">
        <v>556</v>
      </c>
      <c r="B81" s="70" t="s">
        <v>617</v>
      </c>
      <c r="C81" s="72" t="s">
        <v>1274</v>
      </c>
      <c r="D81" s="73" t="s">
        <v>1214</v>
      </c>
      <c r="E81" s="72" t="s">
        <v>1215</v>
      </c>
      <c r="F81" s="73" t="s">
        <v>1278</v>
      </c>
      <c r="G81" s="79">
        <v>45618</v>
      </c>
      <c r="H81" s="80" t="s">
        <v>1227</v>
      </c>
      <c r="I81" s="70" t="s">
        <v>1153</v>
      </c>
      <c r="J81" s="82"/>
      <c r="K81" s="70"/>
      <c r="L81" s="82"/>
    </row>
    <row r="82" spans="1:12" s="1" customFormat="1" ht="20.100000000000001" customHeight="1">
      <c r="A82" s="70" t="s">
        <v>556</v>
      </c>
      <c r="B82" s="70" t="s">
        <v>617</v>
      </c>
      <c r="C82" s="72" t="s">
        <v>1274</v>
      </c>
      <c r="D82" s="73" t="s">
        <v>1214</v>
      </c>
      <c r="E82" s="72" t="s">
        <v>1161</v>
      </c>
      <c r="F82" s="73" t="s">
        <v>1279</v>
      </c>
      <c r="G82" s="79">
        <v>45610</v>
      </c>
      <c r="H82" s="80" t="s">
        <v>1234</v>
      </c>
      <c r="I82" s="70" t="s">
        <v>38</v>
      </c>
      <c r="J82" s="82"/>
      <c r="K82" s="70"/>
      <c r="L82" s="82"/>
    </row>
    <row r="83" spans="1:12" s="1" customFormat="1" ht="20.100000000000001" customHeight="1">
      <c r="A83" s="70" t="s">
        <v>556</v>
      </c>
      <c r="B83" s="70" t="s">
        <v>618</v>
      </c>
      <c r="C83" s="72" t="s">
        <v>1274</v>
      </c>
      <c r="D83" s="71" t="s">
        <v>1280</v>
      </c>
      <c r="E83" s="72" t="s">
        <v>125</v>
      </c>
      <c r="F83" s="73" t="s">
        <v>1281</v>
      </c>
      <c r="G83" s="79">
        <v>45624</v>
      </c>
      <c r="H83" s="80" t="s">
        <v>1179</v>
      </c>
      <c r="I83" s="70" t="s">
        <v>1153</v>
      </c>
      <c r="J83" s="73"/>
      <c r="K83" s="70"/>
      <c r="L83" s="73"/>
    </row>
    <row r="84" spans="1:12" s="1" customFormat="1" ht="20.100000000000001" customHeight="1">
      <c r="A84" s="70" t="s">
        <v>556</v>
      </c>
      <c r="B84" s="70" t="s">
        <v>619</v>
      </c>
      <c r="C84" s="72" t="s">
        <v>1274</v>
      </c>
      <c r="D84" s="71" t="s">
        <v>1282</v>
      </c>
      <c r="E84" s="81" t="s">
        <v>1154</v>
      </c>
      <c r="F84" s="73" t="s">
        <v>1283</v>
      </c>
      <c r="G84" s="79">
        <v>45610</v>
      </c>
      <c r="H84" s="80" t="s">
        <v>1179</v>
      </c>
      <c r="I84" s="70" t="s">
        <v>1153</v>
      </c>
      <c r="J84" s="82"/>
      <c r="K84" s="70"/>
      <c r="L84" s="82"/>
    </row>
    <row r="85" spans="1:12" s="1" customFormat="1" ht="20.100000000000001" customHeight="1">
      <c r="A85" s="70" t="s">
        <v>556</v>
      </c>
      <c r="B85" s="70" t="s">
        <v>620</v>
      </c>
      <c r="C85" s="72" t="s">
        <v>1213</v>
      </c>
      <c r="D85" s="73" t="s">
        <v>1284</v>
      </c>
      <c r="E85" s="72" t="s">
        <v>1215</v>
      </c>
      <c r="F85" s="73" t="s">
        <v>616</v>
      </c>
      <c r="G85" s="79">
        <v>45618</v>
      </c>
      <c r="H85" s="80" t="s">
        <v>1163</v>
      </c>
      <c r="I85" s="70" t="s">
        <v>1143</v>
      </c>
      <c r="J85" s="82"/>
      <c r="K85" s="70"/>
      <c r="L85" s="82"/>
    </row>
    <row r="86" spans="1:12" s="1" customFormat="1" ht="20.100000000000001" customHeight="1">
      <c r="A86" s="70" t="s">
        <v>556</v>
      </c>
      <c r="B86" s="70" t="s">
        <v>620</v>
      </c>
      <c r="C86" s="72" t="s">
        <v>1213</v>
      </c>
      <c r="D86" s="73" t="s">
        <v>621</v>
      </c>
      <c r="E86" s="72" t="s">
        <v>127</v>
      </c>
      <c r="F86" s="73" t="s">
        <v>616</v>
      </c>
      <c r="G86" s="79">
        <v>45610</v>
      </c>
      <c r="H86" s="80" t="s">
        <v>524</v>
      </c>
      <c r="I86" s="70" t="s">
        <v>38</v>
      </c>
      <c r="J86" s="82"/>
      <c r="K86" s="70"/>
      <c r="L86" s="82"/>
    </row>
    <row r="87" spans="1:12" s="1" customFormat="1" ht="20.100000000000001" customHeight="1">
      <c r="A87" s="70" t="s">
        <v>556</v>
      </c>
      <c r="B87" s="70" t="s">
        <v>622</v>
      </c>
      <c r="C87" s="72" t="s">
        <v>1213</v>
      </c>
      <c r="D87" s="71" t="s">
        <v>623</v>
      </c>
      <c r="E87" s="81" t="s">
        <v>1154</v>
      </c>
      <c r="F87" s="73" t="s">
        <v>1285</v>
      </c>
      <c r="G87" s="79">
        <v>45624</v>
      </c>
      <c r="H87" s="80" t="s">
        <v>1179</v>
      </c>
      <c r="I87" s="70" t="s">
        <v>1153</v>
      </c>
      <c r="J87" s="82"/>
      <c r="K87" s="70"/>
      <c r="L87" s="82"/>
    </row>
    <row r="88" spans="1:12" s="1" customFormat="1" ht="20.100000000000001" customHeight="1">
      <c r="A88" s="70" t="s">
        <v>556</v>
      </c>
      <c r="B88" s="70" t="s">
        <v>624</v>
      </c>
      <c r="C88" s="72" t="s">
        <v>1286</v>
      </c>
      <c r="D88" s="73" t="s">
        <v>1287</v>
      </c>
      <c r="E88" s="72" t="s">
        <v>1161</v>
      </c>
      <c r="F88" s="73" t="s">
        <v>1288</v>
      </c>
      <c r="G88" s="79">
        <v>45618</v>
      </c>
      <c r="H88" s="80" t="s">
        <v>1163</v>
      </c>
      <c r="I88" s="70" t="s">
        <v>1153</v>
      </c>
      <c r="J88" s="82"/>
      <c r="K88" s="70"/>
      <c r="L88" s="82"/>
    </row>
    <row r="89" spans="1:12" s="1" customFormat="1" ht="20.100000000000001" customHeight="1">
      <c r="A89" s="70" t="s">
        <v>556</v>
      </c>
      <c r="B89" s="70" t="s">
        <v>624</v>
      </c>
      <c r="C89" s="72" t="s">
        <v>1286</v>
      </c>
      <c r="D89" s="73" t="s">
        <v>1287</v>
      </c>
      <c r="E89" s="72" t="s">
        <v>1215</v>
      </c>
      <c r="F89" s="73" t="s">
        <v>1288</v>
      </c>
      <c r="G89" s="79">
        <v>45610</v>
      </c>
      <c r="H89" s="80" t="s">
        <v>1234</v>
      </c>
      <c r="I89" s="70" t="s">
        <v>1153</v>
      </c>
      <c r="J89" s="82"/>
      <c r="K89" s="70"/>
      <c r="L89" s="82"/>
    </row>
    <row r="90" spans="1:12" s="1" customFormat="1" ht="20.100000000000001" customHeight="1">
      <c r="A90" s="70" t="s">
        <v>556</v>
      </c>
      <c r="B90" s="70" t="s">
        <v>625</v>
      </c>
      <c r="C90" s="83" t="s">
        <v>1289</v>
      </c>
      <c r="D90" s="71" t="s">
        <v>1290</v>
      </c>
      <c r="E90" s="72" t="s">
        <v>1174</v>
      </c>
      <c r="F90" s="73" t="s">
        <v>1291</v>
      </c>
      <c r="G90" s="79">
        <v>45611</v>
      </c>
      <c r="H90" s="80" t="s">
        <v>1167</v>
      </c>
      <c r="I90" s="70" t="s">
        <v>1153</v>
      </c>
      <c r="J90" s="73"/>
      <c r="K90" s="70"/>
      <c r="L90" s="73"/>
    </row>
    <row r="91" spans="1:12" s="1" customFormat="1" ht="20.100000000000001" customHeight="1">
      <c r="A91" s="70" t="s">
        <v>556</v>
      </c>
      <c r="B91" s="70" t="s">
        <v>627</v>
      </c>
      <c r="C91" s="83" t="s">
        <v>626</v>
      </c>
      <c r="D91" s="71" t="s">
        <v>1292</v>
      </c>
      <c r="E91" s="72" t="s">
        <v>1174</v>
      </c>
      <c r="F91" s="73" t="s">
        <v>1293</v>
      </c>
      <c r="G91" s="79">
        <v>45611</v>
      </c>
      <c r="H91" s="80" t="s">
        <v>1167</v>
      </c>
      <c r="I91" s="70" t="s">
        <v>1153</v>
      </c>
      <c r="J91" s="73"/>
      <c r="K91" s="70"/>
      <c r="L91" s="73"/>
    </row>
    <row r="92" spans="1:12" s="1" customFormat="1" ht="20.100000000000001" customHeight="1">
      <c r="A92" s="70" t="s">
        <v>556</v>
      </c>
      <c r="B92" s="70" t="s">
        <v>628</v>
      </c>
      <c r="C92" s="83" t="s">
        <v>626</v>
      </c>
      <c r="D92" s="71" t="s">
        <v>1294</v>
      </c>
      <c r="E92" s="72" t="s">
        <v>1174</v>
      </c>
      <c r="F92" s="73" t="s">
        <v>1295</v>
      </c>
      <c r="G92" s="79">
        <v>45611</v>
      </c>
      <c r="H92" s="80" t="s">
        <v>1167</v>
      </c>
      <c r="I92" s="70" t="s">
        <v>1153</v>
      </c>
      <c r="J92" s="82"/>
      <c r="K92" s="70"/>
      <c r="L92" s="82"/>
    </row>
    <row r="93" spans="1:12" s="1" customFormat="1" ht="20.100000000000001" customHeight="1">
      <c r="A93" s="70" t="s">
        <v>556</v>
      </c>
      <c r="B93" s="70" t="s">
        <v>629</v>
      </c>
      <c r="C93" s="83" t="s">
        <v>1289</v>
      </c>
      <c r="D93" s="71" t="s">
        <v>1296</v>
      </c>
      <c r="E93" s="72" t="s">
        <v>1174</v>
      </c>
      <c r="F93" s="73" t="s">
        <v>1297</v>
      </c>
      <c r="G93" s="79">
        <v>45611</v>
      </c>
      <c r="H93" s="80" t="s">
        <v>1167</v>
      </c>
      <c r="I93" s="70" t="s">
        <v>1153</v>
      </c>
      <c r="J93" s="82"/>
      <c r="K93" s="70"/>
      <c r="L93" s="82"/>
    </row>
    <row r="94" spans="1:12" s="1" customFormat="1" ht="20.100000000000001" customHeight="1">
      <c r="A94" s="70" t="s">
        <v>556</v>
      </c>
      <c r="B94" s="70" t="s">
        <v>630</v>
      </c>
      <c r="C94" s="72" t="s">
        <v>1204</v>
      </c>
      <c r="D94" s="71" t="s">
        <v>1298</v>
      </c>
      <c r="E94" s="72" t="s">
        <v>1174</v>
      </c>
      <c r="F94" s="73" t="s">
        <v>1299</v>
      </c>
      <c r="G94" s="79">
        <v>45611</v>
      </c>
      <c r="H94" s="80" t="s">
        <v>1167</v>
      </c>
      <c r="I94" s="70" t="s">
        <v>1153</v>
      </c>
      <c r="J94" s="82"/>
      <c r="K94" s="70"/>
      <c r="L94" s="82"/>
    </row>
    <row r="95" spans="1:12" s="1" customFormat="1" ht="20.100000000000001" customHeight="1">
      <c r="A95" s="70" t="s">
        <v>556</v>
      </c>
      <c r="B95" s="70" t="s">
        <v>557</v>
      </c>
      <c r="C95" s="72" t="s">
        <v>1200</v>
      </c>
      <c r="D95" s="71" t="s">
        <v>1201</v>
      </c>
      <c r="E95" s="81" t="s">
        <v>1154</v>
      </c>
      <c r="F95" s="73" t="s">
        <v>1300</v>
      </c>
      <c r="G95" s="79">
        <v>45624</v>
      </c>
      <c r="H95" s="80" t="s">
        <v>501</v>
      </c>
      <c r="I95" s="70" t="s">
        <v>1153</v>
      </c>
      <c r="J95" s="82"/>
      <c r="K95" s="70"/>
      <c r="L95" s="82"/>
    </row>
    <row r="96" spans="1:12" s="1" customFormat="1" ht="20.100000000000001" customHeight="1">
      <c r="A96" s="70" t="s">
        <v>556</v>
      </c>
      <c r="B96" s="70" t="s">
        <v>558</v>
      </c>
      <c r="C96" s="72" t="s">
        <v>1204</v>
      </c>
      <c r="D96" s="71" t="s">
        <v>1301</v>
      </c>
      <c r="E96" s="72" t="s">
        <v>125</v>
      </c>
      <c r="F96" s="73" t="s">
        <v>1302</v>
      </c>
      <c r="G96" s="79">
        <v>45611</v>
      </c>
      <c r="H96" s="80" t="s">
        <v>1167</v>
      </c>
      <c r="I96" s="70" t="s">
        <v>1153</v>
      </c>
      <c r="J96" s="82"/>
      <c r="K96" s="70"/>
      <c r="L96" s="82"/>
    </row>
    <row r="97" spans="1:12" s="1" customFormat="1" ht="20.100000000000001" customHeight="1">
      <c r="A97" s="70" t="s">
        <v>556</v>
      </c>
      <c r="B97" s="70" t="s">
        <v>631</v>
      </c>
      <c r="C97" s="72" t="s">
        <v>1204</v>
      </c>
      <c r="D97" s="71" t="s">
        <v>1303</v>
      </c>
      <c r="E97" s="81" t="s">
        <v>1154</v>
      </c>
      <c r="F97" s="73" t="s">
        <v>632</v>
      </c>
      <c r="G97" s="79">
        <v>45611</v>
      </c>
      <c r="H97" s="80" t="s">
        <v>1167</v>
      </c>
      <c r="I97" s="70" t="s">
        <v>1153</v>
      </c>
      <c r="J97" s="73" t="s">
        <v>1304</v>
      </c>
      <c r="K97" s="70"/>
      <c r="L97" s="73"/>
    </row>
    <row r="98" spans="1:12" s="1" customFormat="1" ht="20.100000000000001" customHeight="1">
      <c r="A98" s="70" t="s">
        <v>556</v>
      </c>
      <c r="B98" s="70" t="s">
        <v>633</v>
      </c>
      <c r="C98" s="83" t="s">
        <v>1305</v>
      </c>
      <c r="D98" s="71" t="s">
        <v>1306</v>
      </c>
      <c r="E98" s="72" t="s">
        <v>1174</v>
      </c>
      <c r="F98" s="73" t="s">
        <v>1307</v>
      </c>
      <c r="G98" s="79">
        <v>45611</v>
      </c>
      <c r="H98" s="80" t="s">
        <v>1167</v>
      </c>
      <c r="I98" s="76" t="s">
        <v>1153</v>
      </c>
      <c r="J98" s="82"/>
      <c r="K98" s="70"/>
      <c r="L98" s="82"/>
    </row>
    <row r="99" spans="1:12" s="1" customFormat="1" ht="20.100000000000001" customHeight="1">
      <c r="A99" s="70" t="s">
        <v>556</v>
      </c>
      <c r="B99" s="70" t="s">
        <v>634</v>
      </c>
      <c r="C99" s="83" t="s">
        <v>1308</v>
      </c>
      <c r="D99" s="71" t="s">
        <v>635</v>
      </c>
      <c r="E99" s="72" t="s">
        <v>1174</v>
      </c>
      <c r="F99" s="73" t="s">
        <v>1309</v>
      </c>
      <c r="G99" s="79">
        <v>45611</v>
      </c>
      <c r="H99" s="80" t="s">
        <v>1167</v>
      </c>
      <c r="I99" s="76" t="s">
        <v>1153</v>
      </c>
      <c r="J99" s="82"/>
      <c r="K99" s="70"/>
      <c r="L99" s="82"/>
    </row>
    <row r="100" spans="1:12" s="1" customFormat="1" ht="20.100000000000001" customHeight="1">
      <c r="A100" s="70" t="s">
        <v>556</v>
      </c>
      <c r="B100" s="70" t="s">
        <v>636</v>
      </c>
      <c r="C100" s="83" t="s">
        <v>1308</v>
      </c>
      <c r="D100" s="71" t="s">
        <v>1310</v>
      </c>
      <c r="E100" s="81" t="s">
        <v>1154</v>
      </c>
      <c r="F100" s="73" t="s">
        <v>632</v>
      </c>
      <c r="G100" s="79">
        <v>45611</v>
      </c>
      <c r="H100" s="80" t="s">
        <v>1167</v>
      </c>
      <c r="I100" s="76" t="s">
        <v>1153</v>
      </c>
      <c r="J100" s="73"/>
      <c r="K100" s="70"/>
      <c r="L100" s="73"/>
    </row>
    <row r="101" spans="1:12" s="1" customFormat="1" ht="20.100000000000001" customHeight="1">
      <c r="A101" s="70" t="s">
        <v>556</v>
      </c>
      <c r="B101" s="70" t="s">
        <v>637</v>
      </c>
      <c r="C101" s="83" t="s">
        <v>1308</v>
      </c>
      <c r="D101" s="71" t="s">
        <v>1310</v>
      </c>
      <c r="E101" s="81" t="s">
        <v>1154</v>
      </c>
      <c r="F101" s="73" t="s">
        <v>638</v>
      </c>
      <c r="G101" s="79">
        <v>45611</v>
      </c>
      <c r="H101" s="80" t="s">
        <v>501</v>
      </c>
      <c r="I101" s="76" t="s">
        <v>1153</v>
      </c>
      <c r="J101" s="73"/>
      <c r="K101" s="70"/>
      <c r="L101" s="73"/>
    </row>
    <row r="102" spans="1:12" s="1" customFormat="1" ht="20.100000000000001" customHeight="1">
      <c r="A102" s="70" t="s">
        <v>556</v>
      </c>
      <c r="B102" s="70" t="s">
        <v>639</v>
      </c>
      <c r="C102" s="83" t="s">
        <v>1311</v>
      </c>
      <c r="D102" s="71" t="s">
        <v>1312</v>
      </c>
      <c r="E102" s="72" t="s">
        <v>1174</v>
      </c>
      <c r="F102" s="73" t="s">
        <v>641</v>
      </c>
      <c r="G102" s="79">
        <v>45610</v>
      </c>
      <c r="H102" s="80" t="s">
        <v>1167</v>
      </c>
      <c r="I102" s="76" t="s">
        <v>1153</v>
      </c>
      <c r="J102" s="82"/>
      <c r="K102" s="70"/>
      <c r="L102" s="82"/>
    </row>
    <row r="103" spans="1:12" s="1" customFormat="1" ht="20.100000000000001" customHeight="1">
      <c r="A103" s="70" t="s">
        <v>556</v>
      </c>
      <c r="B103" s="70" t="s">
        <v>642</v>
      </c>
      <c r="C103" s="83" t="s">
        <v>1311</v>
      </c>
      <c r="D103" s="71" t="s">
        <v>1313</v>
      </c>
      <c r="E103" s="72" t="s">
        <v>1174</v>
      </c>
      <c r="F103" s="73" t="s">
        <v>1314</v>
      </c>
      <c r="G103" s="79">
        <v>45610</v>
      </c>
      <c r="H103" s="80" t="s">
        <v>1167</v>
      </c>
      <c r="I103" s="70" t="s">
        <v>1153</v>
      </c>
      <c r="J103" s="82"/>
      <c r="K103" s="70"/>
      <c r="L103" s="82"/>
    </row>
    <row r="104" spans="1:12" s="1" customFormat="1" ht="20.100000000000001" customHeight="1">
      <c r="A104" s="70" t="s">
        <v>556</v>
      </c>
      <c r="B104" s="70" t="s">
        <v>643</v>
      </c>
      <c r="C104" s="83" t="s">
        <v>1311</v>
      </c>
      <c r="D104" s="71" t="s">
        <v>1315</v>
      </c>
      <c r="E104" s="72" t="s">
        <v>1174</v>
      </c>
      <c r="F104" s="73" t="s">
        <v>1316</v>
      </c>
      <c r="G104" s="79">
        <v>45610</v>
      </c>
      <c r="H104" s="80" t="s">
        <v>1167</v>
      </c>
      <c r="I104" s="70" t="s">
        <v>1153</v>
      </c>
      <c r="J104" s="73"/>
      <c r="K104" s="70"/>
      <c r="L104" s="73"/>
    </row>
    <row r="105" spans="1:12" s="1" customFormat="1" ht="20.100000000000001" customHeight="1">
      <c r="A105" s="70" t="s">
        <v>556</v>
      </c>
      <c r="B105" s="70" t="s">
        <v>645</v>
      </c>
      <c r="C105" s="83" t="s">
        <v>1311</v>
      </c>
      <c r="D105" s="71" t="s">
        <v>644</v>
      </c>
      <c r="E105" s="81" t="s">
        <v>1169</v>
      </c>
      <c r="F105" s="73" t="s">
        <v>646</v>
      </c>
      <c r="G105" s="79">
        <v>45610</v>
      </c>
      <c r="H105" s="80" t="s">
        <v>1145</v>
      </c>
      <c r="I105" s="70" t="s">
        <v>1153</v>
      </c>
      <c r="J105" s="73"/>
      <c r="K105" s="70"/>
      <c r="L105" s="73"/>
    </row>
    <row r="106" spans="1:12" s="1" customFormat="1" ht="20.100000000000001" customHeight="1">
      <c r="A106" s="70" t="s">
        <v>556</v>
      </c>
      <c r="B106" s="70" t="s">
        <v>647</v>
      </c>
      <c r="C106" s="83" t="s">
        <v>640</v>
      </c>
      <c r="D106" s="71" t="s">
        <v>644</v>
      </c>
      <c r="E106" s="81" t="s">
        <v>118</v>
      </c>
      <c r="F106" s="73" t="s">
        <v>648</v>
      </c>
      <c r="G106" s="79">
        <v>45610</v>
      </c>
      <c r="H106" s="80" t="s">
        <v>501</v>
      </c>
      <c r="I106" s="70" t="s">
        <v>38</v>
      </c>
      <c r="J106" s="73"/>
      <c r="K106" s="70"/>
      <c r="L106" s="73"/>
    </row>
    <row r="107" spans="1:12" s="1" customFormat="1" ht="20.100000000000001" customHeight="1">
      <c r="A107" s="70" t="s">
        <v>556</v>
      </c>
      <c r="B107" s="70" t="s">
        <v>649</v>
      </c>
      <c r="C107" s="83" t="s">
        <v>1311</v>
      </c>
      <c r="D107" s="71" t="s">
        <v>650</v>
      </c>
      <c r="E107" s="72" t="s">
        <v>1174</v>
      </c>
      <c r="F107" s="73" t="s">
        <v>1317</v>
      </c>
      <c r="G107" s="79">
        <v>45609</v>
      </c>
      <c r="H107" s="80" t="s">
        <v>1167</v>
      </c>
      <c r="I107" s="70" t="s">
        <v>1153</v>
      </c>
      <c r="J107" s="82" t="s">
        <v>1318</v>
      </c>
      <c r="K107" s="70"/>
      <c r="L107" s="82"/>
    </row>
    <row r="108" spans="1:12" s="1" customFormat="1" ht="20.100000000000001" customHeight="1">
      <c r="A108" s="70" t="s">
        <v>556</v>
      </c>
      <c r="B108" s="70" t="s">
        <v>651</v>
      </c>
      <c r="C108" s="83" t="s">
        <v>1311</v>
      </c>
      <c r="D108" s="71" t="s">
        <v>1319</v>
      </c>
      <c r="E108" s="72" t="s">
        <v>1174</v>
      </c>
      <c r="F108" s="73" t="s">
        <v>1320</v>
      </c>
      <c r="G108" s="79">
        <v>45610</v>
      </c>
      <c r="H108" s="80" t="s">
        <v>1167</v>
      </c>
      <c r="I108" s="70" t="s">
        <v>1153</v>
      </c>
      <c r="J108" s="73"/>
      <c r="K108" s="70"/>
      <c r="L108" s="73"/>
    </row>
    <row r="109" spans="1:12" s="1" customFormat="1" ht="20.100000000000001" customHeight="1">
      <c r="A109" s="70" t="s">
        <v>556</v>
      </c>
      <c r="B109" s="70" t="s">
        <v>652</v>
      </c>
      <c r="C109" s="83" t="s">
        <v>1311</v>
      </c>
      <c r="D109" s="71" t="s">
        <v>1319</v>
      </c>
      <c r="E109" s="81" t="s">
        <v>1154</v>
      </c>
      <c r="F109" s="73" t="s">
        <v>653</v>
      </c>
      <c r="G109" s="79">
        <v>45611</v>
      </c>
      <c r="H109" s="80" t="s">
        <v>1167</v>
      </c>
      <c r="I109" s="76" t="s">
        <v>1153</v>
      </c>
      <c r="J109" s="73"/>
      <c r="K109" s="70"/>
      <c r="L109" s="73"/>
    </row>
    <row r="110" spans="1:12" s="1" customFormat="1" ht="20.100000000000001" customHeight="1">
      <c r="A110" s="70" t="s">
        <v>556</v>
      </c>
      <c r="B110" s="70" t="s">
        <v>654</v>
      </c>
      <c r="C110" s="83" t="s">
        <v>1311</v>
      </c>
      <c r="D110" s="71" t="s">
        <v>1319</v>
      </c>
      <c r="E110" s="81" t="s">
        <v>1169</v>
      </c>
      <c r="F110" s="73" t="s">
        <v>655</v>
      </c>
      <c r="G110" s="79">
        <v>45611</v>
      </c>
      <c r="H110" s="80" t="s">
        <v>1167</v>
      </c>
      <c r="I110" s="76" t="s">
        <v>1153</v>
      </c>
      <c r="J110" s="73"/>
      <c r="K110" s="70"/>
      <c r="L110" s="73"/>
    </row>
    <row r="111" spans="1:12" s="1" customFormat="1" ht="20.100000000000001" customHeight="1">
      <c r="A111" s="70" t="s">
        <v>556</v>
      </c>
      <c r="B111" s="70" t="s">
        <v>656</v>
      </c>
      <c r="C111" s="83" t="s">
        <v>657</v>
      </c>
      <c r="D111" s="85" t="s">
        <v>1321</v>
      </c>
      <c r="E111" s="72" t="s">
        <v>1174</v>
      </c>
      <c r="F111" s="73" t="s">
        <v>1322</v>
      </c>
      <c r="G111" s="79">
        <v>45610</v>
      </c>
      <c r="H111" s="80" t="s">
        <v>1167</v>
      </c>
      <c r="I111" s="70" t="s">
        <v>1153</v>
      </c>
      <c r="J111" s="82" t="s">
        <v>1323</v>
      </c>
      <c r="K111" s="70"/>
      <c r="L111" s="82"/>
    </row>
    <row r="112" spans="1:12" s="1" customFormat="1" ht="20.100000000000001" customHeight="1">
      <c r="A112" s="70" t="s">
        <v>556</v>
      </c>
      <c r="B112" s="70" t="s">
        <v>658</v>
      </c>
      <c r="C112" s="83" t="s">
        <v>1324</v>
      </c>
      <c r="D112" s="85" t="s">
        <v>1321</v>
      </c>
      <c r="E112" s="72" t="s">
        <v>1174</v>
      </c>
      <c r="F112" s="73" t="s">
        <v>1325</v>
      </c>
      <c r="G112" s="79">
        <v>45610</v>
      </c>
      <c r="H112" s="80" t="s">
        <v>1167</v>
      </c>
      <c r="I112" s="76" t="s">
        <v>1153</v>
      </c>
      <c r="J112" s="73"/>
      <c r="K112" s="70"/>
      <c r="L112" s="73"/>
    </row>
    <row r="113" spans="1:12" s="1" customFormat="1" ht="20.100000000000001" customHeight="1">
      <c r="A113" s="70" t="s">
        <v>556</v>
      </c>
      <c r="B113" s="70" t="s">
        <v>659</v>
      </c>
      <c r="C113" s="83" t="s">
        <v>1326</v>
      </c>
      <c r="D113" s="85" t="s">
        <v>1326</v>
      </c>
      <c r="E113" s="72" t="s">
        <v>1174</v>
      </c>
      <c r="F113" s="73" t="s">
        <v>1327</v>
      </c>
      <c r="G113" s="79">
        <v>45611</v>
      </c>
      <c r="H113" s="80" t="s">
        <v>1145</v>
      </c>
      <c r="I113" s="70" t="s">
        <v>1143</v>
      </c>
      <c r="J113" s="73"/>
      <c r="K113" s="70"/>
      <c r="L113" s="73"/>
    </row>
    <row r="114" spans="1:12" s="1" customFormat="1" ht="20.100000000000001" customHeight="1">
      <c r="A114" s="70" t="s">
        <v>556</v>
      </c>
      <c r="B114" s="70" t="s">
        <v>661</v>
      </c>
      <c r="C114" s="83" t="s">
        <v>1326</v>
      </c>
      <c r="D114" s="85" t="s">
        <v>1328</v>
      </c>
      <c r="E114" s="72" t="s">
        <v>1174</v>
      </c>
      <c r="F114" s="73" t="s">
        <v>662</v>
      </c>
      <c r="G114" s="79">
        <v>45611</v>
      </c>
      <c r="H114" s="80" t="s">
        <v>1167</v>
      </c>
      <c r="I114" s="70" t="s">
        <v>1153</v>
      </c>
      <c r="J114" s="82" t="s">
        <v>1329</v>
      </c>
      <c r="K114" s="70"/>
      <c r="L114" s="82"/>
    </row>
    <row r="115" spans="1:12" s="1" customFormat="1" ht="20.100000000000001" customHeight="1">
      <c r="A115" s="70" t="s">
        <v>556</v>
      </c>
      <c r="B115" s="70" t="s">
        <v>663</v>
      </c>
      <c r="C115" s="83" t="s">
        <v>1330</v>
      </c>
      <c r="D115" s="85" t="s">
        <v>1331</v>
      </c>
      <c r="E115" s="72" t="s">
        <v>1215</v>
      </c>
      <c r="F115" s="73" t="s">
        <v>660</v>
      </c>
      <c r="G115" s="79">
        <v>45618</v>
      </c>
      <c r="H115" s="80" t="s">
        <v>1227</v>
      </c>
      <c r="I115" s="70" t="s">
        <v>1153</v>
      </c>
      <c r="J115" s="73"/>
      <c r="K115" s="70"/>
      <c r="L115" s="73"/>
    </row>
    <row r="116" spans="1:12" s="1" customFormat="1" ht="20.100000000000001" customHeight="1">
      <c r="A116" s="70" t="s">
        <v>556</v>
      </c>
      <c r="B116" s="70" t="s">
        <v>663</v>
      </c>
      <c r="C116" s="83" t="s">
        <v>1330</v>
      </c>
      <c r="D116" s="85" t="s">
        <v>1332</v>
      </c>
      <c r="E116" s="72" t="s">
        <v>1215</v>
      </c>
      <c r="F116" s="73" t="s">
        <v>1327</v>
      </c>
      <c r="G116" s="79">
        <v>45610</v>
      </c>
      <c r="H116" s="80" t="s">
        <v>1234</v>
      </c>
      <c r="I116" s="70" t="s">
        <v>1153</v>
      </c>
      <c r="J116" s="73"/>
      <c r="K116" s="70"/>
      <c r="L116" s="73"/>
    </row>
    <row r="117" spans="1:12" s="1" customFormat="1" ht="20.100000000000001" customHeight="1">
      <c r="A117" s="70" t="s">
        <v>556</v>
      </c>
      <c r="B117" s="70" t="s">
        <v>664</v>
      </c>
      <c r="C117" s="83" t="s">
        <v>1333</v>
      </c>
      <c r="D117" s="85" t="s">
        <v>1334</v>
      </c>
      <c r="E117" s="72" t="s">
        <v>1174</v>
      </c>
      <c r="F117" s="73" t="s">
        <v>1335</v>
      </c>
      <c r="G117" s="79">
        <v>45611</v>
      </c>
      <c r="H117" s="80" t="s">
        <v>1167</v>
      </c>
      <c r="I117" s="70" t="s">
        <v>1153</v>
      </c>
      <c r="J117" s="73"/>
      <c r="K117" s="70"/>
      <c r="L117" s="73"/>
    </row>
    <row r="118" spans="1:12" s="1" customFormat="1" ht="20.100000000000001" customHeight="1">
      <c r="A118" s="70" t="s">
        <v>556</v>
      </c>
      <c r="B118" s="70" t="s">
        <v>665</v>
      </c>
      <c r="C118" s="83" t="s">
        <v>1333</v>
      </c>
      <c r="D118" s="85" t="s">
        <v>1336</v>
      </c>
      <c r="E118" s="72" t="s">
        <v>1174</v>
      </c>
      <c r="F118" s="73" t="s">
        <v>1337</v>
      </c>
      <c r="G118" s="79">
        <v>45610</v>
      </c>
      <c r="H118" s="80" t="s">
        <v>1167</v>
      </c>
      <c r="I118" s="70" t="s">
        <v>1153</v>
      </c>
      <c r="J118" s="73"/>
      <c r="K118" s="70"/>
      <c r="L118" s="73"/>
    </row>
    <row r="119" spans="1:12" s="1" customFormat="1" ht="20.100000000000001" customHeight="1">
      <c r="A119" s="70" t="s">
        <v>556</v>
      </c>
      <c r="B119" s="70" t="s">
        <v>1338</v>
      </c>
      <c r="C119" s="72" t="s">
        <v>1286</v>
      </c>
      <c r="D119" s="71" t="s">
        <v>614</v>
      </c>
      <c r="E119" s="72" t="s">
        <v>1174</v>
      </c>
      <c r="F119" s="73" t="s">
        <v>1339</v>
      </c>
      <c r="G119" s="79">
        <v>45609</v>
      </c>
      <c r="H119" s="80" t="s">
        <v>1340</v>
      </c>
      <c r="I119" s="70" t="s">
        <v>1153</v>
      </c>
      <c r="J119" s="73"/>
      <c r="K119" s="70"/>
      <c r="L119" s="73"/>
    </row>
    <row r="120" spans="1:12" s="1" customFormat="1" ht="20.100000000000001" customHeight="1">
      <c r="A120" s="70" t="s">
        <v>556</v>
      </c>
      <c r="B120" s="70" t="s">
        <v>1268</v>
      </c>
      <c r="C120" s="72" t="s">
        <v>48</v>
      </c>
      <c r="D120" s="71" t="s">
        <v>1341</v>
      </c>
      <c r="E120" s="72" t="s">
        <v>125</v>
      </c>
      <c r="F120" s="73" t="s">
        <v>1342</v>
      </c>
      <c r="G120" s="79">
        <v>45609</v>
      </c>
      <c r="H120" s="80" t="s">
        <v>1340</v>
      </c>
      <c r="I120" s="70" t="s">
        <v>1153</v>
      </c>
      <c r="J120" s="73" t="s">
        <v>1343</v>
      </c>
      <c r="K120" s="70"/>
      <c r="L120" s="73"/>
    </row>
    <row r="121" spans="1:12" s="1" customFormat="1" ht="20.100000000000001" customHeight="1">
      <c r="A121" s="70" t="s">
        <v>556</v>
      </c>
      <c r="B121" s="70" t="s">
        <v>1344</v>
      </c>
      <c r="C121" s="72" t="s">
        <v>1286</v>
      </c>
      <c r="D121" s="71" t="s">
        <v>1345</v>
      </c>
      <c r="E121" s="72" t="s">
        <v>1174</v>
      </c>
      <c r="F121" s="73" t="s">
        <v>1342</v>
      </c>
      <c r="G121" s="79">
        <v>45609</v>
      </c>
      <c r="H121" s="80" t="s">
        <v>1340</v>
      </c>
      <c r="I121" s="70" t="s">
        <v>1153</v>
      </c>
      <c r="J121" s="73"/>
      <c r="K121" s="70"/>
      <c r="L121" s="73"/>
    </row>
    <row r="122" spans="1:12" s="1" customFormat="1" ht="20.100000000000001" customHeight="1">
      <c r="A122" s="70" t="s">
        <v>556</v>
      </c>
      <c r="B122" s="70" t="s">
        <v>1346</v>
      </c>
      <c r="C122" s="72" t="s">
        <v>1286</v>
      </c>
      <c r="D122" s="71" t="s">
        <v>1347</v>
      </c>
      <c r="E122" s="72" t="s">
        <v>1174</v>
      </c>
      <c r="F122" s="73" t="s">
        <v>1342</v>
      </c>
      <c r="G122" s="79">
        <v>45609</v>
      </c>
      <c r="H122" s="80" t="s">
        <v>1340</v>
      </c>
      <c r="I122" s="70" t="s">
        <v>1153</v>
      </c>
      <c r="J122" s="73"/>
      <c r="K122" s="70"/>
      <c r="L122" s="73"/>
    </row>
    <row r="123" spans="1:12" s="1" customFormat="1" ht="20.100000000000001" customHeight="1">
      <c r="A123" s="70" t="s">
        <v>666</v>
      </c>
      <c r="B123" s="70" t="s">
        <v>1348</v>
      </c>
      <c r="C123" s="83" t="s">
        <v>667</v>
      </c>
      <c r="D123" s="71" t="s">
        <v>668</v>
      </c>
      <c r="E123" s="81" t="s">
        <v>118</v>
      </c>
      <c r="F123" s="73" t="s">
        <v>669</v>
      </c>
      <c r="G123" s="79">
        <v>45610</v>
      </c>
      <c r="H123" s="80" t="s">
        <v>1179</v>
      </c>
      <c r="I123" s="70" t="s">
        <v>1153</v>
      </c>
      <c r="J123" s="82"/>
      <c r="K123" s="70"/>
      <c r="L123" s="82"/>
    </row>
    <row r="124" spans="1:12" s="1" customFormat="1" ht="20.100000000000001" customHeight="1">
      <c r="A124" s="70" t="s">
        <v>666</v>
      </c>
      <c r="B124" s="70" t="s">
        <v>1348</v>
      </c>
      <c r="C124" s="83" t="s">
        <v>1349</v>
      </c>
      <c r="D124" s="71" t="s">
        <v>1350</v>
      </c>
      <c r="E124" s="81" t="s">
        <v>1154</v>
      </c>
      <c r="F124" s="73" t="s">
        <v>669</v>
      </c>
      <c r="G124" s="79">
        <v>45611</v>
      </c>
      <c r="H124" s="80" t="s">
        <v>1167</v>
      </c>
      <c r="I124" s="70" t="s">
        <v>1153</v>
      </c>
      <c r="J124" s="82"/>
      <c r="K124" s="70"/>
      <c r="L124" s="82"/>
    </row>
    <row r="125" spans="1:12" s="1" customFormat="1" ht="20.100000000000001" customHeight="1">
      <c r="A125" s="70" t="s">
        <v>666</v>
      </c>
      <c r="B125" s="70" t="s">
        <v>670</v>
      </c>
      <c r="C125" s="83" t="s">
        <v>1349</v>
      </c>
      <c r="D125" s="71" t="s">
        <v>1351</v>
      </c>
      <c r="E125" s="72" t="s">
        <v>1139</v>
      </c>
      <c r="F125" s="73" t="s">
        <v>1352</v>
      </c>
      <c r="G125" s="79">
        <v>45611</v>
      </c>
      <c r="H125" s="80" t="s">
        <v>1167</v>
      </c>
      <c r="I125" s="70" t="s">
        <v>1153</v>
      </c>
      <c r="J125" s="73"/>
      <c r="K125" s="70"/>
      <c r="L125" s="73"/>
    </row>
    <row r="126" spans="1:12" s="1" customFormat="1" ht="20.100000000000001" customHeight="1">
      <c r="A126" s="70" t="s">
        <v>666</v>
      </c>
      <c r="B126" s="70" t="s">
        <v>671</v>
      </c>
      <c r="C126" s="83" t="s">
        <v>1353</v>
      </c>
      <c r="D126" s="85" t="s">
        <v>1354</v>
      </c>
      <c r="E126" s="72" t="s">
        <v>1174</v>
      </c>
      <c r="F126" s="73" t="s">
        <v>1335</v>
      </c>
      <c r="G126" s="79">
        <v>45611</v>
      </c>
      <c r="H126" s="80" t="s">
        <v>1145</v>
      </c>
      <c r="I126" s="70" t="s">
        <v>1153</v>
      </c>
      <c r="J126" s="73"/>
      <c r="K126" s="70"/>
      <c r="L126" s="73"/>
    </row>
    <row r="127" spans="1:12" s="1" customFormat="1" ht="20.100000000000001" customHeight="1">
      <c r="A127" s="70" t="s">
        <v>666</v>
      </c>
      <c r="B127" s="70" t="s">
        <v>673</v>
      </c>
      <c r="C127" s="83" t="s">
        <v>1353</v>
      </c>
      <c r="D127" s="85" t="s">
        <v>1355</v>
      </c>
      <c r="E127" s="72" t="s">
        <v>1139</v>
      </c>
      <c r="F127" s="73" t="s">
        <v>1356</v>
      </c>
      <c r="G127" s="79">
        <v>45611</v>
      </c>
      <c r="H127" s="80" t="s">
        <v>1167</v>
      </c>
      <c r="I127" s="70" t="s">
        <v>1153</v>
      </c>
      <c r="J127" s="82" t="s">
        <v>1357</v>
      </c>
      <c r="K127" s="70"/>
      <c r="L127" s="82"/>
    </row>
    <row r="128" spans="1:12" s="1" customFormat="1" ht="20.100000000000001" customHeight="1">
      <c r="A128" s="70" t="s">
        <v>666</v>
      </c>
      <c r="B128" s="70" t="s">
        <v>674</v>
      </c>
      <c r="C128" s="83" t="s">
        <v>1349</v>
      </c>
      <c r="D128" s="71" t="s">
        <v>1358</v>
      </c>
      <c r="E128" s="72" t="s">
        <v>1139</v>
      </c>
      <c r="F128" s="73" t="s">
        <v>1359</v>
      </c>
      <c r="G128" s="79">
        <v>45611</v>
      </c>
      <c r="H128" s="80" t="s">
        <v>1167</v>
      </c>
      <c r="I128" s="70" t="s">
        <v>1153</v>
      </c>
      <c r="J128" s="73"/>
      <c r="K128" s="70"/>
      <c r="L128" s="73"/>
    </row>
    <row r="129" spans="1:12" s="1" customFormat="1" ht="20.100000000000001" customHeight="1">
      <c r="A129" s="70" t="s">
        <v>666</v>
      </c>
      <c r="B129" s="70" t="s">
        <v>676</v>
      </c>
      <c r="C129" s="83" t="s">
        <v>1349</v>
      </c>
      <c r="D129" s="71" t="s">
        <v>1358</v>
      </c>
      <c r="E129" s="81" t="s">
        <v>1154</v>
      </c>
      <c r="F129" s="73" t="s">
        <v>677</v>
      </c>
      <c r="G129" s="79">
        <v>45611</v>
      </c>
      <c r="H129" s="80" t="s">
        <v>1167</v>
      </c>
      <c r="I129" s="70" t="s">
        <v>38</v>
      </c>
      <c r="J129" s="73"/>
      <c r="K129" s="70"/>
      <c r="L129" s="73"/>
    </row>
    <row r="130" spans="1:12" s="1" customFormat="1" ht="20.100000000000001" customHeight="1">
      <c r="A130" s="70" t="s">
        <v>666</v>
      </c>
      <c r="B130" s="70" t="s">
        <v>678</v>
      </c>
      <c r="C130" s="83" t="s">
        <v>1349</v>
      </c>
      <c r="D130" s="71" t="s">
        <v>679</v>
      </c>
      <c r="E130" s="81" t="s">
        <v>1154</v>
      </c>
      <c r="F130" s="73" t="s">
        <v>575</v>
      </c>
      <c r="G130" s="79">
        <v>45624</v>
      </c>
      <c r="H130" s="80" t="s">
        <v>1249</v>
      </c>
      <c r="I130" s="70" t="s">
        <v>1153</v>
      </c>
      <c r="J130" s="82"/>
      <c r="K130" s="70"/>
      <c r="L130" s="82"/>
    </row>
    <row r="131" spans="1:12" s="1" customFormat="1" ht="20.100000000000001" customHeight="1">
      <c r="A131" s="70" t="s">
        <v>666</v>
      </c>
      <c r="B131" s="70" t="s">
        <v>680</v>
      </c>
      <c r="C131" s="83" t="s">
        <v>1349</v>
      </c>
      <c r="D131" s="71" t="s">
        <v>1360</v>
      </c>
      <c r="E131" s="72" t="s">
        <v>1174</v>
      </c>
      <c r="F131" s="73" t="s">
        <v>1361</v>
      </c>
      <c r="G131" s="79">
        <v>45624</v>
      </c>
      <c r="H131" s="80" t="s">
        <v>1249</v>
      </c>
      <c r="I131" s="70" t="s">
        <v>1153</v>
      </c>
      <c r="J131" s="73"/>
      <c r="K131" s="70"/>
      <c r="L131" s="73"/>
    </row>
    <row r="132" spans="1:12" s="1" customFormat="1" ht="20.100000000000001" customHeight="1">
      <c r="A132" s="70" t="s">
        <v>666</v>
      </c>
      <c r="B132" s="70" t="s">
        <v>681</v>
      </c>
      <c r="C132" s="83" t="s">
        <v>1349</v>
      </c>
      <c r="D132" s="71" t="s">
        <v>1362</v>
      </c>
      <c r="E132" s="72" t="s">
        <v>1174</v>
      </c>
      <c r="F132" s="73" t="s">
        <v>1363</v>
      </c>
      <c r="G132" s="79">
        <v>45611</v>
      </c>
      <c r="H132" s="80" t="s">
        <v>1167</v>
      </c>
      <c r="I132" s="70" t="s">
        <v>1143</v>
      </c>
      <c r="J132" s="82"/>
      <c r="K132" s="70"/>
      <c r="L132" s="82"/>
    </row>
    <row r="133" spans="1:12" s="1" customFormat="1" ht="20.100000000000001" customHeight="1">
      <c r="A133" s="70" t="s">
        <v>666</v>
      </c>
      <c r="B133" s="70" t="s">
        <v>682</v>
      </c>
      <c r="C133" s="83" t="s">
        <v>1364</v>
      </c>
      <c r="D133" s="71" t="s">
        <v>1365</v>
      </c>
      <c r="E133" s="72" t="s">
        <v>1174</v>
      </c>
      <c r="F133" s="73" t="s">
        <v>500</v>
      </c>
      <c r="G133" s="79">
        <v>45624</v>
      </c>
      <c r="H133" s="80" t="s">
        <v>1179</v>
      </c>
      <c r="I133" s="70" t="s">
        <v>1153</v>
      </c>
      <c r="J133" s="73"/>
      <c r="K133" s="70"/>
      <c r="L133" s="73"/>
    </row>
    <row r="134" spans="1:12" s="1" customFormat="1" ht="20.100000000000001" customHeight="1">
      <c r="A134" s="70" t="s">
        <v>666</v>
      </c>
      <c r="B134" s="70" t="s">
        <v>684</v>
      </c>
      <c r="C134" s="83" t="s">
        <v>1364</v>
      </c>
      <c r="D134" s="71" t="s">
        <v>1366</v>
      </c>
      <c r="E134" s="72" t="s">
        <v>1174</v>
      </c>
      <c r="F134" s="73" t="s">
        <v>685</v>
      </c>
      <c r="G134" s="79">
        <v>45624</v>
      </c>
      <c r="H134" s="80" t="s">
        <v>1179</v>
      </c>
      <c r="I134" s="70" t="s">
        <v>1153</v>
      </c>
      <c r="J134" s="82"/>
      <c r="K134" s="70"/>
      <c r="L134" s="82"/>
    </row>
    <row r="135" spans="1:12" s="1" customFormat="1" ht="20.100000000000001" customHeight="1">
      <c r="A135" s="70" t="s">
        <v>666</v>
      </c>
      <c r="B135" s="70" t="s">
        <v>686</v>
      </c>
      <c r="C135" s="83" t="s">
        <v>683</v>
      </c>
      <c r="D135" s="71" t="s">
        <v>1366</v>
      </c>
      <c r="E135" s="72" t="s">
        <v>1174</v>
      </c>
      <c r="F135" s="73" t="s">
        <v>1367</v>
      </c>
      <c r="G135" s="79">
        <v>45624</v>
      </c>
      <c r="H135" s="80" t="s">
        <v>1179</v>
      </c>
      <c r="I135" s="70" t="s">
        <v>1153</v>
      </c>
      <c r="J135" s="82"/>
      <c r="K135" s="70"/>
      <c r="L135" s="82"/>
    </row>
    <row r="136" spans="1:12" s="1" customFormat="1" ht="20.100000000000001" customHeight="1">
      <c r="A136" s="70" t="s">
        <v>666</v>
      </c>
      <c r="B136" s="70" t="s">
        <v>687</v>
      </c>
      <c r="C136" s="83" t="s">
        <v>1364</v>
      </c>
      <c r="D136" s="71" t="s">
        <v>688</v>
      </c>
      <c r="E136" s="72" t="s">
        <v>1174</v>
      </c>
      <c r="F136" s="73" t="s">
        <v>1368</v>
      </c>
      <c r="G136" s="79">
        <v>45624</v>
      </c>
      <c r="H136" s="80" t="s">
        <v>1179</v>
      </c>
      <c r="I136" s="70" t="s">
        <v>1153</v>
      </c>
      <c r="J136" s="73"/>
      <c r="K136" s="70"/>
      <c r="L136" s="73"/>
    </row>
    <row r="137" spans="1:12" s="1" customFormat="1" ht="20.100000000000001" customHeight="1">
      <c r="A137" s="70" t="s">
        <v>666</v>
      </c>
      <c r="B137" s="70" t="s">
        <v>689</v>
      </c>
      <c r="C137" s="83" t="s">
        <v>1364</v>
      </c>
      <c r="D137" s="71" t="s">
        <v>1369</v>
      </c>
      <c r="E137" s="72" t="s">
        <v>1174</v>
      </c>
      <c r="F137" s="73" t="s">
        <v>1370</v>
      </c>
      <c r="G137" s="79">
        <v>45624</v>
      </c>
      <c r="H137" s="80" t="s">
        <v>1179</v>
      </c>
      <c r="I137" s="70" t="s">
        <v>38</v>
      </c>
      <c r="J137" s="73"/>
      <c r="K137" s="70"/>
      <c r="L137" s="73"/>
    </row>
    <row r="138" spans="1:12" s="1" customFormat="1" ht="20.100000000000001" customHeight="1">
      <c r="A138" s="70" t="s">
        <v>666</v>
      </c>
      <c r="B138" s="70" t="s">
        <v>690</v>
      </c>
      <c r="C138" s="83" t="s">
        <v>1371</v>
      </c>
      <c r="D138" s="71" t="s">
        <v>692</v>
      </c>
      <c r="E138" s="72" t="s">
        <v>125</v>
      </c>
      <c r="F138" s="73" t="s">
        <v>1335</v>
      </c>
      <c r="G138" s="79">
        <v>45624</v>
      </c>
      <c r="H138" s="80" t="s">
        <v>1179</v>
      </c>
      <c r="I138" s="70" t="s">
        <v>1153</v>
      </c>
      <c r="J138" s="73"/>
      <c r="K138" s="70"/>
      <c r="L138" s="73"/>
    </row>
    <row r="139" spans="1:12" s="1" customFormat="1" ht="20.100000000000001" customHeight="1">
      <c r="A139" s="70" t="s">
        <v>666</v>
      </c>
      <c r="B139" s="70" t="s">
        <v>693</v>
      </c>
      <c r="C139" s="83" t="s">
        <v>1371</v>
      </c>
      <c r="D139" s="71" t="s">
        <v>1372</v>
      </c>
      <c r="E139" s="72" t="s">
        <v>1174</v>
      </c>
      <c r="F139" s="73" t="s">
        <v>1373</v>
      </c>
      <c r="G139" s="79">
        <v>45624</v>
      </c>
      <c r="H139" s="80" t="s">
        <v>1179</v>
      </c>
      <c r="I139" s="70" t="s">
        <v>1153</v>
      </c>
      <c r="J139" s="82"/>
      <c r="K139" s="70"/>
      <c r="L139" s="82"/>
    </row>
    <row r="140" spans="1:12" s="1" customFormat="1" ht="20.100000000000001" customHeight="1">
      <c r="A140" s="70" t="s">
        <v>666</v>
      </c>
      <c r="B140" s="70" t="s">
        <v>694</v>
      </c>
      <c r="C140" s="83" t="s">
        <v>1371</v>
      </c>
      <c r="D140" s="71" t="s">
        <v>1374</v>
      </c>
      <c r="E140" s="72" t="s">
        <v>1174</v>
      </c>
      <c r="F140" s="73" t="s">
        <v>1375</v>
      </c>
      <c r="G140" s="79">
        <v>45624</v>
      </c>
      <c r="H140" s="80" t="s">
        <v>1179</v>
      </c>
      <c r="I140" s="70" t="s">
        <v>1153</v>
      </c>
      <c r="J140" s="73"/>
      <c r="K140" s="70"/>
      <c r="L140" s="73"/>
    </row>
    <row r="141" spans="1:12" s="1" customFormat="1" ht="20.100000000000001" customHeight="1">
      <c r="A141" s="70" t="s">
        <v>666</v>
      </c>
      <c r="B141" s="70" t="s">
        <v>696</v>
      </c>
      <c r="C141" s="83" t="s">
        <v>1371</v>
      </c>
      <c r="D141" s="71" t="s">
        <v>1374</v>
      </c>
      <c r="E141" s="72" t="s">
        <v>1215</v>
      </c>
      <c r="F141" s="73" t="s">
        <v>1376</v>
      </c>
      <c r="G141" s="79">
        <v>45618</v>
      </c>
      <c r="H141" s="80" t="s">
        <v>1227</v>
      </c>
      <c r="I141" s="70" t="s">
        <v>38</v>
      </c>
      <c r="J141" s="73"/>
      <c r="K141" s="70"/>
      <c r="L141" s="73"/>
    </row>
    <row r="142" spans="1:12" s="1" customFormat="1" ht="20.100000000000001" customHeight="1">
      <c r="A142" s="70" t="s">
        <v>666</v>
      </c>
      <c r="B142" s="70" t="s">
        <v>697</v>
      </c>
      <c r="C142" s="83" t="s">
        <v>1371</v>
      </c>
      <c r="D142" s="85" t="s">
        <v>1377</v>
      </c>
      <c r="E142" s="72" t="s">
        <v>1174</v>
      </c>
      <c r="F142" s="73" t="s">
        <v>1378</v>
      </c>
      <c r="G142" s="79">
        <v>45624</v>
      </c>
      <c r="H142" s="80" t="s">
        <v>1179</v>
      </c>
      <c r="I142" s="70" t="s">
        <v>1153</v>
      </c>
      <c r="J142" s="73"/>
      <c r="K142" s="70"/>
      <c r="L142" s="73"/>
    </row>
    <row r="143" spans="1:12" s="1" customFormat="1" ht="20.100000000000001" customHeight="1">
      <c r="A143" s="70" t="s">
        <v>666</v>
      </c>
      <c r="B143" s="70" t="s">
        <v>671</v>
      </c>
      <c r="C143" s="83" t="s">
        <v>1353</v>
      </c>
      <c r="D143" s="85" t="s">
        <v>1379</v>
      </c>
      <c r="E143" s="72" t="s">
        <v>125</v>
      </c>
      <c r="F143" s="73" t="s">
        <v>1335</v>
      </c>
      <c r="G143" s="79">
        <v>45624</v>
      </c>
      <c r="H143" s="80" t="s">
        <v>1179</v>
      </c>
      <c r="I143" s="70" t="s">
        <v>1153</v>
      </c>
      <c r="J143" s="73"/>
      <c r="K143" s="70"/>
      <c r="L143" s="73"/>
    </row>
    <row r="144" spans="1:12" s="1" customFormat="1" ht="20.100000000000001" customHeight="1">
      <c r="A144" s="70" t="s">
        <v>666</v>
      </c>
      <c r="B144" s="70" t="s">
        <v>673</v>
      </c>
      <c r="C144" s="83" t="s">
        <v>1353</v>
      </c>
      <c r="D144" s="85" t="s">
        <v>1380</v>
      </c>
      <c r="E144" s="72" t="s">
        <v>1174</v>
      </c>
      <c r="F144" s="73" t="s">
        <v>1356</v>
      </c>
      <c r="G144" s="79">
        <v>45624</v>
      </c>
      <c r="H144" s="80" t="s">
        <v>1179</v>
      </c>
      <c r="I144" s="70" t="s">
        <v>1153</v>
      </c>
      <c r="J144" s="82"/>
      <c r="K144" s="70"/>
      <c r="L144" s="82"/>
    </row>
    <row r="145" spans="1:12" s="1" customFormat="1" ht="20.100000000000001" customHeight="1">
      <c r="A145" s="70" t="s">
        <v>666</v>
      </c>
      <c r="B145" s="70" t="s">
        <v>698</v>
      </c>
      <c r="C145" s="83" t="s">
        <v>1349</v>
      </c>
      <c r="D145" s="71" t="s">
        <v>1381</v>
      </c>
      <c r="E145" s="72" t="s">
        <v>1174</v>
      </c>
      <c r="F145" s="73" t="s">
        <v>1382</v>
      </c>
      <c r="G145" s="79">
        <v>45610</v>
      </c>
      <c r="H145" s="80" t="s">
        <v>531</v>
      </c>
      <c r="I145" s="70" t="s">
        <v>1153</v>
      </c>
      <c r="J145" s="73"/>
      <c r="K145" s="70"/>
      <c r="L145" s="73"/>
    </row>
    <row r="146" spans="1:12" s="1" customFormat="1" ht="20.100000000000001" customHeight="1">
      <c r="A146" s="70" t="s">
        <v>666</v>
      </c>
      <c r="B146" s="70" t="s">
        <v>674</v>
      </c>
      <c r="C146" s="83" t="s">
        <v>1349</v>
      </c>
      <c r="D146" s="71" t="s">
        <v>699</v>
      </c>
      <c r="E146" s="72" t="s">
        <v>125</v>
      </c>
      <c r="F146" s="73" t="s">
        <v>675</v>
      </c>
      <c r="G146" s="79">
        <v>45610</v>
      </c>
      <c r="H146" s="80" t="s">
        <v>531</v>
      </c>
      <c r="I146" s="70" t="s">
        <v>38</v>
      </c>
      <c r="J146" s="73"/>
      <c r="K146" s="70"/>
      <c r="L146" s="73"/>
    </row>
    <row r="147" spans="1:12" s="1" customFormat="1" ht="20.100000000000001" customHeight="1">
      <c r="A147" s="70" t="s">
        <v>666</v>
      </c>
      <c r="B147" s="70" t="s">
        <v>676</v>
      </c>
      <c r="C147" s="83" t="s">
        <v>1349</v>
      </c>
      <c r="D147" s="71" t="s">
        <v>1383</v>
      </c>
      <c r="E147" s="81" t="s">
        <v>1154</v>
      </c>
      <c r="F147" s="73" t="s">
        <v>677</v>
      </c>
      <c r="G147" s="79">
        <v>45610</v>
      </c>
      <c r="H147" s="80" t="s">
        <v>1179</v>
      </c>
      <c r="I147" s="70" t="s">
        <v>1153</v>
      </c>
      <c r="J147" s="73"/>
      <c r="K147" s="70"/>
      <c r="L147" s="73"/>
    </row>
    <row r="148" spans="1:12" s="1" customFormat="1" ht="20.100000000000001" customHeight="1">
      <c r="A148" s="70" t="s">
        <v>666</v>
      </c>
      <c r="B148" s="70" t="s">
        <v>700</v>
      </c>
      <c r="C148" s="83" t="s">
        <v>1353</v>
      </c>
      <c r="D148" s="85" t="s">
        <v>1384</v>
      </c>
      <c r="E148" s="72" t="s">
        <v>1161</v>
      </c>
      <c r="F148" s="73" t="s">
        <v>1385</v>
      </c>
      <c r="G148" s="79">
        <v>45618</v>
      </c>
      <c r="H148" s="80" t="s">
        <v>1227</v>
      </c>
      <c r="I148" s="70" t="s">
        <v>38</v>
      </c>
      <c r="J148" s="82"/>
      <c r="K148" s="70"/>
      <c r="L148" s="82"/>
    </row>
    <row r="149" spans="1:12" s="1" customFormat="1" ht="20.100000000000001" customHeight="1">
      <c r="A149" s="70" t="s">
        <v>666</v>
      </c>
      <c r="B149" s="70" t="s">
        <v>701</v>
      </c>
      <c r="C149" s="83" t="s">
        <v>1353</v>
      </c>
      <c r="D149" s="85" t="s">
        <v>1353</v>
      </c>
      <c r="E149" s="72" t="s">
        <v>1215</v>
      </c>
      <c r="F149" s="73" t="s">
        <v>1386</v>
      </c>
      <c r="G149" s="79">
        <v>45618</v>
      </c>
      <c r="H149" s="80" t="s">
        <v>1227</v>
      </c>
      <c r="I149" s="70" t="s">
        <v>1153</v>
      </c>
      <c r="J149" s="82"/>
      <c r="K149" s="70"/>
      <c r="L149" s="82"/>
    </row>
    <row r="150" spans="1:12" s="1" customFormat="1" ht="20.100000000000001" customHeight="1">
      <c r="A150" s="70" t="s">
        <v>666</v>
      </c>
      <c r="B150" s="70" t="s">
        <v>702</v>
      </c>
      <c r="C150" s="83" t="s">
        <v>1353</v>
      </c>
      <c r="D150" s="85" t="s">
        <v>1380</v>
      </c>
      <c r="E150" s="81" t="s">
        <v>1169</v>
      </c>
      <c r="F150" s="73" t="s">
        <v>703</v>
      </c>
      <c r="G150" s="79">
        <v>45624</v>
      </c>
      <c r="H150" s="80" t="s">
        <v>1179</v>
      </c>
      <c r="I150" s="70" t="s">
        <v>1153</v>
      </c>
      <c r="J150" s="73"/>
      <c r="K150" s="70"/>
      <c r="L150" s="73"/>
    </row>
    <row r="151" spans="1:12" s="1" customFormat="1" ht="20.100000000000001" customHeight="1">
      <c r="A151" s="70" t="s">
        <v>666</v>
      </c>
      <c r="B151" s="70" t="s">
        <v>704</v>
      </c>
      <c r="C151" s="83" t="s">
        <v>1353</v>
      </c>
      <c r="D151" s="85" t="s">
        <v>1387</v>
      </c>
      <c r="E151" s="81" t="s">
        <v>1154</v>
      </c>
      <c r="F151" s="73" t="s">
        <v>705</v>
      </c>
      <c r="G151" s="79">
        <v>45624</v>
      </c>
      <c r="H151" s="80" t="s">
        <v>531</v>
      </c>
      <c r="I151" s="70" t="s">
        <v>1153</v>
      </c>
      <c r="J151" s="73"/>
      <c r="K151" s="70"/>
      <c r="L151" s="73"/>
    </row>
    <row r="152" spans="1:12" s="1" customFormat="1" ht="20.100000000000001" customHeight="1">
      <c r="A152" s="70" t="s">
        <v>666</v>
      </c>
      <c r="B152" s="70" t="s">
        <v>706</v>
      </c>
      <c r="C152" s="83" t="s">
        <v>1353</v>
      </c>
      <c r="D152" s="85" t="s">
        <v>1388</v>
      </c>
      <c r="E152" s="72" t="s">
        <v>1174</v>
      </c>
      <c r="F152" s="73" t="s">
        <v>1389</v>
      </c>
      <c r="G152" s="79">
        <v>45624</v>
      </c>
      <c r="H152" s="80" t="s">
        <v>1179</v>
      </c>
      <c r="I152" s="70" t="s">
        <v>1153</v>
      </c>
      <c r="J152" s="82"/>
      <c r="K152" s="70"/>
      <c r="L152" s="82"/>
    </row>
    <row r="153" spans="1:12" s="1" customFormat="1" ht="20.100000000000001" customHeight="1">
      <c r="A153" s="70" t="s">
        <v>666</v>
      </c>
      <c r="B153" s="70" t="s">
        <v>707</v>
      </c>
      <c r="C153" s="83" t="s">
        <v>1353</v>
      </c>
      <c r="D153" s="85" t="s">
        <v>1388</v>
      </c>
      <c r="E153" s="81" t="s">
        <v>1169</v>
      </c>
      <c r="F153" s="73" t="s">
        <v>703</v>
      </c>
      <c r="G153" s="79">
        <v>45624</v>
      </c>
      <c r="H153" s="80" t="s">
        <v>1179</v>
      </c>
      <c r="I153" s="70" t="s">
        <v>1153</v>
      </c>
      <c r="J153" s="73"/>
      <c r="K153" s="70"/>
      <c r="L153" s="73"/>
    </row>
    <row r="154" spans="1:12" s="1" customFormat="1" ht="20.100000000000001" customHeight="1">
      <c r="A154" s="70" t="s">
        <v>666</v>
      </c>
      <c r="B154" s="70" t="s">
        <v>708</v>
      </c>
      <c r="C154" s="83" t="s">
        <v>672</v>
      </c>
      <c r="D154" s="85" t="s">
        <v>1390</v>
      </c>
      <c r="E154" s="81" t="s">
        <v>1154</v>
      </c>
      <c r="F154" s="73" t="s">
        <v>705</v>
      </c>
      <c r="G154" s="79">
        <v>45624</v>
      </c>
      <c r="H154" s="80" t="s">
        <v>1179</v>
      </c>
      <c r="I154" s="70" t="s">
        <v>1153</v>
      </c>
      <c r="J154" s="73"/>
      <c r="K154" s="70"/>
      <c r="L154" s="73"/>
    </row>
    <row r="155" spans="1:12" s="1" customFormat="1" ht="20.100000000000001" customHeight="1">
      <c r="A155" s="70" t="s">
        <v>666</v>
      </c>
      <c r="B155" s="70" t="s">
        <v>709</v>
      </c>
      <c r="C155" s="83" t="s">
        <v>1391</v>
      </c>
      <c r="D155" s="85" t="s">
        <v>1392</v>
      </c>
      <c r="E155" s="72" t="s">
        <v>1174</v>
      </c>
      <c r="F155" s="73" t="s">
        <v>1393</v>
      </c>
      <c r="G155" s="79">
        <v>45624</v>
      </c>
      <c r="H155" s="80" t="s">
        <v>1176</v>
      </c>
      <c r="I155" s="70" t="s">
        <v>1153</v>
      </c>
      <c r="J155" s="73"/>
      <c r="K155" s="70"/>
      <c r="L155" s="73"/>
    </row>
    <row r="156" spans="1:12" s="1" customFormat="1" ht="20.100000000000001" customHeight="1">
      <c r="A156" s="70" t="s">
        <v>666</v>
      </c>
      <c r="B156" s="70" t="s">
        <v>1394</v>
      </c>
      <c r="C156" s="83" t="s">
        <v>1353</v>
      </c>
      <c r="D156" s="85" t="s">
        <v>1395</v>
      </c>
      <c r="E156" s="72" t="s">
        <v>1174</v>
      </c>
      <c r="F156" s="73" t="s">
        <v>1396</v>
      </c>
      <c r="G156" s="79">
        <v>45624</v>
      </c>
      <c r="H156" s="80" t="s">
        <v>1179</v>
      </c>
      <c r="I156" s="70" t="s">
        <v>1153</v>
      </c>
      <c r="J156" s="73"/>
      <c r="K156" s="70"/>
      <c r="L156" s="73"/>
    </row>
    <row r="157" spans="1:12" s="1" customFormat="1" ht="20.100000000000001" customHeight="1">
      <c r="A157" s="70" t="s">
        <v>666</v>
      </c>
      <c r="B157" s="70" t="s">
        <v>1397</v>
      </c>
      <c r="C157" s="83" t="s">
        <v>1349</v>
      </c>
      <c r="D157" s="71" t="s">
        <v>711</v>
      </c>
      <c r="E157" s="81" t="s">
        <v>1154</v>
      </c>
      <c r="F157" s="73" t="s">
        <v>669</v>
      </c>
      <c r="G157" s="79">
        <v>45610</v>
      </c>
      <c r="H157" s="80" t="s">
        <v>1236</v>
      </c>
      <c r="I157" s="70" t="s">
        <v>1153</v>
      </c>
      <c r="J157" s="82"/>
      <c r="K157" s="70"/>
      <c r="L157" s="82"/>
    </row>
    <row r="158" spans="1:12" s="1" customFormat="1" ht="20.100000000000001" customHeight="1">
      <c r="A158" s="70" t="s">
        <v>666</v>
      </c>
      <c r="B158" s="70" t="s">
        <v>712</v>
      </c>
      <c r="C158" s="83" t="s">
        <v>1349</v>
      </c>
      <c r="D158" s="71" t="s">
        <v>713</v>
      </c>
      <c r="E158" s="81" t="s">
        <v>1154</v>
      </c>
      <c r="F158" s="73" t="s">
        <v>575</v>
      </c>
      <c r="G158" s="79">
        <v>45624</v>
      </c>
      <c r="H158" s="80" t="s">
        <v>1236</v>
      </c>
      <c r="I158" s="70" t="s">
        <v>1153</v>
      </c>
      <c r="J158" s="82"/>
      <c r="K158" s="70"/>
      <c r="L158" s="82"/>
    </row>
    <row r="159" spans="1:12" s="1" customFormat="1" ht="20.100000000000001" customHeight="1">
      <c r="A159" s="70" t="s">
        <v>666</v>
      </c>
      <c r="B159" s="70" t="s">
        <v>714</v>
      </c>
      <c r="C159" s="83" t="s">
        <v>1349</v>
      </c>
      <c r="D159" s="71" t="s">
        <v>1360</v>
      </c>
      <c r="E159" s="72" t="s">
        <v>1174</v>
      </c>
      <c r="F159" s="73" t="s">
        <v>1398</v>
      </c>
      <c r="G159" s="79">
        <v>45610</v>
      </c>
      <c r="H159" s="80" t="s">
        <v>1236</v>
      </c>
      <c r="I159" s="70" t="s">
        <v>1153</v>
      </c>
      <c r="J159" s="73"/>
      <c r="K159" s="70"/>
      <c r="L159" s="73"/>
    </row>
    <row r="160" spans="1:12" s="1" customFormat="1" ht="20.100000000000001" customHeight="1">
      <c r="A160" s="70" t="s">
        <v>666</v>
      </c>
      <c r="B160" s="70" t="s">
        <v>715</v>
      </c>
      <c r="C160" s="83" t="s">
        <v>1349</v>
      </c>
      <c r="D160" s="71" t="s">
        <v>1399</v>
      </c>
      <c r="E160" s="72" t="s">
        <v>1174</v>
      </c>
      <c r="F160" s="73" t="s">
        <v>1400</v>
      </c>
      <c r="G160" s="79">
        <v>45610</v>
      </c>
      <c r="H160" s="80" t="s">
        <v>1236</v>
      </c>
      <c r="I160" s="70" t="s">
        <v>1153</v>
      </c>
      <c r="J160" s="73"/>
      <c r="K160" s="70"/>
      <c r="L160" s="73"/>
    </row>
    <row r="161" spans="1:12" s="1" customFormat="1" ht="20.100000000000001" customHeight="1">
      <c r="A161" s="70" t="s">
        <v>666</v>
      </c>
      <c r="B161" s="70" t="s">
        <v>670</v>
      </c>
      <c r="C161" s="83" t="s">
        <v>1349</v>
      </c>
      <c r="D161" s="71" t="s">
        <v>1401</v>
      </c>
      <c r="E161" s="72" t="s">
        <v>1139</v>
      </c>
      <c r="F161" s="73" t="s">
        <v>1352</v>
      </c>
      <c r="G161" s="79">
        <v>45610</v>
      </c>
      <c r="H161" s="80" t="s">
        <v>1236</v>
      </c>
      <c r="I161" s="70" t="s">
        <v>1153</v>
      </c>
      <c r="J161" s="73"/>
      <c r="K161" s="70"/>
      <c r="L161" s="73"/>
    </row>
    <row r="162" spans="1:12" s="1" customFormat="1" ht="20.100000000000001" customHeight="1">
      <c r="A162" s="70" t="s">
        <v>666</v>
      </c>
      <c r="B162" s="70" t="s">
        <v>716</v>
      </c>
      <c r="C162" s="83" t="s">
        <v>1349</v>
      </c>
      <c r="D162" s="71" t="s">
        <v>1362</v>
      </c>
      <c r="E162" s="72" t="s">
        <v>1174</v>
      </c>
      <c r="F162" s="73" t="s">
        <v>1363</v>
      </c>
      <c r="G162" s="79">
        <v>45610</v>
      </c>
      <c r="H162" s="80" t="s">
        <v>1236</v>
      </c>
      <c r="I162" s="70" t="s">
        <v>1153</v>
      </c>
      <c r="J162" s="82"/>
      <c r="K162" s="70"/>
      <c r="L162" s="82"/>
    </row>
    <row r="163" spans="1:12" s="1" customFormat="1" ht="20.100000000000001" customHeight="1">
      <c r="A163" s="70" t="s">
        <v>666</v>
      </c>
      <c r="B163" s="70" t="s">
        <v>717</v>
      </c>
      <c r="C163" s="83" t="s">
        <v>1349</v>
      </c>
      <c r="D163" s="71" t="s">
        <v>1402</v>
      </c>
      <c r="E163" s="72" t="s">
        <v>1174</v>
      </c>
      <c r="F163" s="73" t="s">
        <v>1382</v>
      </c>
      <c r="G163" s="79">
        <v>45610</v>
      </c>
      <c r="H163" s="80" t="s">
        <v>1236</v>
      </c>
      <c r="I163" s="70" t="s">
        <v>1153</v>
      </c>
      <c r="J163" s="73"/>
      <c r="K163" s="70"/>
      <c r="L163" s="73"/>
    </row>
    <row r="164" spans="1:12" s="1" customFormat="1" ht="20.100000000000001" customHeight="1">
      <c r="A164" s="70" t="s">
        <v>666</v>
      </c>
      <c r="B164" s="70" t="s">
        <v>718</v>
      </c>
      <c r="C164" s="83" t="s">
        <v>1349</v>
      </c>
      <c r="D164" s="71" t="s">
        <v>1403</v>
      </c>
      <c r="E164" s="72" t="s">
        <v>1174</v>
      </c>
      <c r="F164" s="73" t="s">
        <v>1359</v>
      </c>
      <c r="G164" s="79">
        <v>45610</v>
      </c>
      <c r="H164" s="80" t="s">
        <v>1240</v>
      </c>
      <c r="I164" s="70" t="s">
        <v>1153</v>
      </c>
      <c r="J164" s="73"/>
      <c r="K164" s="70"/>
      <c r="L164" s="73"/>
    </row>
    <row r="165" spans="1:12" s="1" customFormat="1" ht="20.100000000000001" customHeight="1">
      <c r="A165" s="70" t="s">
        <v>666</v>
      </c>
      <c r="B165" s="70" t="s">
        <v>719</v>
      </c>
      <c r="C165" s="83" t="s">
        <v>1349</v>
      </c>
      <c r="D165" s="71" t="s">
        <v>1403</v>
      </c>
      <c r="E165" s="81" t="s">
        <v>1154</v>
      </c>
      <c r="F165" s="73" t="s">
        <v>677</v>
      </c>
      <c r="G165" s="79">
        <v>45610</v>
      </c>
      <c r="H165" s="80" t="s">
        <v>1236</v>
      </c>
      <c r="I165" s="70" t="s">
        <v>1153</v>
      </c>
      <c r="J165" s="73"/>
      <c r="K165" s="70"/>
      <c r="L165" s="73"/>
    </row>
    <row r="166" spans="1:12" s="1" customFormat="1" ht="20.100000000000001" customHeight="1">
      <c r="A166" s="70" t="s">
        <v>666</v>
      </c>
      <c r="B166" s="70" t="s">
        <v>720</v>
      </c>
      <c r="C166" s="83" t="s">
        <v>1371</v>
      </c>
      <c r="D166" s="71" t="s">
        <v>1404</v>
      </c>
      <c r="E166" s="72" t="s">
        <v>1174</v>
      </c>
      <c r="F166" s="73" t="s">
        <v>1335</v>
      </c>
      <c r="G166" s="79">
        <v>45610</v>
      </c>
      <c r="H166" s="80" t="s">
        <v>587</v>
      </c>
      <c r="I166" s="70" t="s">
        <v>38</v>
      </c>
      <c r="J166" s="73"/>
      <c r="K166" s="70"/>
      <c r="L166" s="73"/>
    </row>
    <row r="167" spans="1:12" s="1" customFormat="1" ht="20.100000000000001" customHeight="1">
      <c r="A167" s="70" t="s">
        <v>666</v>
      </c>
      <c r="B167" s="70" t="s">
        <v>721</v>
      </c>
      <c r="C167" s="83" t="s">
        <v>1371</v>
      </c>
      <c r="D167" s="71" t="s">
        <v>1405</v>
      </c>
      <c r="E167" s="72" t="s">
        <v>1174</v>
      </c>
      <c r="F167" s="73" t="s">
        <v>1406</v>
      </c>
      <c r="G167" s="79">
        <v>45610</v>
      </c>
      <c r="H167" s="80" t="s">
        <v>1236</v>
      </c>
      <c r="I167" s="70" t="s">
        <v>38</v>
      </c>
      <c r="J167" s="82"/>
      <c r="K167" s="70"/>
      <c r="L167" s="82"/>
    </row>
    <row r="168" spans="1:12" s="1" customFormat="1" ht="20.100000000000001" customHeight="1">
      <c r="A168" s="70" t="s">
        <v>666</v>
      </c>
      <c r="B168" s="70" t="s">
        <v>722</v>
      </c>
      <c r="C168" s="83" t="s">
        <v>1371</v>
      </c>
      <c r="D168" s="71" t="s">
        <v>1407</v>
      </c>
      <c r="E168" s="72" t="s">
        <v>1174</v>
      </c>
      <c r="F168" s="73" t="s">
        <v>695</v>
      </c>
      <c r="G168" s="79">
        <v>45610</v>
      </c>
      <c r="H168" s="80" t="s">
        <v>587</v>
      </c>
      <c r="I168" s="70" t="s">
        <v>38</v>
      </c>
      <c r="J168" s="73"/>
      <c r="K168" s="70"/>
      <c r="L168" s="73"/>
    </row>
    <row r="169" spans="1:12" s="1" customFormat="1" ht="20.100000000000001" customHeight="1">
      <c r="A169" s="70" t="s">
        <v>666</v>
      </c>
      <c r="B169" s="70" t="s">
        <v>723</v>
      </c>
      <c r="C169" s="83" t="s">
        <v>691</v>
      </c>
      <c r="D169" s="71" t="s">
        <v>1408</v>
      </c>
      <c r="E169" s="72" t="s">
        <v>1215</v>
      </c>
      <c r="F169" s="73" t="s">
        <v>695</v>
      </c>
      <c r="G169" s="79">
        <v>45610</v>
      </c>
      <c r="H169" s="80" t="s">
        <v>1234</v>
      </c>
      <c r="I169" s="70" t="s">
        <v>1153</v>
      </c>
      <c r="J169" s="73"/>
      <c r="K169" s="70"/>
      <c r="L169" s="73"/>
    </row>
    <row r="170" spans="1:12" s="1" customFormat="1" ht="20.100000000000001" customHeight="1">
      <c r="A170" s="70" t="s">
        <v>666</v>
      </c>
      <c r="B170" s="70" t="s">
        <v>724</v>
      </c>
      <c r="C170" s="83" t="s">
        <v>1371</v>
      </c>
      <c r="D170" s="85" t="s">
        <v>1371</v>
      </c>
      <c r="E170" s="72" t="s">
        <v>1174</v>
      </c>
      <c r="F170" s="73" t="s">
        <v>1378</v>
      </c>
      <c r="G170" s="79">
        <v>45610</v>
      </c>
      <c r="H170" s="80" t="s">
        <v>1236</v>
      </c>
      <c r="I170" s="70" t="s">
        <v>1153</v>
      </c>
      <c r="J170" s="73"/>
      <c r="K170" s="70"/>
      <c r="L170" s="73"/>
    </row>
    <row r="171" spans="1:12" s="1" customFormat="1" ht="20.100000000000001" customHeight="1">
      <c r="A171" s="70" t="s">
        <v>666</v>
      </c>
      <c r="B171" s="70" t="s">
        <v>725</v>
      </c>
      <c r="C171" s="83" t="s">
        <v>1353</v>
      </c>
      <c r="D171" s="85" t="s">
        <v>1409</v>
      </c>
      <c r="E171" s="72" t="s">
        <v>1174</v>
      </c>
      <c r="F171" s="73" t="s">
        <v>1335</v>
      </c>
      <c r="G171" s="79">
        <v>45610</v>
      </c>
      <c r="H171" s="80" t="s">
        <v>1236</v>
      </c>
      <c r="I171" s="70" t="s">
        <v>1153</v>
      </c>
      <c r="J171" s="73"/>
      <c r="K171" s="70"/>
      <c r="L171" s="73"/>
    </row>
    <row r="172" spans="1:12" s="1" customFormat="1" ht="20.100000000000001" customHeight="1">
      <c r="A172" s="70" t="s">
        <v>666</v>
      </c>
      <c r="B172" s="70" t="s">
        <v>726</v>
      </c>
      <c r="C172" s="83" t="s">
        <v>1353</v>
      </c>
      <c r="D172" s="85" t="s">
        <v>1353</v>
      </c>
      <c r="E172" s="72" t="s">
        <v>1174</v>
      </c>
      <c r="F172" s="73" t="s">
        <v>1410</v>
      </c>
      <c r="G172" s="79">
        <v>45610</v>
      </c>
      <c r="H172" s="80" t="s">
        <v>1236</v>
      </c>
      <c r="I172" s="70" t="s">
        <v>1153</v>
      </c>
      <c r="J172" s="82"/>
      <c r="K172" s="70"/>
      <c r="L172" s="82"/>
    </row>
    <row r="173" spans="1:12" s="1" customFormat="1" ht="20.100000000000001" customHeight="1">
      <c r="A173" s="70" t="s">
        <v>666</v>
      </c>
      <c r="B173" s="70" t="s">
        <v>727</v>
      </c>
      <c r="C173" s="83" t="s">
        <v>1353</v>
      </c>
      <c r="D173" s="85" t="s">
        <v>1411</v>
      </c>
      <c r="E173" s="72" t="s">
        <v>1215</v>
      </c>
      <c r="F173" s="73" t="s">
        <v>1356</v>
      </c>
      <c r="G173" s="79">
        <v>45610</v>
      </c>
      <c r="H173" s="80" t="s">
        <v>1234</v>
      </c>
      <c r="I173" s="70" t="s">
        <v>38</v>
      </c>
      <c r="J173" s="82"/>
      <c r="K173" s="70"/>
      <c r="L173" s="82"/>
    </row>
    <row r="174" spans="1:12" s="1" customFormat="1" ht="20.100000000000001" customHeight="1">
      <c r="A174" s="70" t="s">
        <v>666</v>
      </c>
      <c r="B174" s="70" t="s">
        <v>728</v>
      </c>
      <c r="C174" s="83" t="s">
        <v>1353</v>
      </c>
      <c r="D174" s="85" t="s">
        <v>1412</v>
      </c>
      <c r="E174" s="81" t="s">
        <v>1154</v>
      </c>
      <c r="F174" s="73" t="s">
        <v>729</v>
      </c>
      <c r="G174" s="79">
        <v>45610</v>
      </c>
      <c r="H174" s="80" t="s">
        <v>1236</v>
      </c>
      <c r="I174" s="70" t="s">
        <v>1153</v>
      </c>
      <c r="J174" s="73"/>
      <c r="K174" s="70"/>
      <c r="L174" s="73"/>
    </row>
    <row r="175" spans="1:12" s="1" customFormat="1" ht="20.100000000000001" customHeight="1">
      <c r="A175" s="70" t="s">
        <v>666</v>
      </c>
      <c r="B175" s="70" t="s">
        <v>730</v>
      </c>
      <c r="C175" s="83" t="s">
        <v>1353</v>
      </c>
      <c r="D175" s="85" t="s">
        <v>1413</v>
      </c>
      <c r="E175" s="72" t="s">
        <v>1174</v>
      </c>
      <c r="F175" s="73" t="s">
        <v>1389</v>
      </c>
      <c r="G175" s="79">
        <v>45610</v>
      </c>
      <c r="H175" s="80" t="s">
        <v>1236</v>
      </c>
      <c r="I175" s="70" t="s">
        <v>1153</v>
      </c>
      <c r="J175" s="82"/>
      <c r="K175" s="70"/>
      <c r="L175" s="82"/>
    </row>
    <row r="176" spans="1:12" s="1" customFormat="1" ht="20.100000000000001" customHeight="1">
      <c r="A176" s="70" t="s">
        <v>666</v>
      </c>
      <c r="B176" s="70" t="s">
        <v>731</v>
      </c>
      <c r="C176" s="83" t="s">
        <v>1353</v>
      </c>
      <c r="D176" s="85" t="s">
        <v>1414</v>
      </c>
      <c r="E176" s="81" t="s">
        <v>1154</v>
      </c>
      <c r="F176" s="73" t="s">
        <v>732</v>
      </c>
      <c r="G176" s="79">
        <v>45610</v>
      </c>
      <c r="H176" s="80" t="s">
        <v>1236</v>
      </c>
      <c r="I176" s="70" t="s">
        <v>1153</v>
      </c>
      <c r="J176" s="73"/>
      <c r="K176" s="70"/>
      <c r="L176" s="73"/>
    </row>
    <row r="177" spans="1:12" s="1" customFormat="1" ht="20.100000000000001" customHeight="1">
      <c r="A177" s="70" t="s">
        <v>666</v>
      </c>
      <c r="B177" s="70" t="s">
        <v>733</v>
      </c>
      <c r="C177" s="83" t="s">
        <v>1353</v>
      </c>
      <c r="D177" s="85" t="s">
        <v>1413</v>
      </c>
      <c r="E177" s="81" t="s">
        <v>1154</v>
      </c>
      <c r="F177" s="73" t="s">
        <v>729</v>
      </c>
      <c r="G177" s="79">
        <v>45610</v>
      </c>
      <c r="H177" s="80" t="s">
        <v>1236</v>
      </c>
      <c r="I177" s="70" t="s">
        <v>1153</v>
      </c>
      <c r="J177" s="73"/>
      <c r="K177" s="70"/>
      <c r="L177" s="73"/>
    </row>
    <row r="178" spans="1:12" s="1" customFormat="1" ht="20.100000000000001" customHeight="1">
      <c r="A178" s="70" t="s">
        <v>666</v>
      </c>
      <c r="B178" s="70" t="s">
        <v>734</v>
      </c>
      <c r="C178" s="83" t="s">
        <v>1353</v>
      </c>
      <c r="D178" s="85" t="s">
        <v>1415</v>
      </c>
      <c r="E178" s="81" t="s">
        <v>1154</v>
      </c>
      <c r="F178" s="73" t="s">
        <v>732</v>
      </c>
      <c r="G178" s="79">
        <v>45610</v>
      </c>
      <c r="H178" s="80" t="s">
        <v>1236</v>
      </c>
      <c r="I178" s="70" t="s">
        <v>1153</v>
      </c>
      <c r="J178" s="73"/>
      <c r="K178" s="70"/>
      <c r="L178" s="73"/>
    </row>
    <row r="179" spans="1:12" s="1" customFormat="1" ht="20.100000000000001" customHeight="1">
      <c r="A179" s="70" t="s">
        <v>666</v>
      </c>
      <c r="B179" s="70" t="s">
        <v>735</v>
      </c>
      <c r="C179" s="83" t="s">
        <v>1353</v>
      </c>
      <c r="D179" s="85" t="s">
        <v>1416</v>
      </c>
      <c r="E179" s="72" t="s">
        <v>1174</v>
      </c>
      <c r="F179" s="73" t="s">
        <v>1393</v>
      </c>
      <c r="G179" s="79">
        <v>45610</v>
      </c>
      <c r="H179" s="80" t="s">
        <v>1236</v>
      </c>
      <c r="I179" s="70" t="s">
        <v>1153</v>
      </c>
      <c r="J179" s="73"/>
      <c r="K179" s="70"/>
      <c r="L179" s="73"/>
    </row>
    <row r="180" spans="1:12" s="1" customFormat="1" ht="20.100000000000001" customHeight="1">
      <c r="A180" s="70" t="s">
        <v>736</v>
      </c>
      <c r="B180" s="70" t="s">
        <v>1417</v>
      </c>
      <c r="C180" s="83" t="s">
        <v>1349</v>
      </c>
      <c r="D180" s="71" t="s">
        <v>738</v>
      </c>
      <c r="E180" s="81" t="s">
        <v>1154</v>
      </c>
      <c r="F180" s="73" t="s">
        <v>575</v>
      </c>
      <c r="G180" s="79">
        <v>45624</v>
      </c>
      <c r="H180" s="80" t="s">
        <v>1179</v>
      </c>
      <c r="I180" s="70" t="s">
        <v>1153</v>
      </c>
      <c r="J180" s="82"/>
      <c r="K180" s="70"/>
      <c r="L180" s="82"/>
    </row>
    <row r="181" spans="1:12" s="1" customFormat="1" ht="20.100000000000001" customHeight="1">
      <c r="A181" s="70" t="s">
        <v>736</v>
      </c>
      <c r="B181" s="70" t="s">
        <v>737</v>
      </c>
      <c r="C181" s="83" t="s">
        <v>667</v>
      </c>
      <c r="D181" s="71" t="s">
        <v>738</v>
      </c>
      <c r="E181" s="81" t="s">
        <v>1154</v>
      </c>
      <c r="F181" s="73" t="s">
        <v>575</v>
      </c>
      <c r="G181" s="79">
        <v>45610</v>
      </c>
      <c r="H181" s="80" t="s">
        <v>1236</v>
      </c>
      <c r="I181" s="70" t="s">
        <v>1153</v>
      </c>
      <c r="J181" s="82"/>
      <c r="K181" s="70"/>
      <c r="L181" s="82"/>
    </row>
    <row r="182" spans="1:12" s="1" customFormat="1" ht="20.100000000000001" customHeight="1">
      <c r="A182" s="70" t="s">
        <v>736</v>
      </c>
      <c r="B182" s="70" t="s">
        <v>739</v>
      </c>
      <c r="C182" s="83" t="s">
        <v>1349</v>
      </c>
      <c r="D182" s="71" t="s">
        <v>1418</v>
      </c>
      <c r="E182" s="72" t="s">
        <v>1174</v>
      </c>
      <c r="F182" s="73" t="s">
        <v>1419</v>
      </c>
      <c r="G182" s="79">
        <v>45624</v>
      </c>
      <c r="H182" s="80" t="s">
        <v>1179</v>
      </c>
      <c r="I182" s="70" t="s">
        <v>1153</v>
      </c>
      <c r="J182" s="73"/>
      <c r="K182" s="70"/>
      <c r="L182" s="73"/>
    </row>
    <row r="183" spans="1:12" s="1" customFormat="1" ht="20.100000000000001" customHeight="1">
      <c r="A183" s="70" t="s">
        <v>736</v>
      </c>
      <c r="B183" s="70" t="s">
        <v>739</v>
      </c>
      <c r="C183" s="83" t="s">
        <v>1349</v>
      </c>
      <c r="D183" s="71" t="s">
        <v>1418</v>
      </c>
      <c r="E183" s="72" t="s">
        <v>1174</v>
      </c>
      <c r="F183" s="73" t="s">
        <v>1419</v>
      </c>
      <c r="G183" s="79">
        <v>45610</v>
      </c>
      <c r="H183" s="80" t="s">
        <v>1236</v>
      </c>
      <c r="I183" s="70" t="s">
        <v>1153</v>
      </c>
      <c r="J183" s="73"/>
      <c r="K183" s="70"/>
      <c r="L183" s="73"/>
    </row>
    <row r="184" spans="1:12" s="1" customFormat="1" ht="20.100000000000001" customHeight="1">
      <c r="A184" s="70" t="s">
        <v>736</v>
      </c>
      <c r="B184" s="70" t="s">
        <v>740</v>
      </c>
      <c r="C184" s="83" t="s">
        <v>1420</v>
      </c>
      <c r="D184" s="71" t="s">
        <v>1418</v>
      </c>
      <c r="E184" s="72" t="s">
        <v>1174</v>
      </c>
      <c r="F184" s="73" t="s">
        <v>1421</v>
      </c>
      <c r="G184" s="79">
        <v>45610</v>
      </c>
      <c r="H184" s="80" t="s">
        <v>531</v>
      </c>
      <c r="I184" s="70" t="s">
        <v>1153</v>
      </c>
      <c r="J184" s="73"/>
      <c r="K184" s="70"/>
      <c r="L184" s="73"/>
    </row>
    <row r="185" spans="1:12" s="1" customFormat="1" ht="20.100000000000001" customHeight="1">
      <c r="A185" s="70" t="s">
        <v>736</v>
      </c>
      <c r="B185" s="70" t="s">
        <v>741</v>
      </c>
      <c r="C185" s="83" t="s">
        <v>1349</v>
      </c>
      <c r="D185" s="71" t="s">
        <v>1422</v>
      </c>
      <c r="E185" s="72" t="s">
        <v>125</v>
      </c>
      <c r="F185" s="73" t="s">
        <v>1363</v>
      </c>
      <c r="G185" s="79">
        <v>45624</v>
      </c>
      <c r="H185" s="80" t="s">
        <v>1179</v>
      </c>
      <c r="I185" s="70" t="s">
        <v>1153</v>
      </c>
      <c r="J185" s="82"/>
      <c r="K185" s="70"/>
      <c r="L185" s="82"/>
    </row>
    <row r="186" spans="1:12" s="1" customFormat="1" ht="20.100000000000001" customHeight="1">
      <c r="A186" s="70" t="s">
        <v>736</v>
      </c>
      <c r="B186" s="70" t="s">
        <v>741</v>
      </c>
      <c r="C186" s="83" t="s">
        <v>1349</v>
      </c>
      <c r="D186" s="71" t="s">
        <v>1422</v>
      </c>
      <c r="E186" s="72" t="s">
        <v>1174</v>
      </c>
      <c r="F186" s="73" t="s">
        <v>1363</v>
      </c>
      <c r="G186" s="79">
        <v>45610</v>
      </c>
      <c r="H186" s="80" t="s">
        <v>1236</v>
      </c>
      <c r="I186" s="70" t="s">
        <v>1153</v>
      </c>
      <c r="J186" s="82"/>
      <c r="K186" s="70"/>
      <c r="L186" s="82"/>
    </row>
    <row r="187" spans="1:12" s="1" customFormat="1" ht="20.100000000000001" customHeight="1">
      <c r="A187" s="70" t="s">
        <v>736</v>
      </c>
      <c r="B187" s="70" t="s">
        <v>742</v>
      </c>
      <c r="C187" s="83" t="s">
        <v>1349</v>
      </c>
      <c r="D187" s="71" t="s">
        <v>1423</v>
      </c>
      <c r="E187" s="72" t="s">
        <v>1174</v>
      </c>
      <c r="F187" s="73" t="s">
        <v>1424</v>
      </c>
      <c r="G187" s="79">
        <v>45611</v>
      </c>
      <c r="H187" s="80" t="s">
        <v>1167</v>
      </c>
      <c r="I187" s="70" t="s">
        <v>1153</v>
      </c>
      <c r="J187" s="73"/>
      <c r="K187" s="70"/>
      <c r="L187" s="73"/>
    </row>
    <row r="188" spans="1:12" s="1" customFormat="1" ht="20.100000000000001" customHeight="1">
      <c r="A188" s="70" t="s">
        <v>736</v>
      </c>
      <c r="B188" s="70" t="s">
        <v>743</v>
      </c>
      <c r="C188" s="83" t="s">
        <v>1349</v>
      </c>
      <c r="D188" s="71" t="s">
        <v>1425</v>
      </c>
      <c r="E188" s="72" t="s">
        <v>1174</v>
      </c>
      <c r="F188" s="73" t="s">
        <v>1382</v>
      </c>
      <c r="G188" s="79">
        <v>45624</v>
      </c>
      <c r="H188" s="80" t="s">
        <v>1179</v>
      </c>
      <c r="I188" s="70" t="s">
        <v>1153</v>
      </c>
      <c r="J188" s="73"/>
      <c r="K188" s="70"/>
      <c r="L188" s="73"/>
    </row>
    <row r="189" spans="1:12" s="1" customFormat="1" ht="20.100000000000001" customHeight="1">
      <c r="A189" s="70" t="s">
        <v>736</v>
      </c>
      <c r="B189" s="70" t="s">
        <v>743</v>
      </c>
      <c r="C189" s="83" t="s">
        <v>1349</v>
      </c>
      <c r="D189" s="71" t="s">
        <v>1426</v>
      </c>
      <c r="E189" s="72" t="s">
        <v>1174</v>
      </c>
      <c r="F189" s="73" t="s">
        <v>1382</v>
      </c>
      <c r="G189" s="79">
        <v>45610</v>
      </c>
      <c r="H189" s="80" t="s">
        <v>1236</v>
      </c>
      <c r="I189" s="70" t="s">
        <v>1153</v>
      </c>
      <c r="J189" s="73"/>
      <c r="K189" s="70"/>
      <c r="L189" s="73"/>
    </row>
    <row r="190" spans="1:12" s="1" customFormat="1" ht="20.100000000000001" customHeight="1">
      <c r="A190" s="70" t="s">
        <v>736</v>
      </c>
      <c r="B190" s="70" t="s">
        <v>744</v>
      </c>
      <c r="C190" s="83" t="s">
        <v>1427</v>
      </c>
      <c r="D190" s="71" t="s">
        <v>1428</v>
      </c>
      <c r="E190" s="72" t="s">
        <v>1174</v>
      </c>
      <c r="F190" s="73" t="s">
        <v>675</v>
      </c>
      <c r="G190" s="79">
        <v>45624</v>
      </c>
      <c r="H190" s="80" t="s">
        <v>1179</v>
      </c>
      <c r="I190" s="70" t="s">
        <v>1153</v>
      </c>
      <c r="J190" s="73"/>
      <c r="K190" s="70"/>
      <c r="L190" s="73"/>
    </row>
    <row r="191" spans="1:12" s="1" customFormat="1" ht="20.100000000000001" customHeight="1">
      <c r="A191" s="70" t="s">
        <v>736</v>
      </c>
      <c r="B191" s="70" t="s">
        <v>744</v>
      </c>
      <c r="C191" s="83" t="s">
        <v>1349</v>
      </c>
      <c r="D191" s="71" t="s">
        <v>1428</v>
      </c>
      <c r="E191" s="72" t="s">
        <v>1174</v>
      </c>
      <c r="F191" s="73" t="s">
        <v>1359</v>
      </c>
      <c r="G191" s="79">
        <v>45610</v>
      </c>
      <c r="H191" s="80" t="s">
        <v>1236</v>
      </c>
      <c r="I191" s="70" t="s">
        <v>1153</v>
      </c>
      <c r="J191" s="73"/>
      <c r="K191" s="70"/>
      <c r="L191" s="73"/>
    </row>
    <row r="192" spans="1:12" s="1" customFormat="1" ht="20.100000000000001" customHeight="1">
      <c r="A192" s="70" t="s">
        <v>736</v>
      </c>
      <c r="B192" s="70" t="s">
        <v>745</v>
      </c>
      <c r="C192" s="83" t="s">
        <v>1349</v>
      </c>
      <c r="D192" s="71" t="s">
        <v>1428</v>
      </c>
      <c r="E192" s="81" t="s">
        <v>1169</v>
      </c>
      <c r="F192" s="73" t="s">
        <v>677</v>
      </c>
      <c r="G192" s="79">
        <v>45624</v>
      </c>
      <c r="H192" s="80" t="s">
        <v>1179</v>
      </c>
      <c r="I192" s="70" t="s">
        <v>1153</v>
      </c>
      <c r="J192" s="73"/>
      <c r="K192" s="70"/>
      <c r="L192" s="73"/>
    </row>
    <row r="193" spans="1:12" s="1" customFormat="1" ht="20.100000000000001" customHeight="1">
      <c r="A193" s="70" t="s">
        <v>736</v>
      </c>
      <c r="B193" s="70" t="s">
        <v>745</v>
      </c>
      <c r="C193" s="83" t="s">
        <v>1349</v>
      </c>
      <c r="D193" s="71" t="s">
        <v>1428</v>
      </c>
      <c r="E193" s="81" t="s">
        <v>1154</v>
      </c>
      <c r="F193" s="73" t="s">
        <v>677</v>
      </c>
      <c r="G193" s="79">
        <v>45610</v>
      </c>
      <c r="H193" s="80" t="s">
        <v>1236</v>
      </c>
      <c r="I193" s="70" t="s">
        <v>38</v>
      </c>
      <c r="J193" s="73"/>
      <c r="K193" s="70"/>
      <c r="L193" s="73"/>
    </row>
    <row r="194" spans="1:12" s="1" customFormat="1" ht="20.100000000000001" customHeight="1">
      <c r="A194" s="70" t="s">
        <v>736</v>
      </c>
      <c r="B194" s="70" t="s">
        <v>746</v>
      </c>
      <c r="C194" s="83" t="s">
        <v>1364</v>
      </c>
      <c r="D194" s="71" t="s">
        <v>1429</v>
      </c>
      <c r="E194" s="72" t="s">
        <v>125</v>
      </c>
      <c r="F194" s="73" t="s">
        <v>1335</v>
      </c>
      <c r="G194" s="79">
        <v>45624</v>
      </c>
      <c r="H194" s="80" t="s">
        <v>1179</v>
      </c>
      <c r="I194" s="70" t="s">
        <v>1153</v>
      </c>
      <c r="J194" s="73"/>
      <c r="K194" s="70"/>
      <c r="L194" s="73"/>
    </row>
    <row r="195" spans="1:12" s="1" customFormat="1" ht="20.100000000000001" customHeight="1">
      <c r="A195" s="70" t="s">
        <v>736</v>
      </c>
      <c r="B195" s="70" t="s">
        <v>746</v>
      </c>
      <c r="C195" s="83" t="s">
        <v>1364</v>
      </c>
      <c r="D195" s="71" t="s">
        <v>1430</v>
      </c>
      <c r="E195" s="72" t="s">
        <v>1174</v>
      </c>
      <c r="F195" s="73" t="s">
        <v>1335</v>
      </c>
      <c r="G195" s="79">
        <v>45611</v>
      </c>
      <c r="H195" s="80" t="s">
        <v>1167</v>
      </c>
      <c r="I195" s="70" t="s">
        <v>1153</v>
      </c>
      <c r="J195" s="73"/>
      <c r="K195" s="70"/>
      <c r="L195" s="73"/>
    </row>
    <row r="196" spans="1:12" s="1" customFormat="1" ht="20.100000000000001" customHeight="1">
      <c r="A196" s="70" t="s">
        <v>736</v>
      </c>
      <c r="B196" s="70" t="s">
        <v>747</v>
      </c>
      <c r="C196" s="83" t="s">
        <v>1364</v>
      </c>
      <c r="D196" s="71" t="s">
        <v>1431</v>
      </c>
      <c r="E196" s="72" t="s">
        <v>1174</v>
      </c>
      <c r="F196" s="73" t="s">
        <v>1432</v>
      </c>
      <c r="G196" s="79">
        <v>45624</v>
      </c>
      <c r="H196" s="80" t="s">
        <v>1179</v>
      </c>
      <c r="I196" s="70" t="s">
        <v>1153</v>
      </c>
      <c r="J196" s="82"/>
      <c r="K196" s="70"/>
      <c r="L196" s="82"/>
    </row>
    <row r="197" spans="1:12" s="1" customFormat="1" ht="20.100000000000001" customHeight="1">
      <c r="A197" s="70" t="s">
        <v>736</v>
      </c>
      <c r="B197" s="70" t="s">
        <v>748</v>
      </c>
      <c r="C197" s="83" t="s">
        <v>1364</v>
      </c>
      <c r="D197" s="71" t="s">
        <v>1431</v>
      </c>
      <c r="E197" s="72" t="s">
        <v>1174</v>
      </c>
      <c r="F197" s="73" t="s">
        <v>1367</v>
      </c>
      <c r="G197" s="79">
        <v>45610</v>
      </c>
      <c r="H197" s="80" t="s">
        <v>1167</v>
      </c>
      <c r="I197" s="70" t="s">
        <v>1153</v>
      </c>
      <c r="J197" s="82"/>
      <c r="K197" s="70"/>
      <c r="L197" s="82"/>
    </row>
    <row r="198" spans="1:12" s="1" customFormat="1" ht="20.100000000000001" customHeight="1">
      <c r="A198" s="70" t="s">
        <v>736</v>
      </c>
      <c r="B198" s="70" t="s">
        <v>749</v>
      </c>
      <c r="C198" s="83" t="s">
        <v>1371</v>
      </c>
      <c r="D198" s="71" t="s">
        <v>1404</v>
      </c>
      <c r="E198" s="72" t="s">
        <v>1174</v>
      </c>
      <c r="F198" s="73" t="s">
        <v>1335</v>
      </c>
      <c r="G198" s="79">
        <v>45611</v>
      </c>
      <c r="H198" s="80" t="s">
        <v>1167</v>
      </c>
      <c r="I198" s="76" t="s">
        <v>1153</v>
      </c>
      <c r="J198" s="73"/>
      <c r="K198" s="70"/>
      <c r="L198" s="73"/>
    </row>
    <row r="199" spans="1:12" s="1" customFormat="1" ht="20.100000000000001" customHeight="1">
      <c r="A199" s="70" t="s">
        <v>736</v>
      </c>
      <c r="B199" s="70" t="s">
        <v>749</v>
      </c>
      <c r="C199" s="83" t="s">
        <v>1371</v>
      </c>
      <c r="D199" s="71" t="s">
        <v>1404</v>
      </c>
      <c r="E199" s="72" t="s">
        <v>1174</v>
      </c>
      <c r="F199" s="73" t="s">
        <v>1335</v>
      </c>
      <c r="G199" s="79">
        <v>45610</v>
      </c>
      <c r="H199" s="80" t="s">
        <v>1236</v>
      </c>
      <c r="I199" s="70" t="s">
        <v>1153</v>
      </c>
      <c r="J199" s="73"/>
      <c r="K199" s="70"/>
      <c r="L199" s="73"/>
    </row>
    <row r="200" spans="1:12" s="1" customFormat="1" ht="20.100000000000001" customHeight="1">
      <c r="A200" s="70" t="s">
        <v>736</v>
      </c>
      <c r="B200" s="70" t="s">
        <v>750</v>
      </c>
      <c r="C200" s="83" t="s">
        <v>1371</v>
      </c>
      <c r="D200" s="71" t="s">
        <v>1405</v>
      </c>
      <c r="E200" s="72" t="s">
        <v>1174</v>
      </c>
      <c r="F200" s="73" t="s">
        <v>1406</v>
      </c>
      <c r="G200" s="79">
        <v>45611</v>
      </c>
      <c r="H200" s="80" t="s">
        <v>1167</v>
      </c>
      <c r="I200" s="70" t="s">
        <v>1153</v>
      </c>
      <c r="J200" s="82" t="s">
        <v>1433</v>
      </c>
      <c r="K200" s="70"/>
      <c r="L200" s="82"/>
    </row>
    <row r="201" spans="1:12" s="1" customFormat="1" ht="20.100000000000001" customHeight="1">
      <c r="A201" s="70" t="s">
        <v>736</v>
      </c>
      <c r="B201" s="70" t="s">
        <v>750</v>
      </c>
      <c r="C201" s="83" t="s">
        <v>1371</v>
      </c>
      <c r="D201" s="71" t="s">
        <v>1405</v>
      </c>
      <c r="E201" s="72" t="s">
        <v>1174</v>
      </c>
      <c r="F201" s="73" t="s">
        <v>1406</v>
      </c>
      <c r="G201" s="79">
        <v>45610</v>
      </c>
      <c r="H201" s="80" t="s">
        <v>1236</v>
      </c>
      <c r="I201" s="70" t="s">
        <v>1153</v>
      </c>
      <c r="J201" s="82"/>
      <c r="K201" s="70"/>
      <c r="L201" s="82"/>
    </row>
    <row r="202" spans="1:12" s="1" customFormat="1" ht="20.100000000000001" customHeight="1">
      <c r="A202" s="70" t="s">
        <v>736</v>
      </c>
      <c r="B202" s="70" t="s">
        <v>751</v>
      </c>
      <c r="C202" s="83" t="s">
        <v>1371</v>
      </c>
      <c r="D202" s="71" t="s">
        <v>1434</v>
      </c>
      <c r="E202" s="72" t="s">
        <v>1174</v>
      </c>
      <c r="F202" s="73" t="s">
        <v>1375</v>
      </c>
      <c r="G202" s="79">
        <v>45611</v>
      </c>
      <c r="H202" s="80" t="s">
        <v>1167</v>
      </c>
      <c r="I202" s="76" t="s">
        <v>1153</v>
      </c>
      <c r="J202" s="73"/>
      <c r="K202" s="70"/>
      <c r="L202" s="73"/>
    </row>
    <row r="203" spans="1:12" s="1" customFormat="1" ht="20.100000000000001" customHeight="1">
      <c r="A203" s="70" t="s">
        <v>736</v>
      </c>
      <c r="B203" s="70" t="s">
        <v>751</v>
      </c>
      <c r="C203" s="83" t="s">
        <v>1371</v>
      </c>
      <c r="D203" s="71" t="s">
        <v>1434</v>
      </c>
      <c r="E203" s="72" t="s">
        <v>1174</v>
      </c>
      <c r="F203" s="73" t="s">
        <v>1375</v>
      </c>
      <c r="G203" s="79">
        <v>45610</v>
      </c>
      <c r="H203" s="80" t="s">
        <v>1236</v>
      </c>
      <c r="I203" s="70" t="s">
        <v>1153</v>
      </c>
      <c r="J203" s="73"/>
      <c r="K203" s="70"/>
      <c r="L203" s="73"/>
    </row>
    <row r="204" spans="1:12" s="1" customFormat="1" ht="20.100000000000001" customHeight="1">
      <c r="A204" s="70" t="s">
        <v>736</v>
      </c>
      <c r="B204" s="70" t="s">
        <v>752</v>
      </c>
      <c r="C204" s="83" t="s">
        <v>691</v>
      </c>
      <c r="D204" s="71" t="s">
        <v>1434</v>
      </c>
      <c r="E204" s="72" t="s">
        <v>1215</v>
      </c>
      <c r="F204" s="73" t="s">
        <v>1375</v>
      </c>
      <c r="G204" s="79">
        <v>45618</v>
      </c>
      <c r="H204" s="80" t="s">
        <v>1227</v>
      </c>
      <c r="I204" s="70" t="s">
        <v>1153</v>
      </c>
      <c r="J204" s="73"/>
      <c r="K204" s="70"/>
      <c r="L204" s="73"/>
    </row>
    <row r="205" spans="1:12" s="1" customFormat="1" ht="20.100000000000001" customHeight="1">
      <c r="A205" s="70" t="s">
        <v>736</v>
      </c>
      <c r="B205" s="70" t="s">
        <v>752</v>
      </c>
      <c r="C205" s="83" t="s">
        <v>1371</v>
      </c>
      <c r="D205" s="71" t="s">
        <v>1435</v>
      </c>
      <c r="E205" s="72" t="s">
        <v>1215</v>
      </c>
      <c r="F205" s="73" t="s">
        <v>1375</v>
      </c>
      <c r="G205" s="79">
        <v>45610</v>
      </c>
      <c r="H205" s="80" t="s">
        <v>524</v>
      </c>
      <c r="I205" s="70" t="s">
        <v>1153</v>
      </c>
      <c r="J205" s="73"/>
      <c r="K205" s="70"/>
      <c r="L205" s="73"/>
    </row>
    <row r="206" spans="1:12" s="1" customFormat="1" ht="20.100000000000001" customHeight="1">
      <c r="A206" s="70" t="s">
        <v>736</v>
      </c>
      <c r="B206" s="70" t="s">
        <v>753</v>
      </c>
      <c r="C206" s="83" t="s">
        <v>1371</v>
      </c>
      <c r="D206" s="85" t="s">
        <v>1371</v>
      </c>
      <c r="E206" s="72" t="s">
        <v>1174</v>
      </c>
      <c r="F206" s="73" t="s">
        <v>1378</v>
      </c>
      <c r="G206" s="79">
        <v>45611</v>
      </c>
      <c r="H206" s="80" t="s">
        <v>1167</v>
      </c>
      <c r="I206" s="76" t="s">
        <v>1153</v>
      </c>
      <c r="J206" s="73"/>
      <c r="K206" s="70"/>
      <c r="L206" s="73"/>
    </row>
    <row r="207" spans="1:12" s="1" customFormat="1" ht="20.100000000000001" customHeight="1">
      <c r="A207" s="70" t="s">
        <v>736</v>
      </c>
      <c r="B207" s="70" t="s">
        <v>753</v>
      </c>
      <c r="C207" s="83" t="s">
        <v>1371</v>
      </c>
      <c r="D207" s="85" t="s">
        <v>1371</v>
      </c>
      <c r="E207" s="72" t="s">
        <v>1174</v>
      </c>
      <c r="F207" s="73" t="s">
        <v>1378</v>
      </c>
      <c r="G207" s="79">
        <v>45610</v>
      </c>
      <c r="H207" s="80" t="s">
        <v>1236</v>
      </c>
      <c r="I207" s="70" t="s">
        <v>1153</v>
      </c>
      <c r="J207" s="73"/>
      <c r="K207" s="70"/>
      <c r="L207" s="73"/>
    </row>
    <row r="208" spans="1:12" s="1" customFormat="1" ht="20.100000000000001" customHeight="1">
      <c r="A208" s="70" t="s">
        <v>736</v>
      </c>
      <c r="B208" s="70" t="s">
        <v>754</v>
      </c>
      <c r="C208" s="83" t="s">
        <v>1353</v>
      </c>
      <c r="D208" s="85" t="s">
        <v>1409</v>
      </c>
      <c r="E208" s="72" t="s">
        <v>1174</v>
      </c>
      <c r="F208" s="73" t="s">
        <v>1335</v>
      </c>
      <c r="G208" s="79">
        <v>45611</v>
      </c>
      <c r="H208" s="80" t="s">
        <v>501</v>
      </c>
      <c r="I208" s="76" t="s">
        <v>1153</v>
      </c>
      <c r="J208" s="73"/>
      <c r="K208" s="70"/>
      <c r="L208" s="73"/>
    </row>
    <row r="209" spans="1:12" s="1" customFormat="1" ht="20.100000000000001" customHeight="1">
      <c r="A209" s="70" t="s">
        <v>736</v>
      </c>
      <c r="B209" s="70" t="s">
        <v>754</v>
      </c>
      <c r="C209" s="83" t="s">
        <v>1353</v>
      </c>
      <c r="D209" s="85" t="s">
        <v>1409</v>
      </c>
      <c r="E209" s="72" t="s">
        <v>1174</v>
      </c>
      <c r="F209" s="73" t="s">
        <v>1335</v>
      </c>
      <c r="G209" s="79">
        <v>45610</v>
      </c>
      <c r="H209" s="80" t="s">
        <v>1236</v>
      </c>
      <c r="I209" s="70" t="s">
        <v>1153</v>
      </c>
      <c r="J209" s="73"/>
      <c r="K209" s="70"/>
      <c r="L209" s="73"/>
    </row>
    <row r="210" spans="1:12" s="1" customFormat="1" ht="20.100000000000001" customHeight="1">
      <c r="A210" s="70" t="s">
        <v>736</v>
      </c>
      <c r="B210" s="70" t="s">
        <v>755</v>
      </c>
      <c r="C210" s="83" t="s">
        <v>1353</v>
      </c>
      <c r="D210" s="85" t="s">
        <v>1353</v>
      </c>
      <c r="E210" s="72" t="s">
        <v>1174</v>
      </c>
      <c r="F210" s="73" t="s">
        <v>1356</v>
      </c>
      <c r="G210" s="79">
        <v>45611</v>
      </c>
      <c r="H210" s="80" t="s">
        <v>1167</v>
      </c>
      <c r="I210" s="76" t="s">
        <v>1153</v>
      </c>
      <c r="J210" s="82"/>
      <c r="K210" s="70"/>
      <c r="L210" s="82"/>
    </row>
    <row r="211" spans="1:12" s="1" customFormat="1" ht="20.100000000000001" customHeight="1">
      <c r="A211" s="70" t="s">
        <v>736</v>
      </c>
      <c r="B211" s="70" t="s">
        <v>755</v>
      </c>
      <c r="C211" s="83" t="s">
        <v>1353</v>
      </c>
      <c r="D211" s="85" t="s">
        <v>1353</v>
      </c>
      <c r="E211" s="72" t="s">
        <v>1174</v>
      </c>
      <c r="F211" s="73" t="s">
        <v>1356</v>
      </c>
      <c r="G211" s="79">
        <v>45610</v>
      </c>
      <c r="H211" s="80" t="s">
        <v>1236</v>
      </c>
      <c r="I211" s="70" t="s">
        <v>1153</v>
      </c>
      <c r="J211" s="82"/>
      <c r="K211" s="70"/>
      <c r="L211" s="82"/>
    </row>
    <row r="212" spans="1:12" s="1" customFormat="1" ht="20.100000000000001" customHeight="1">
      <c r="A212" s="70" t="s">
        <v>736</v>
      </c>
      <c r="B212" s="70" t="s">
        <v>756</v>
      </c>
      <c r="C212" s="83" t="s">
        <v>1353</v>
      </c>
      <c r="D212" s="85" t="s">
        <v>1353</v>
      </c>
      <c r="E212" s="72" t="s">
        <v>1215</v>
      </c>
      <c r="F212" s="73" t="s">
        <v>1436</v>
      </c>
      <c r="G212" s="79">
        <v>45618</v>
      </c>
      <c r="H212" s="80" t="s">
        <v>1227</v>
      </c>
      <c r="I212" s="70" t="s">
        <v>1153</v>
      </c>
      <c r="J212" s="82"/>
      <c r="K212" s="70"/>
      <c r="L212" s="82"/>
    </row>
    <row r="213" spans="1:12" s="1" customFormat="1" ht="20.100000000000001" customHeight="1">
      <c r="A213" s="70" t="s">
        <v>736</v>
      </c>
      <c r="B213" s="70" t="s">
        <v>756</v>
      </c>
      <c r="C213" s="83" t="s">
        <v>1353</v>
      </c>
      <c r="D213" s="71" t="s">
        <v>1435</v>
      </c>
      <c r="E213" s="72" t="s">
        <v>1215</v>
      </c>
      <c r="F213" s="73" t="s">
        <v>1436</v>
      </c>
      <c r="G213" s="79">
        <v>45610</v>
      </c>
      <c r="H213" s="80" t="s">
        <v>1234</v>
      </c>
      <c r="I213" s="70" t="s">
        <v>1153</v>
      </c>
      <c r="J213" s="82"/>
      <c r="K213" s="70"/>
      <c r="L213" s="82"/>
    </row>
    <row r="214" spans="1:12" s="1" customFormat="1" ht="20.100000000000001" customHeight="1">
      <c r="A214" s="70" t="s">
        <v>736</v>
      </c>
      <c r="B214" s="70" t="s">
        <v>757</v>
      </c>
      <c r="C214" s="83" t="s">
        <v>1353</v>
      </c>
      <c r="D214" s="85" t="s">
        <v>1353</v>
      </c>
      <c r="E214" s="81" t="s">
        <v>1154</v>
      </c>
      <c r="F214" s="73" t="s">
        <v>1437</v>
      </c>
      <c r="G214" s="79">
        <v>45611</v>
      </c>
      <c r="H214" s="80" t="s">
        <v>1167</v>
      </c>
      <c r="I214" s="76" t="s">
        <v>1153</v>
      </c>
      <c r="J214" s="73"/>
      <c r="K214" s="70"/>
      <c r="L214" s="73"/>
    </row>
    <row r="215" spans="1:12" s="1" customFormat="1" ht="20.100000000000001" customHeight="1">
      <c r="A215" s="70" t="s">
        <v>736</v>
      </c>
      <c r="B215" s="70" t="s">
        <v>757</v>
      </c>
      <c r="C215" s="83" t="s">
        <v>1353</v>
      </c>
      <c r="D215" s="85" t="s">
        <v>1353</v>
      </c>
      <c r="E215" s="81" t="s">
        <v>1154</v>
      </c>
      <c r="F215" s="73" t="s">
        <v>758</v>
      </c>
      <c r="G215" s="79">
        <v>45610</v>
      </c>
      <c r="H215" s="80" t="s">
        <v>1236</v>
      </c>
      <c r="I215" s="70" t="s">
        <v>1153</v>
      </c>
      <c r="J215" s="73"/>
      <c r="K215" s="70"/>
      <c r="L215" s="73"/>
    </row>
    <row r="216" spans="1:12" s="1" customFormat="1" ht="20.100000000000001" customHeight="1">
      <c r="A216" s="70" t="s">
        <v>736</v>
      </c>
      <c r="B216" s="70" t="s">
        <v>759</v>
      </c>
      <c r="C216" s="83" t="s">
        <v>1353</v>
      </c>
      <c r="D216" s="85" t="s">
        <v>1438</v>
      </c>
      <c r="E216" s="72" t="s">
        <v>1174</v>
      </c>
      <c r="F216" s="73" t="s">
        <v>1439</v>
      </c>
      <c r="G216" s="79">
        <v>45611</v>
      </c>
      <c r="H216" s="80" t="s">
        <v>1167</v>
      </c>
      <c r="I216" s="76" t="s">
        <v>1153</v>
      </c>
      <c r="J216" s="82"/>
      <c r="K216" s="70"/>
      <c r="L216" s="82"/>
    </row>
    <row r="217" spans="1:12" s="1" customFormat="1" ht="20.100000000000001" customHeight="1">
      <c r="A217" s="70" t="s">
        <v>736</v>
      </c>
      <c r="B217" s="70" t="s">
        <v>759</v>
      </c>
      <c r="C217" s="83" t="s">
        <v>1353</v>
      </c>
      <c r="D217" s="85" t="s">
        <v>1438</v>
      </c>
      <c r="E217" s="72" t="s">
        <v>1139</v>
      </c>
      <c r="F217" s="73" t="s">
        <v>1389</v>
      </c>
      <c r="G217" s="79">
        <v>45610</v>
      </c>
      <c r="H217" s="80" t="s">
        <v>1236</v>
      </c>
      <c r="I217" s="70" t="s">
        <v>1153</v>
      </c>
      <c r="J217" s="82"/>
      <c r="K217" s="70"/>
      <c r="L217" s="82"/>
    </row>
    <row r="218" spans="1:12" s="1" customFormat="1" ht="20.100000000000001" customHeight="1">
      <c r="A218" s="70" t="s">
        <v>736</v>
      </c>
      <c r="B218" s="70" t="s">
        <v>760</v>
      </c>
      <c r="C218" s="83" t="s">
        <v>1353</v>
      </c>
      <c r="D218" s="85" t="s">
        <v>1438</v>
      </c>
      <c r="E218" s="81" t="s">
        <v>1154</v>
      </c>
      <c r="F218" s="73" t="s">
        <v>1440</v>
      </c>
      <c r="G218" s="79">
        <v>45611</v>
      </c>
      <c r="H218" s="80" t="s">
        <v>1167</v>
      </c>
      <c r="I218" s="76" t="s">
        <v>1153</v>
      </c>
      <c r="J218" s="73"/>
      <c r="K218" s="70"/>
      <c r="L218" s="73"/>
    </row>
    <row r="219" spans="1:12" s="1" customFormat="1" ht="20.100000000000001" customHeight="1">
      <c r="A219" s="70" t="s">
        <v>736</v>
      </c>
      <c r="B219" s="70" t="s">
        <v>760</v>
      </c>
      <c r="C219" s="83" t="s">
        <v>1353</v>
      </c>
      <c r="D219" s="85" t="s">
        <v>1438</v>
      </c>
      <c r="E219" s="81" t="s">
        <v>1154</v>
      </c>
      <c r="F219" s="73" t="s">
        <v>761</v>
      </c>
      <c r="G219" s="79">
        <v>45610</v>
      </c>
      <c r="H219" s="80" t="s">
        <v>1236</v>
      </c>
      <c r="I219" s="70" t="s">
        <v>1153</v>
      </c>
      <c r="J219" s="73"/>
      <c r="K219" s="70"/>
      <c r="L219" s="73"/>
    </row>
    <row r="220" spans="1:12" s="1" customFormat="1" ht="20.100000000000001" customHeight="1">
      <c r="A220" s="70" t="s">
        <v>736</v>
      </c>
      <c r="B220" s="70" t="s">
        <v>762</v>
      </c>
      <c r="C220" s="83" t="s">
        <v>1353</v>
      </c>
      <c r="D220" s="85" t="s">
        <v>1416</v>
      </c>
      <c r="E220" s="72" t="s">
        <v>1174</v>
      </c>
      <c r="F220" s="73" t="s">
        <v>1393</v>
      </c>
      <c r="G220" s="79">
        <v>45611</v>
      </c>
      <c r="H220" s="80" t="s">
        <v>1167</v>
      </c>
      <c r="I220" s="70" t="s">
        <v>1153</v>
      </c>
      <c r="J220" s="73" t="s">
        <v>1441</v>
      </c>
      <c r="K220" s="70"/>
      <c r="L220" s="73"/>
    </row>
    <row r="221" spans="1:12" s="1" customFormat="1" ht="20.100000000000001" customHeight="1">
      <c r="A221" s="70" t="s">
        <v>736</v>
      </c>
      <c r="B221" s="70" t="s">
        <v>762</v>
      </c>
      <c r="C221" s="83" t="s">
        <v>1353</v>
      </c>
      <c r="D221" s="85" t="s">
        <v>1416</v>
      </c>
      <c r="E221" s="72" t="s">
        <v>1174</v>
      </c>
      <c r="F221" s="73" t="s">
        <v>710</v>
      </c>
      <c r="G221" s="79">
        <v>45610</v>
      </c>
      <c r="H221" s="80" t="s">
        <v>1236</v>
      </c>
      <c r="I221" s="70" t="s">
        <v>1153</v>
      </c>
      <c r="J221" s="73"/>
      <c r="K221" s="70"/>
      <c r="L221" s="73"/>
    </row>
    <row r="222" spans="1:12" s="1" customFormat="1" ht="20.100000000000001" customHeight="1">
      <c r="A222" s="70" t="s">
        <v>736</v>
      </c>
      <c r="B222" s="70" t="s">
        <v>1442</v>
      </c>
      <c r="C222" s="83" t="s">
        <v>1349</v>
      </c>
      <c r="D222" s="71" t="s">
        <v>668</v>
      </c>
      <c r="E222" s="81" t="s">
        <v>1154</v>
      </c>
      <c r="F222" s="73" t="s">
        <v>669</v>
      </c>
      <c r="G222" s="79">
        <v>45611</v>
      </c>
      <c r="H222" s="80" t="s">
        <v>1167</v>
      </c>
      <c r="I222" s="76" t="s">
        <v>1153</v>
      </c>
      <c r="J222" s="82"/>
      <c r="K222" s="70"/>
      <c r="L222" s="82"/>
    </row>
    <row r="223" spans="1:12" s="1" customFormat="1" ht="20.100000000000001" customHeight="1">
      <c r="A223" s="70" t="s">
        <v>736</v>
      </c>
      <c r="B223" s="70" t="s">
        <v>763</v>
      </c>
      <c r="C223" s="83" t="s">
        <v>1349</v>
      </c>
      <c r="D223" s="71" t="s">
        <v>1360</v>
      </c>
      <c r="E223" s="72" t="s">
        <v>1174</v>
      </c>
      <c r="F223" s="73" t="s">
        <v>1443</v>
      </c>
      <c r="G223" s="79">
        <v>45611</v>
      </c>
      <c r="H223" s="80" t="s">
        <v>1167</v>
      </c>
      <c r="I223" s="76" t="s">
        <v>1153</v>
      </c>
      <c r="J223" s="73"/>
      <c r="K223" s="70"/>
      <c r="L223" s="73"/>
    </row>
    <row r="224" spans="1:12" s="1" customFormat="1" ht="20.100000000000001" customHeight="1">
      <c r="A224" s="70" t="s">
        <v>736</v>
      </c>
      <c r="B224" s="70" t="s">
        <v>764</v>
      </c>
      <c r="C224" s="83" t="s">
        <v>1349</v>
      </c>
      <c r="D224" s="71" t="s">
        <v>1362</v>
      </c>
      <c r="E224" s="72" t="s">
        <v>1174</v>
      </c>
      <c r="F224" s="73" t="s">
        <v>1363</v>
      </c>
      <c r="G224" s="79">
        <v>45611</v>
      </c>
      <c r="H224" s="80" t="s">
        <v>1167</v>
      </c>
      <c r="I224" s="76" t="s">
        <v>1153</v>
      </c>
      <c r="J224" s="82"/>
      <c r="K224" s="70"/>
      <c r="L224" s="82"/>
    </row>
    <row r="225" spans="1:12" s="1" customFormat="1" ht="20.100000000000001" customHeight="1">
      <c r="A225" s="70" t="s">
        <v>736</v>
      </c>
      <c r="B225" s="70" t="s">
        <v>765</v>
      </c>
      <c r="C225" s="83" t="s">
        <v>667</v>
      </c>
      <c r="D225" s="71" t="s">
        <v>1401</v>
      </c>
      <c r="E225" s="72" t="s">
        <v>1174</v>
      </c>
      <c r="F225" s="73" t="s">
        <v>1424</v>
      </c>
      <c r="G225" s="79">
        <v>45611</v>
      </c>
      <c r="H225" s="80" t="s">
        <v>1167</v>
      </c>
      <c r="I225" s="76" t="s">
        <v>1153</v>
      </c>
      <c r="J225" s="73"/>
      <c r="K225" s="70"/>
      <c r="L225" s="73"/>
    </row>
    <row r="226" spans="1:12" s="1" customFormat="1" ht="20.100000000000001" customHeight="1">
      <c r="A226" s="70" t="s">
        <v>736</v>
      </c>
      <c r="B226" s="70" t="s">
        <v>766</v>
      </c>
      <c r="C226" s="83" t="s">
        <v>1349</v>
      </c>
      <c r="D226" s="71" t="s">
        <v>1402</v>
      </c>
      <c r="E226" s="72" t="s">
        <v>1174</v>
      </c>
      <c r="F226" s="73" t="s">
        <v>1382</v>
      </c>
      <c r="G226" s="79">
        <v>45611</v>
      </c>
      <c r="H226" s="80" t="s">
        <v>1167</v>
      </c>
      <c r="I226" s="76" t="s">
        <v>1153</v>
      </c>
      <c r="J226" s="73"/>
      <c r="K226" s="70"/>
      <c r="L226" s="73"/>
    </row>
    <row r="227" spans="1:12" s="1" customFormat="1" ht="20.100000000000001" customHeight="1">
      <c r="A227" s="70" t="s">
        <v>736</v>
      </c>
      <c r="B227" s="70" t="s">
        <v>767</v>
      </c>
      <c r="C227" s="83" t="s">
        <v>1349</v>
      </c>
      <c r="D227" s="71" t="s">
        <v>1403</v>
      </c>
      <c r="E227" s="72" t="s">
        <v>1174</v>
      </c>
      <c r="F227" s="73" t="s">
        <v>1359</v>
      </c>
      <c r="G227" s="79">
        <v>45611</v>
      </c>
      <c r="H227" s="80" t="s">
        <v>1167</v>
      </c>
      <c r="I227" s="76" t="s">
        <v>1153</v>
      </c>
      <c r="J227" s="73"/>
      <c r="K227" s="70"/>
      <c r="L227" s="73"/>
    </row>
    <row r="228" spans="1:12" s="1" customFormat="1" ht="20.100000000000001" customHeight="1">
      <c r="A228" s="70" t="s">
        <v>736</v>
      </c>
      <c r="B228" s="70" t="s">
        <v>768</v>
      </c>
      <c r="C228" s="83" t="s">
        <v>1349</v>
      </c>
      <c r="D228" s="71" t="s">
        <v>1403</v>
      </c>
      <c r="E228" s="81" t="s">
        <v>1154</v>
      </c>
      <c r="F228" s="73" t="s">
        <v>677</v>
      </c>
      <c r="G228" s="79">
        <v>45611</v>
      </c>
      <c r="H228" s="80" t="s">
        <v>1167</v>
      </c>
      <c r="I228" s="70" t="s">
        <v>1153</v>
      </c>
      <c r="J228" s="73" t="s">
        <v>1444</v>
      </c>
      <c r="K228" s="70"/>
      <c r="L228" s="73"/>
    </row>
    <row r="229" spans="1:12" s="1" customFormat="1" ht="20.100000000000001" customHeight="1">
      <c r="A229" s="70" t="s">
        <v>736</v>
      </c>
      <c r="B229" s="70" t="s">
        <v>769</v>
      </c>
      <c r="C229" s="83" t="s">
        <v>1353</v>
      </c>
      <c r="D229" s="85" t="s">
        <v>1409</v>
      </c>
      <c r="E229" s="72" t="s">
        <v>1174</v>
      </c>
      <c r="F229" s="73" t="s">
        <v>1335</v>
      </c>
      <c r="G229" s="79">
        <v>45611</v>
      </c>
      <c r="H229" s="80" t="s">
        <v>1167</v>
      </c>
      <c r="I229" s="76" t="s">
        <v>1153</v>
      </c>
      <c r="J229" s="73"/>
      <c r="K229" s="70"/>
      <c r="L229" s="73"/>
    </row>
    <row r="230" spans="1:12" s="1" customFormat="1" ht="20.100000000000001" customHeight="1">
      <c r="A230" s="70" t="s">
        <v>736</v>
      </c>
      <c r="B230" s="70" t="s">
        <v>770</v>
      </c>
      <c r="C230" s="83" t="s">
        <v>1353</v>
      </c>
      <c r="D230" s="85" t="s">
        <v>1380</v>
      </c>
      <c r="E230" s="72" t="s">
        <v>1174</v>
      </c>
      <c r="F230" s="73" t="s">
        <v>1356</v>
      </c>
      <c r="G230" s="79">
        <v>45624</v>
      </c>
      <c r="H230" s="80" t="s">
        <v>1179</v>
      </c>
      <c r="I230" s="70" t="s">
        <v>1153</v>
      </c>
      <c r="J230" s="82"/>
      <c r="K230" s="70"/>
      <c r="L230" s="82"/>
    </row>
    <row r="231" spans="1:12" s="1" customFormat="1" ht="20.100000000000001" customHeight="1">
      <c r="A231" s="70" t="s">
        <v>736</v>
      </c>
      <c r="B231" s="70" t="s">
        <v>771</v>
      </c>
      <c r="C231" s="83" t="s">
        <v>1353</v>
      </c>
      <c r="D231" s="85" t="s">
        <v>1380</v>
      </c>
      <c r="E231" s="81" t="s">
        <v>1154</v>
      </c>
      <c r="F231" s="73" t="s">
        <v>772</v>
      </c>
      <c r="G231" s="79">
        <v>45624</v>
      </c>
      <c r="H231" s="80" t="s">
        <v>1179</v>
      </c>
      <c r="I231" s="70" t="s">
        <v>1153</v>
      </c>
      <c r="J231" s="73"/>
      <c r="K231" s="70"/>
      <c r="L231" s="73"/>
    </row>
    <row r="232" spans="1:12" s="1" customFormat="1" ht="20.100000000000001" customHeight="1">
      <c r="A232" s="70" t="s">
        <v>736</v>
      </c>
      <c r="B232" s="70" t="s">
        <v>773</v>
      </c>
      <c r="C232" s="83" t="s">
        <v>1353</v>
      </c>
      <c r="D232" s="85" t="s">
        <v>1388</v>
      </c>
      <c r="E232" s="72" t="s">
        <v>1174</v>
      </c>
      <c r="F232" s="73" t="s">
        <v>1389</v>
      </c>
      <c r="G232" s="79">
        <v>45624</v>
      </c>
      <c r="H232" s="80" t="s">
        <v>1179</v>
      </c>
      <c r="I232" s="70" t="s">
        <v>1153</v>
      </c>
      <c r="J232" s="82"/>
      <c r="K232" s="70"/>
      <c r="L232" s="82"/>
    </row>
    <row r="233" spans="1:12" s="1" customFormat="1" ht="20.100000000000001" customHeight="1">
      <c r="A233" s="70" t="s">
        <v>736</v>
      </c>
      <c r="B233" s="70" t="s">
        <v>774</v>
      </c>
      <c r="C233" s="83" t="s">
        <v>1353</v>
      </c>
      <c r="D233" s="85" t="s">
        <v>1388</v>
      </c>
      <c r="E233" s="81" t="s">
        <v>1154</v>
      </c>
      <c r="F233" s="73" t="s">
        <v>772</v>
      </c>
      <c r="G233" s="79">
        <v>45624</v>
      </c>
      <c r="H233" s="80" t="s">
        <v>1179</v>
      </c>
      <c r="I233" s="70" t="s">
        <v>1153</v>
      </c>
      <c r="J233" s="73"/>
      <c r="K233" s="70"/>
      <c r="L233" s="73"/>
    </row>
    <row r="234" spans="1:12" s="1" customFormat="1" ht="20.100000000000001" customHeight="1">
      <c r="A234" s="70" t="s">
        <v>736</v>
      </c>
      <c r="B234" s="70" t="s">
        <v>775</v>
      </c>
      <c r="C234" s="83" t="s">
        <v>1364</v>
      </c>
      <c r="D234" s="71" t="s">
        <v>1445</v>
      </c>
      <c r="E234" s="72" t="s">
        <v>1174</v>
      </c>
      <c r="F234" s="73" t="s">
        <v>1335</v>
      </c>
      <c r="G234" s="79">
        <v>45610</v>
      </c>
      <c r="H234" s="80" t="s">
        <v>1236</v>
      </c>
      <c r="I234" s="76" t="s">
        <v>1153</v>
      </c>
      <c r="J234" s="73"/>
      <c r="K234" s="70"/>
      <c r="L234" s="73"/>
    </row>
    <row r="235" spans="1:12" s="1" customFormat="1" ht="20.100000000000001" customHeight="1">
      <c r="A235" s="70" t="s">
        <v>736</v>
      </c>
      <c r="B235" s="70" t="s">
        <v>776</v>
      </c>
      <c r="C235" s="83" t="s">
        <v>683</v>
      </c>
      <c r="D235" s="71" t="s">
        <v>1446</v>
      </c>
      <c r="E235" s="72" t="s">
        <v>1174</v>
      </c>
      <c r="F235" s="73" t="s">
        <v>1432</v>
      </c>
      <c r="G235" s="79">
        <v>45610</v>
      </c>
      <c r="H235" s="80" t="s">
        <v>1236</v>
      </c>
      <c r="I235" s="70" t="s">
        <v>1153</v>
      </c>
      <c r="J235" s="82"/>
      <c r="K235" s="70"/>
      <c r="L235" s="82"/>
    </row>
    <row r="236" spans="1:12" s="1" customFormat="1" ht="20.100000000000001" customHeight="1">
      <c r="A236" s="70" t="s">
        <v>736</v>
      </c>
      <c r="B236" s="70" t="s">
        <v>777</v>
      </c>
      <c r="C236" s="83" t="s">
        <v>1364</v>
      </c>
      <c r="D236" s="71" t="s">
        <v>1446</v>
      </c>
      <c r="E236" s="72" t="s">
        <v>1174</v>
      </c>
      <c r="F236" s="73" t="s">
        <v>1367</v>
      </c>
      <c r="G236" s="79">
        <v>45610</v>
      </c>
      <c r="H236" s="80" t="s">
        <v>1236</v>
      </c>
      <c r="I236" s="70" t="s">
        <v>38</v>
      </c>
      <c r="J236" s="82"/>
      <c r="K236" s="70"/>
      <c r="L236" s="82"/>
    </row>
    <row r="237" spans="1:12" s="1" customFormat="1" ht="20.100000000000001" customHeight="1">
      <c r="A237" s="70" t="s">
        <v>736</v>
      </c>
      <c r="B237" s="70" t="s">
        <v>778</v>
      </c>
      <c r="C237" s="83" t="s">
        <v>1364</v>
      </c>
      <c r="D237" s="71" t="s">
        <v>1447</v>
      </c>
      <c r="E237" s="72" t="s">
        <v>1174</v>
      </c>
      <c r="F237" s="73" t="s">
        <v>1368</v>
      </c>
      <c r="G237" s="79">
        <v>45610</v>
      </c>
      <c r="H237" s="80" t="s">
        <v>1236</v>
      </c>
      <c r="I237" s="70" t="s">
        <v>1153</v>
      </c>
      <c r="J237" s="73"/>
      <c r="K237" s="70"/>
      <c r="L237" s="73"/>
    </row>
    <row r="238" spans="1:12" s="1" customFormat="1" ht="20.100000000000001" customHeight="1">
      <c r="A238" s="70" t="s">
        <v>736</v>
      </c>
      <c r="B238" s="70" t="s">
        <v>779</v>
      </c>
      <c r="C238" s="83" t="s">
        <v>1364</v>
      </c>
      <c r="D238" s="71" t="s">
        <v>1448</v>
      </c>
      <c r="E238" s="72" t="s">
        <v>1174</v>
      </c>
      <c r="F238" s="73" t="s">
        <v>1449</v>
      </c>
      <c r="G238" s="79">
        <v>45610</v>
      </c>
      <c r="H238" s="80" t="s">
        <v>1236</v>
      </c>
      <c r="I238" s="70" t="s">
        <v>1153</v>
      </c>
      <c r="J238" s="73"/>
      <c r="K238" s="70"/>
      <c r="L238" s="73"/>
    </row>
    <row r="239" spans="1:12" s="1" customFormat="1" ht="20.100000000000001" customHeight="1">
      <c r="A239" s="70" t="s">
        <v>1450</v>
      </c>
      <c r="B239" s="70" t="s">
        <v>1451</v>
      </c>
      <c r="C239" s="72" t="s">
        <v>1452</v>
      </c>
      <c r="D239" s="71" t="s">
        <v>1453</v>
      </c>
      <c r="E239" s="72" t="s">
        <v>1174</v>
      </c>
      <c r="F239" s="73" t="s">
        <v>1454</v>
      </c>
      <c r="G239" s="79">
        <v>45610</v>
      </c>
      <c r="H239" s="80" t="s">
        <v>1167</v>
      </c>
      <c r="I239" s="76" t="s">
        <v>1153</v>
      </c>
      <c r="J239" s="73"/>
      <c r="K239" s="70"/>
      <c r="L239" s="73"/>
    </row>
    <row r="240" spans="1:12" s="1" customFormat="1" ht="18.75" customHeight="1">
      <c r="A240" s="86" t="s">
        <v>1455</v>
      </c>
      <c r="B240" s="86"/>
      <c r="C240" s="86"/>
      <c r="D240" s="87">
        <f>COUNTA(D1:D239)</f>
        <v>238</v>
      </c>
      <c r="E240" s="87"/>
      <c r="F240" s="87"/>
      <c r="G240" s="87">
        <f t="shared" ref="G240:L240" si="0">COUNTA(G1:G239)</f>
        <v>238</v>
      </c>
      <c r="H240" s="88">
        <f t="shared" si="0"/>
        <v>238</v>
      </c>
      <c r="I240" s="87">
        <f t="shared" si="0"/>
        <v>238</v>
      </c>
      <c r="J240" s="87">
        <f t="shared" si="0"/>
        <v>20</v>
      </c>
      <c r="K240" s="87">
        <f t="shared" si="0"/>
        <v>1</v>
      </c>
      <c r="L240" s="87">
        <f t="shared" si="0"/>
        <v>1</v>
      </c>
    </row>
  </sheetData>
  <autoFilter ref="A2:L240">
    <sortState ref="A3:L240">
      <sortCondition ref="A3:A240"/>
      <sortCondition ref="B3:B240"/>
    </sortState>
  </autoFilter>
  <mergeCells count="1">
    <mergeCell ref="A1:D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243"/>
  <sheetViews>
    <sheetView topLeftCell="A176" zoomScale="85" zoomScaleNormal="85" workbookViewId="0">
      <selection activeCell="F219" sqref="F219"/>
    </sheetView>
  </sheetViews>
  <sheetFormatPr defaultColWidth="12.625" defaultRowHeight="15" customHeight="1"/>
  <cols>
    <col min="1" max="1" width="7.5" style="92" customWidth="1"/>
    <col min="2" max="2" width="12" style="92" customWidth="1"/>
    <col min="3" max="3" width="12.625" style="92" customWidth="1"/>
    <col min="4" max="4" width="15" style="92" customWidth="1"/>
    <col min="5" max="5" width="13.875" style="92" customWidth="1"/>
    <col min="6" max="6" width="86.875" style="92" bestFit="1" customWidth="1"/>
    <col min="7" max="7" width="12.5" style="92" customWidth="1"/>
    <col min="8" max="9" width="10.375" style="92" customWidth="1"/>
    <col min="10" max="10" width="48.125" style="92" bestFit="1" customWidth="1"/>
    <col min="11" max="11" width="37.5" style="92" customWidth="1"/>
    <col min="12" max="16384" width="12.625" style="92"/>
  </cols>
  <sheetData>
    <row r="1" spans="1:11" s="89" customFormat="1" ht="51" customHeight="1">
      <c r="A1" s="127" t="s">
        <v>780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1" ht="48.75" customHeight="1">
      <c r="A2" s="90" t="s">
        <v>781</v>
      </c>
      <c r="B2" s="90" t="s">
        <v>782</v>
      </c>
      <c r="C2" s="91" t="s">
        <v>783</v>
      </c>
      <c r="D2" s="90" t="s">
        <v>784</v>
      </c>
      <c r="E2" s="90" t="s">
        <v>785</v>
      </c>
      <c r="F2" s="90" t="s">
        <v>786</v>
      </c>
      <c r="G2" s="90" t="s">
        <v>787</v>
      </c>
      <c r="H2" s="90" t="s">
        <v>788</v>
      </c>
      <c r="I2" s="90" t="s">
        <v>789</v>
      </c>
      <c r="J2" s="90" t="s">
        <v>790</v>
      </c>
      <c r="K2" s="90" t="s">
        <v>791</v>
      </c>
    </row>
    <row r="3" spans="1:11" ht="33.75" customHeight="1">
      <c r="A3" s="93">
        <v>1</v>
      </c>
      <c r="B3" s="94" t="s">
        <v>792</v>
      </c>
      <c r="C3" s="94" t="s">
        <v>793</v>
      </c>
      <c r="D3" s="95" t="s">
        <v>794</v>
      </c>
      <c r="E3" s="96" t="s">
        <v>795</v>
      </c>
      <c r="F3" s="95" t="s">
        <v>796</v>
      </c>
      <c r="G3" s="94" t="s">
        <v>792</v>
      </c>
      <c r="H3" s="93" t="s">
        <v>797</v>
      </c>
      <c r="I3" s="93">
        <v>0</v>
      </c>
      <c r="J3" s="95"/>
      <c r="K3" s="97"/>
    </row>
    <row r="4" spans="1:11" ht="33.75" customHeight="1">
      <c r="A4" s="93">
        <v>2</v>
      </c>
      <c r="B4" s="94" t="s">
        <v>798</v>
      </c>
      <c r="C4" s="94" t="s">
        <v>793</v>
      </c>
      <c r="D4" s="98" t="s">
        <v>799</v>
      </c>
      <c r="E4" s="96" t="s">
        <v>795</v>
      </c>
      <c r="F4" s="95" t="s">
        <v>800</v>
      </c>
      <c r="G4" s="96" t="s">
        <v>801</v>
      </c>
      <c r="H4" s="99" t="s">
        <v>802</v>
      </c>
      <c r="I4" s="93">
        <v>2</v>
      </c>
      <c r="J4" s="95"/>
      <c r="K4" s="97"/>
    </row>
    <row r="5" spans="1:11" ht="33.75" customHeight="1">
      <c r="A5" s="93">
        <v>3</v>
      </c>
      <c r="B5" s="94" t="s">
        <v>798</v>
      </c>
      <c r="C5" s="94" t="s">
        <v>793</v>
      </c>
      <c r="D5" s="98" t="s">
        <v>803</v>
      </c>
      <c r="E5" s="96" t="s">
        <v>795</v>
      </c>
      <c r="F5" s="95" t="s">
        <v>804</v>
      </c>
      <c r="G5" s="96" t="s">
        <v>805</v>
      </c>
      <c r="H5" s="93" t="s">
        <v>802</v>
      </c>
      <c r="I5" s="93">
        <v>0</v>
      </c>
      <c r="J5" s="95" t="s">
        <v>806</v>
      </c>
      <c r="K5" s="97"/>
    </row>
    <row r="6" spans="1:11" ht="33.75" customHeight="1">
      <c r="A6" s="93">
        <v>4</v>
      </c>
      <c r="B6" s="94" t="s">
        <v>798</v>
      </c>
      <c r="C6" s="94" t="s">
        <v>793</v>
      </c>
      <c r="D6" s="98" t="s">
        <v>807</v>
      </c>
      <c r="E6" s="96" t="s">
        <v>795</v>
      </c>
      <c r="F6" s="95" t="s">
        <v>808</v>
      </c>
      <c r="G6" s="96" t="s">
        <v>809</v>
      </c>
      <c r="H6" s="93" t="s">
        <v>810</v>
      </c>
      <c r="I6" s="93">
        <v>0</v>
      </c>
      <c r="J6" s="95"/>
      <c r="K6" s="97"/>
    </row>
    <row r="7" spans="1:11" ht="33.75" customHeight="1">
      <c r="A7" s="93">
        <v>5</v>
      </c>
      <c r="B7" s="94" t="s">
        <v>798</v>
      </c>
      <c r="C7" s="94" t="s">
        <v>793</v>
      </c>
      <c r="D7" s="98" t="s">
        <v>811</v>
      </c>
      <c r="E7" s="96" t="s">
        <v>812</v>
      </c>
      <c r="F7" s="95" t="s">
        <v>813</v>
      </c>
      <c r="G7" s="94" t="s">
        <v>814</v>
      </c>
      <c r="H7" s="93" t="s">
        <v>815</v>
      </c>
      <c r="I7" s="93">
        <v>0</v>
      </c>
      <c r="J7" s="95"/>
      <c r="K7" s="97"/>
    </row>
    <row r="8" spans="1:11" ht="33.75" customHeight="1">
      <c r="A8" s="93">
        <v>6</v>
      </c>
      <c r="B8" s="94" t="s">
        <v>798</v>
      </c>
      <c r="C8" s="94" t="s">
        <v>793</v>
      </c>
      <c r="D8" s="98" t="s">
        <v>816</v>
      </c>
      <c r="E8" s="96" t="s">
        <v>795</v>
      </c>
      <c r="F8" s="95" t="s">
        <v>817</v>
      </c>
      <c r="G8" s="96" t="s">
        <v>818</v>
      </c>
      <c r="H8" s="93" t="s">
        <v>797</v>
      </c>
      <c r="I8" s="93">
        <v>0</v>
      </c>
      <c r="J8" s="95"/>
      <c r="K8" s="97"/>
    </row>
    <row r="9" spans="1:11" ht="33.75" customHeight="1">
      <c r="A9" s="93">
        <v>7</v>
      </c>
      <c r="B9" s="94" t="s">
        <v>814</v>
      </c>
      <c r="C9" s="94" t="s">
        <v>819</v>
      </c>
      <c r="D9" s="98" t="s">
        <v>820</v>
      </c>
      <c r="E9" s="96" t="s">
        <v>795</v>
      </c>
      <c r="F9" s="95" t="s">
        <v>821</v>
      </c>
      <c r="G9" s="94" t="s">
        <v>814</v>
      </c>
      <c r="H9" s="93" t="s">
        <v>822</v>
      </c>
      <c r="I9" s="93">
        <v>0</v>
      </c>
      <c r="J9" s="95"/>
      <c r="K9" s="97"/>
    </row>
    <row r="10" spans="1:11" ht="33.75" customHeight="1">
      <c r="A10" s="93">
        <v>8</v>
      </c>
      <c r="B10" s="94" t="s">
        <v>814</v>
      </c>
      <c r="C10" s="94" t="s">
        <v>793</v>
      </c>
      <c r="D10" s="98" t="s">
        <v>823</v>
      </c>
      <c r="E10" s="96" t="s">
        <v>812</v>
      </c>
      <c r="F10" s="100" t="s">
        <v>824</v>
      </c>
      <c r="G10" s="94" t="s">
        <v>814</v>
      </c>
      <c r="H10" s="93" t="s">
        <v>802</v>
      </c>
      <c r="I10" s="93">
        <v>0</v>
      </c>
      <c r="J10" s="95"/>
      <c r="K10" s="97"/>
    </row>
    <row r="11" spans="1:11" s="106" customFormat="1" ht="33.75" customHeight="1">
      <c r="A11" s="93">
        <v>9</v>
      </c>
      <c r="B11" s="101" t="s">
        <v>814</v>
      </c>
      <c r="C11" s="101" t="s">
        <v>793</v>
      </c>
      <c r="D11" s="102" t="s">
        <v>820</v>
      </c>
      <c r="E11" s="103" t="s">
        <v>795</v>
      </c>
      <c r="F11" s="104" t="s">
        <v>825</v>
      </c>
      <c r="G11" s="103" t="s">
        <v>818</v>
      </c>
      <c r="H11" s="99" t="s">
        <v>822</v>
      </c>
      <c r="I11" s="99">
        <v>0</v>
      </c>
      <c r="J11" s="104" t="s">
        <v>826</v>
      </c>
      <c r="K11" s="105"/>
    </row>
    <row r="12" spans="1:11" ht="33.75" customHeight="1">
      <c r="A12" s="93">
        <v>10</v>
      </c>
      <c r="B12" s="94" t="s">
        <v>814</v>
      </c>
      <c r="C12" s="94" t="s">
        <v>793</v>
      </c>
      <c r="D12" s="98" t="s">
        <v>827</v>
      </c>
      <c r="E12" s="96" t="s">
        <v>795</v>
      </c>
      <c r="F12" s="95" t="s">
        <v>828</v>
      </c>
      <c r="G12" s="94" t="s">
        <v>814</v>
      </c>
      <c r="H12" s="93" t="s">
        <v>822</v>
      </c>
      <c r="I12" s="93">
        <v>0</v>
      </c>
      <c r="J12" s="95"/>
      <c r="K12" s="97"/>
    </row>
    <row r="13" spans="1:11" ht="33.75" customHeight="1">
      <c r="A13" s="93">
        <v>11</v>
      </c>
      <c r="B13" s="94" t="s">
        <v>814</v>
      </c>
      <c r="C13" s="94" t="s">
        <v>793</v>
      </c>
      <c r="D13" s="98" t="s">
        <v>820</v>
      </c>
      <c r="E13" s="96" t="s">
        <v>795</v>
      </c>
      <c r="F13" s="95" t="s">
        <v>829</v>
      </c>
      <c r="G13" s="94" t="s">
        <v>814</v>
      </c>
      <c r="H13" s="93" t="s">
        <v>822</v>
      </c>
      <c r="I13" s="93">
        <v>0</v>
      </c>
      <c r="J13" s="95"/>
      <c r="K13" s="97"/>
    </row>
    <row r="14" spans="1:11" s="108" customFormat="1" ht="33.75" customHeight="1">
      <c r="A14" s="93">
        <v>12</v>
      </c>
      <c r="B14" s="94" t="s">
        <v>814</v>
      </c>
      <c r="C14" s="94" t="s">
        <v>793</v>
      </c>
      <c r="D14" s="107" t="s">
        <v>827</v>
      </c>
      <c r="E14" s="96" t="s">
        <v>795</v>
      </c>
      <c r="F14" s="95" t="s">
        <v>830</v>
      </c>
      <c r="G14" s="94" t="s">
        <v>814</v>
      </c>
      <c r="H14" s="93" t="s">
        <v>822</v>
      </c>
      <c r="I14" s="93">
        <v>0</v>
      </c>
      <c r="J14" s="95"/>
      <c r="K14" s="97"/>
    </row>
    <row r="15" spans="1:11" ht="33.75" customHeight="1">
      <c r="A15" s="93">
        <v>13</v>
      </c>
      <c r="B15" s="94" t="s">
        <v>814</v>
      </c>
      <c r="C15" s="94" t="s">
        <v>793</v>
      </c>
      <c r="D15" s="98" t="s">
        <v>831</v>
      </c>
      <c r="E15" s="96" t="s">
        <v>832</v>
      </c>
      <c r="F15" s="95" t="s">
        <v>833</v>
      </c>
      <c r="G15" s="96" t="s">
        <v>805</v>
      </c>
      <c r="H15" s="93" t="s">
        <v>834</v>
      </c>
      <c r="I15" s="93">
        <v>0</v>
      </c>
      <c r="J15" s="95"/>
      <c r="K15" s="97"/>
    </row>
    <row r="16" spans="1:11" s="108" customFormat="1" ht="33.75" customHeight="1">
      <c r="A16" s="93">
        <v>14</v>
      </c>
      <c r="B16" s="94" t="s">
        <v>814</v>
      </c>
      <c r="C16" s="94" t="s">
        <v>793</v>
      </c>
      <c r="D16" s="107" t="s">
        <v>794</v>
      </c>
      <c r="E16" s="96" t="s">
        <v>812</v>
      </c>
      <c r="F16" s="95" t="s">
        <v>835</v>
      </c>
      <c r="G16" s="96" t="s">
        <v>809</v>
      </c>
      <c r="H16" s="93" t="s">
        <v>822</v>
      </c>
      <c r="I16" s="93">
        <v>0</v>
      </c>
      <c r="J16" s="95"/>
      <c r="K16" s="97"/>
    </row>
    <row r="17" spans="1:11" ht="33.75" customHeight="1">
      <c r="A17" s="93">
        <v>15</v>
      </c>
      <c r="B17" s="94" t="s">
        <v>814</v>
      </c>
      <c r="C17" s="94" t="s">
        <v>793</v>
      </c>
      <c r="D17" s="98" t="s">
        <v>836</v>
      </c>
      <c r="E17" s="96" t="s">
        <v>795</v>
      </c>
      <c r="F17" s="95" t="s">
        <v>837</v>
      </c>
      <c r="G17" s="96" t="s">
        <v>838</v>
      </c>
      <c r="H17" s="99" t="s">
        <v>797</v>
      </c>
      <c r="I17" s="93">
        <v>1</v>
      </c>
      <c r="J17" s="95"/>
      <c r="K17" s="97"/>
    </row>
    <row r="18" spans="1:11" ht="33.75" customHeight="1">
      <c r="A18" s="93">
        <v>16</v>
      </c>
      <c r="B18" s="94" t="s">
        <v>814</v>
      </c>
      <c r="C18" s="94" t="s">
        <v>793</v>
      </c>
      <c r="D18" s="98" t="s">
        <v>836</v>
      </c>
      <c r="E18" s="96" t="s">
        <v>812</v>
      </c>
      <c r="F18" s="95" t="s">
        <v>839</v>
      </c>
      <c r="G18" s="96" t="s">
        <v>818</v>
      </c>
      <c r="H18" s="93" t="s">
        <v>840</v>
      </c>
      <c r="I18" s="93">
        <v>0</v>
      </c>
      <c r="J18" s="95" t="s">
        <v>841</v>
      </c>
      <c r="K18" s="97"/>
    </row>
    <row r="19" spans="1:11" ht="33.75" customHeight="1">
      <c r="A19" s="93">
        <v>17</v>
      </c>
      <c r="B19" s="94" t="s">
        <v>814</v>
      </c>
      <c r="C19" s="94" t="s">
        <v>797</v>
      </c>
      <c r="D19" s="98" t="s">
        <v>836</v>
      </c>
      <c r="E19" s="96" t="s">
        <v>812</v>
      </c>
      <c r="F19" s="95" t="s">
        <v>842</v>
      </c>
      <c r="G19" s="96" t="s">
        <v>809</v>
      </c>
      <c r="H19" s="93" t="s">
        <v>840</v>
      </c>
      <c r="I19" s="93">
        <v>0</v>
      </c>
      <c r="J19" s="95" t="s">
        <v>841</v>
      </c>
      <c r="K19" s="97"/>
    </row>
    <row r="20" spans="1:11" ht="33.75" customHeight="1">
      <c r="A20" s="93">
        <v>18</v>
      </c>
      <c r="B20" s="94" t="s">
        <v>814</v>
      </c>
      <c r="C20" s="94" t="s">
        <v>797</v>
      </c>
      <c r="D20" s="98" t="s">
        <v>836</v>
      </c>
      <c r="E20" s="96" t="s">
        <v>812</v>
      </c>
      <c r="F20" s="95" t="s">
        <v>843</v>
      </c>
      <c r="G20" s="96" t="s">
        <v>805</v>
      </c>
      <c r="H20" s="93" t="s">
        <v>840</v>
      </c>
      <c r="I20" s="93">
        <v>0</v>
      </c>
      <c r="J20" s="95" t="s">
        <v>841</v>
      </c>
      <c r="K20" s="97"/>
    </row>
    <row r="21" spans="1:11" ht="33.75" customHeight="1">
      <c r="A21" s="93">
        <v>19</v>
      </c>
      <c r="B21" s="94" t="s">
        <v>814</v>
      </c>
      <c r="C21" s="94" t="s">
        <v>797</v>
      </c>
      <c r="D21" s="98" t="s">
        <v>836</v>
      </c>
      <c r="E21" s="96" t="s">
        <v>832</v>
      </c>
      <c r="F21" s="95" t="s">
        <v>844</v>
      </c>
      <c r="G21" s="96" t="s">
        <v>845</v>
      </c>
      <c r="H21" s="93" t="s">
        <v>797</v>
      </c>
      <c r="I21" s="93">
        <v>1</v>
      </c>
      <c r="J21" s="95"/>
      <c r="K21" s="97"/>
    </row>
    <row r="22" spans="1:11" ht="33.75" customHeight="1">
      <c r="A22" s="93">
        <v>20</v>
      </c>
      <c r="B22" s="94" t="s">
        <v>814</v>
      </c>
      <c r="C22" s="94" t="s">
        <v>797</v>
      </c>
      <c r="D22" s="98" t="s">
        <v>836</v>
      </c>
      <c r="E22" s="96" t="s">
        <v>795</v>
      </c>
      <c r="F22" s="95" t="s">
        <v>846</v>
      </c>
      <c r="G22" s="96" t="s">
        <v>805</v>
      </c>
      <c r="H22" s="93" t="s">
        <v>810</v>
      </c>
      <c r="I22" s="93">
        <v>0</v>
      </c>
      <c r="J22" s="95"/>
      <c r="K22" s="97"/>
    </row>
    <row r="23" spans="1:11" ht="33.75" customHeight="1">
      <c r="A23" s="93">
        <v>21</v>
      </c>
      <c r="B23" s="94" t="s">
        <v>814</v>
      </c>
      <c r="C23" s="94" t="s">
        <v>797</v>
      </c>
      <c r="D23" s="98" t="s">
        <v>836</v>
      </c>
      <c r="E23" s="96" t="s">
        <v>795</v>
      </c>
      <c r="F23" s="95" t="s">
        <v>847</v>
      </c>
      <c r="G23" s="96" t="s">
        <v>805</v>
      </c>
      <c r="H23" s="93" t="s">
        <v>810</v>
      </c>
      <c r="I23" s="93">
        <v>1</v>
      </c>
      <c r="J23" s="95"/>
      <c r="K23" s="97"/>
    </row>
    <row r="24" spans="1:11" ht="33.75" customHeight="1">
      <c r="A24" s="93">
        <v>22</v>
      </c>
      <c r="B24" s="94" t="s">
        <v>814</v>
      </c>
      <c r="C24" s="94" t="s">
        <v>793</v>
      </c>
      <c r="D24" s="98" t="s">
        <v>831</v>
      </c>
      <c r="E24" s="96" t="s">
        <v>812</v>
      </c>
      <c r="F24" s="95" t="s">
        <v>848</v>
      </c>
      <c r="G24" s="94" t="s">
        <v>814</v>
      </c>
      <c r="H24" s="93" t="s">
        <v>834</v>
      </c>
      <c r="I24" s="93">
        <v>0</v>
      </c>
      <c r="J24" s="95"/>
      <c r="K24" s="97"/>
    </row>
    <row r="25" spans="1:11" ht="33.75" customHeight="1">
      <c r="A25" s="93">
        <v>23</v>
      </c>
      <c r="B25" s="94" t="s">
        <v>814</v>
      </c>
      <c r="C25" s="94" t="s">
        <v>797</v>
      </c>
      <c r="D25" s="98" t="s">
        <v>820</v>
      </c>
      <c r="E25" s="96" t="s">
        <v>795</v>
      </c>
      <c r="F25" s="95" t="s">
        <v>849</v>
      </c>
      <c r="G25" s="96" t="s">
        <v>818</v>
      </c>
      <c r="H25" s="93" t="s">
        <v>822</v>
      </c>
      <c r="I25" s="93">
        <v>0</v>
      </c>
      <c r="J25" s="95" t="s">
        <v>826</v>
      </c>
      <c r="K25" s="97"/>
    </row>
    <row r="26" spans="1:11" ht="33.75" customHeight="1">
      <c r="A26" s="93">
        <v>24</v>
      </c>
      <c r="B26" s="94" t="s">
        <v>814</v>
      </c>
      <c r="C26" s="94" t="s">
        <v>797</v>
      </c>
      <c r="D26" s="98" t="s">
        <v>850</v>
      </c>
      <c r="E26" s="96" t="s">
        <v>795</v>
      </c>
      <c r="F26" s="95" t="s">
        <v>851</v>
      </c>
      <c r="G26" s="96" t="s">
        <v>818</v>
      </c>
      <c r="H26" s="93" t="s">
        <v>822</v>
      </c>
      <c r="I26" s="93">
        <v>0</v>
      </c>
      <c r="J26" s="95" t="s">
        <v>826</v>
      </c>
      <c r="K26" s="97"/>
    </row>
    <row r="27" spans="1:11" ht="33.75" customHeight="1">
      <c r="A27" s="93">
        <v>25</v>
      </c>
      <c r="B27" s="94" t="s">
        <v>814</v>
      </c>
      <c r="C27" s="94" t="s">
        <v>793</v>
      </c>
      <c r="D27" s="98" t="s">
        <v>852</v>
      </c>
      <c r="E27" s="96" t="s">
        <v>795</v>
      </c>
      <c r="F27" s="95" t="s">
        <v>853</v>
      </c>
      <c r="G27" s="96" t="s">
        <v>809</v>
      </c>
      <c r="H27" s="93" t="s">
        <v>810</v>
      </c>
      <c r="I27" s="93">
        <v>0</v>
      </c>
      <c r="J27" s="95"/>
      <c r="K27" s="97" t="s">
        <v>854</v>
      </c>
    </row>
    <row r="28" spans="1:11" ht="33.75" customHeight="1">
      <c r="A28" s="93">
        <v>26</v>
      </c>
      <c r="B28" s="94" t="s">
        <v>814</v>
      </c>
      <c r="C28" s="94" t="s">
        <v>819</v>
      </c>
      <c r="D28" s="98" t="s">
        <v>852</v>
      </c>
      <c r="E28" s="96" t="s">
        <v>795</v>
      </c>
      <c r="F28" s="95" t="s">
        <v>855</v>
      </c>
      <c r="G28" s="96" t="s">
        <v>809</v>
      </c>
      <c r="H28" s="93" t="s">
        <v>810</v>
      </c>
      <c r="I28" s="93">
        <v>0</v>
      </c>
      <c r="J28" s="95"/>
      <c r="K28" s="97"/>
    </row>
    <row r="29" spans="1:11" ht="33.75" customHeight="1">
      <c r="A29" s="93">
        <v>27</v>
      </c>
      <c r="B29" s="94" t="s">
        <v>814</v>
      </c>
      <c r="C29" s="94" t="s">
        <v>793</v>
      </c>
      <c r="D29" s="98" t="s">
        <v>856</v>
      </c>
      <c r="E29" s="96" t="s">
        <v>795</v>
      </c>
      <c r="F29" s="95" t="s">
        <v>857</v>
      </c>
      <c r="G29" s="96" t="s">
        <v>809</v>
      </c>
      <c r="H29" s="93" t="s">
        <v>802</v>
      </c>
      <c r="I29" s="93">
        <v>0</v>
      </c>
      <c r="J29" s="95" t="s">
        <v>858</v>
      </c>
      <c r="K29" s="97"/>
    </row>
    <row r="30" spans="1:11" s="108" customFormat="1" ht="33.75" customHeight="1">
      <c r="A30" s="93">
        <v>28</v>
      </c>
      <c r="B30" s="94" t="s">
        <v>814</v>
      </c>
      <c r="C30" s="94" t="s">
        <v>859</v>
      </c>
      <c r="D30" s="107" t="s">
        <v>856</v>
      </c>
      <c r="E30" s="96" t="s">
        <v>795</v>
      </c>
      <c r="F30" s="95" t="s">
        <v>860</v>
      </c>
      <c r="G30" s="96" t="s">
        <v>809</v>
      </c>
      <c r="H30" s="93" t="s">
        <v>802</v>
      </c>
      <c r="I30" s="93">
        <v>0</v>
      </c>
      <c r="J30" s="95" t="s">
        <v>861</v>
      </c>
      <c r="K30" s="97"/>
    </row>
    <row r="31" spans="1:11" ht="33.75" customHeight="1">
      <c r="A31" s="93">
        <v>29</v>
      </c>
      <c r="B31" s="94" t="s">
        <v>814</v>
      </c>
      <c r="C31" s="94" t="s">
        <v>797</v>
      </c>
      <c r="D31" s="98" t="s">
        <v>856</v>
      </c>
      <c r="E31" s="96" t="s">
        <v>795</v>
      </c>
      <c r="F31" s="95" t="s">
        <v>862</v>
      </c>
      <c r="G31" s="94" t="s">
        <v>814</v>
      </c>
      <c r="H31" s="93" t="s">
        <v>834</v>
      </c>
      <c r="I31" s="93">
        <v>0</v>
      </c>
      <c r="J31" s="95"/>
      <c r="K31" s="97"/>
    </row>
    <row r="32" spans="1:11" s="108" customFormat="1" ht="33.75" customHeight="1">
      <c r="A32" s="93">
        <v>30</v>
      </c>
      <c r="B32" s="94" t="s">
        <v>814</v>
      </c>
      <c r="C32" s="94" t="s">
        <v>797</v>
      </c>
      <c r="D32" s="107" t="s">
        <v>863</v>
      </c>
      <c r="E32" s="96" t="s">
        <v>795</v>
      </c>
      <c r="F32" s="95" t="s">
        <v>864</v>
      </c>
      <c r="G32" s="96" t="s">
        <v>809</v>
      </c>
      <c r="H32" s="93" t="s">
        <v>802</v>
      </c>
      <c r="I32" s="93">
        <v>0</v>
      </c>
      <c r="J32" s="95" t="s">
        <v>865</v>
      </c>
      <c r="K32" s="97"/>
    </row>
    <row r="33" spans="1:11" ht="33.75" customHeight="1">
      <c r="A33" s="93">
        <v>31</v>
      </c>
      <c r="B33" s="94" t="s">
        <v>814</v>
      </c>
      <c r="C33" s="94" t="s">
        <v>797</v>
      </c>
      <c r="D33" s="98" t="s">
        <v>866</v>
      </c>
      <c r="E33" s="96" t="s">
        <v>832</v>
      </c>
      <c r="F33" s="95" t="s">
        <v>867</v>
      </c>
      <c r="G33" s="96" t="s">
        <v>809</v>
      </c>
      <c r="H33" s="93" t="s">
        <v>802</v>
      </c>
      <c r="I33" s="93">
        <v>0</v>
      </c>
      <c r="J33" s="95" t="s">
        <v>868</v>
      </c>
      <c r="K33" s="97"/>
    </row>
    <row r="34" spans="1:11" ht="33.75" customHeight="1">
      <c r="A34" s="93">
        <v>32</v>
      </c>
      <c r="B34" s="94" t="s">
        <v>814</v>
      </c>
      <c r="C34" s="94" t="s">
        <v>797</v>
      </c>
      <c r="D34" s="98" t="s">
        <v>866</v>
      </c>
      <c r="E34" s="96" t="s">
        <v>795</v>
      </c>
      <c r="F34" s="95" t="s">
        <v>869</v>
      </c>
      <c r="G34" s="96" t="s">
        <v>809</v>
      </c>
      <c r="H34" s="93" t="s">
        <v>802</v>
      </c>
      <c r="I34" s="93">
        <v>0</v>
      </c>
      <c r="J34" s="95" t="s">
        <v>870</v>
      </c>
      <c r="K34" s="97"/>
    </row>
    <row r="35" spans="1:11" ht="33.75" customHeight="1">
      <c r="A35" s="93">
        <v>33</v>
      </c>
      <c r="B35" s="94" t="s">
        <v>814</v>
      </c>
      <c r="C35" s="94" t="s">
        <v>859</v>
      </c>
      <c r="D35" s="98" t="s">
        <v>866</v>
      </c>
      <c r="E35" s="96" t="s">
        <v>795</v>
      </c>
      <c r="F35" s="95" t="s">
        <v>871</v>
      </c>
      <c r="G35" s="96" t="s">
        <v>809</v>
      </c>
      <c r="H35" s="93" t="s">
        <v>802</v>
      </c>
      <c r="I35" s="93">
        <v>0</v>
      </c>
      <c r="J35" s="95" t="s">
        <v>872</v>
      </c>
      <c r="K35" s="97"/>
    </row>
    <row r="36" spans="1:11" ht="33.75" customHeight="1">
      <c r="A36" s="93">
        <v>34</v>
      </c>
      <c r="B36" s="94" t="s">
        <v>814</v>
      </c>
      <c r="C36" s="94" t="s">
        <v>797</v>
      </c>
      <c r="D36" s="98" t="s">
        <v>873</v>
      </c>
      <c r="E36" s="96" t="s">
        <v>795</v>
      </c>
      <c r="F36" s="95" t="s">
        <v>874</v>
      </c>
      <c r="G36" s="96" t="s">
        <v>818</v>
      </c>
      <c r="H36" s="93" t="s">
        <v>802</v>
      </c>
      <c r="I36" s="93">
        <v>0</v>
      </c>
      <c r="J36" s="95" t="s">
        <v>826</v>
      </c>
      <c r="K36" s="97"/>
    </row>
    <row r="37" spans="1:11" ht="33.75" customHeight="1">
      <c r="A37" s="93">
        <v>35</v>
      </c>
      <c r="B37" s="94" t="s">
        <v>814</v>
      </c>
      <c r="C37" s="94" t="s">
        <v>793</v>
      </c>
      <c r="D37" s="95" t="s">
        <v>827</v>
      </c>
      <c r="E37" s="96" t="s">
        <v>795</v>
      </c>
      <c r="F37" s="95" t="s">
        <v>875</v>
      </c>
      <c r="G37" s="96" t="s">
        <v>805</v>
      </c>
      <c r="H37" s="93" t="s">
        <v>810</v>
      </c>
      <c r="I37" s="93">
        <v>0</v>
      </c>
      <c r="J37" s="95"/>
      <c r="K37" s="97"/>
    </row>
    <row r="38" spans="1:11" ht="33.75" customHeight="1">
      <c r="A38" s="93">
        <v>36</v>
      </c>
      <c r="B38" s="94" t="s">
        <v>814</v>
      </c>
      <c r="C38" s="94" t="s">
        <v>797</v>
      </c>
      <c r="D38" s="98" t="s">
        <v>876</v>
      </c>
      <c r="E38" s="96" t="s">
        <v>795</v>
      </c>
      <c r="F38" s="95" t="s">
        <v>877</v>
      </c>
      <c r="G38" s="96" t="s">
        <v>809</v>
      </c>
      <c r="H38" s="93" t="s">
        <v>815</v>
      </c>
      <c r="I38" s="93">
        <v>0</v>
      </c>
      <c r="J38" s="95"/>
      <c r="K38" s="97"/>
    </row>
    <row r="39" spans="1:11" ht="33.75" customHeight="1">
      <c r="A39" s="93">
        <v>37</v>
      </c>
      <c r="B39" s="94" t="s">
        <v>814</v>
      </c>
      <c r="C39" s="94" t="s">
        <v>797</v>
      </c>
      <c r="D39" s="98" t="s">
        <v>876</v>
      </c>
      <c r="E39" s="96" t="s">
        <v>795</v>
      </c>
      <c r="F39" s="95" t="s">
        <v>878</v>
      </c>
      <c r="G39" s="96" t="s">
        <v>805</v>
      </c>
      <c r="H39" s="93" t="s">
        <v>810</v>
      </c>
      <c r="I39" s="93">
        <v>0</v>
      </c>
      <c r="J39" s="95" t="s">
        <v>879</v>
      </c>
      <c r="K39" s="97" t="s">
        <v>880</v>
      </c>
    </row>
    <row r="40" spans="1:11" ht="33.75" customHeight="1">
      <c r="A40" s="93">
        <v>38</v>
      </c>
      <c r="B40" s="94" t="s">
        <v>814</v>
      </c>
      <c r="C40" s="94" t="s">
        <v>797</v>
      </c>
      <c r="D40" s="98" t="s">
        <v>811</v>
      </c>
      <c r="E40" s="96" t="s">
        <v>812</v>
      </c>
      <c r="F40" s="95" t="s">
        <v>881</v>
      </c>
      <c r="G40" s="94" t="s">
        <v>814</v>
      </c>
      <c r="H40" s="93" t="s">
        <v>815</v>
      </c>
      <c r="I40" s="93">
        <v>0</v>
      </c>
      <c r="J40" s="95"/>
      <c r="K40" s="97"/>
    </row>
    <row r="41" spans="1:11" ht="33.75" customHeight="1">
      <c r="A41" s="93">
        <v>39</v>
      </c>
      <c r="B41" s="94" t="s">
        <v>814</v>
      </c>
      <c r="C41" s="94" t="s">
        <v>797</v>
      </c>
      <c r="D41" s="98" t="s">
        <v>811</v>
      </c>
      <c r="E41" s="96" t="s">
        <v>812</v>
      </c>
      <c r="F41" s="95" t="s">
        <v>882</v>
      </c>
      <c r="G41" s="96" t="s">
        <v>809</v>
      </c>
      <c r="H41" s="93" t="s">
        <v>815</v>
      </c>
      <c r="I41" s="93">
        <v>0</v>
      </c>
      <c r="J41" s="95"/>
      <c r="K41" s="97"/>
    </row>
    <row r="42" spans="1:11" ht="33.75" customHeight="1">
      <c r="A42" s="93">
        <v>40</v>
      </c>
      <c r="B42" s="94" t="s">
        <v>814</v>
      </c>
      <c r="C42" s="94" t="s">
        <v>797</v>
      </c>
      <c r="D42" s="98" t="s">
        <v>876</v>
      </c>
      <c r="E42" s="96" t="s">
        <v>812</v>
      </c>
      <c r="F42" s="95" t="s">
        <v>883</v>
      </c>
      <c r="G42" s="96" t="s">
        <v>809</v>
      </c>
      <c r="H42" s="93" t="s">
        <v>815</v>
      </c>
      <c r="I42" s="93">
        <v>0</v>
      </c>
      <c r="J42" s="95"/>
      <c r="K42" s="97"/>
    </row>
    <row r="43" spans="1:11" ht="33.75" customHeight="1">
      <c r="A43" s="93">
        <v>41</v>
      </c>
      <c r="B43" s="94" t="s">
        <v>814</v>
      </c>
      <c r="C43" s="94" t="s">
        <v>793</v>
      </c>
      <c r="D43" s="98" t="s">
        <v>823</v>
      </c>
      <c r="E43" s="96" t="s">
        <v>795</v>
      </c>
      <c r="F43" s="95" t="s">
        <v>884</v>
      </c>
      <c r="G43" s="96" t="s">
        <v>809</v>
      </c>
      <c r="H43" s="93" t="s">
        <v>810</v>
      </c>
      <c r="I43" s="93">
        <v>0</v>
      </c>
      <c r="J43" s="95" t="s">
        <v>885</v>
      </c>
      <c r="K43" s="97" t="s">
        <v>886</v>
      </c>
    </row>
    <row r="44" spans="1:11" ht="33.75" customHeight="1">
      <c r="A44" s="93">
        <v>42</v>
      </c>
      <c r="B44" s="94" t="s">
        <v>814</v>
      </c>
      <c r="C44" s="94" t="s">
        <v>793</v>
      </c>
      <c r="D44" s="98" t="s">
        <v>887</v>
      </c>
      <c r="E44" s="96" t="s">
        <v>812</v>
      </c>
      <c r="F44" s="100" t="s">
        <v>888</v>
      </c>
      <c r="G44" s="94" t="s">
        <v>814</v>
      </c>
      <c r="H44" s="93" t="s">
        <v>822</v>
      </c>
      <c r="I44" s="93">
        <v>0</v>
      </c>
      <c r="J44" s="95"/>
      <c r="K44" s="97"/>
    </row>
    <row r="45" spans="1:11" ht="33.75" customHeight="1">
      <c r="A45" s="93">
        <v>43</v>
      </c>
      <c r="B45" s="94" t="s">
        <v>814</v>
      </c>
      <c r="C45" s="94" t="s">
        <v>859</v>
      </c>
      <c r="D45" s="98" t="s">
        <v>889</v>
      </c>
      <c r="E45" s="96" t="s">
        <v>812</v>
      </c>
      <c r="F45" s="95" t="s">
        <v>890</v>
      </c>
      <c r="G45" s="94" t="s">
        <v>814</v>
      </c>
      <c r="H45" s="93" t="s">
        <v>834</v>
      </c>
      <c r="I45" s="93">
        <v>0</v>
      </c>
      <c r="J45" s="95"/>
      <c r="K45" s="97"/>
    </row>
    <row r="46" spans="1:11" ht="33.75" customHeight="1">
      <c r="A46" s="93">
        <v>44</v>
      </c>
      <c r="B46" s="94" t="s">
        <v>814</v>
      </c>
      <c r="C46" s="94" t="s">
        <v>859</v>
      </c>
      <c r="D46" s="98" t="s">
        <v>889</v>
      </c>
      <c r="E46" s="96" t="s">
        <v>812</v>
      </c>
      <c r="F46" s="95" t="s">
        <v>891</v>
      </c>
      <c r="G46" s="96" t="s">
        <v>809</v>
      </c>
      <c r="H46" s="93" t="s">
        <v>802</v>
      </c>
      <c r="I46" s="93">
        <v>0</v>
      </c>
      <c r="J46" s="95"/>
      <c r="K46" s="97"/>
    </row>
    <row r="47" spans="1:11" ht="33.75" customHeight="1">
      <c r="A47" s="93">
        <v>45</v>
      </c>
      <c r="B47" s="94" t="s">
        <v>814</v>
      </c>
      <c r="C47" s="94" t="s">
        <v>797</v>
      </c>
      <c r="D47" s="98" t="s">
        <v>892</v>
      </c>
      <c r="E47" s="96" t="s">
        <v>812</v>
      </c>
      <c r="F47" s="95" t="s">
        <v>893</v>
      </c>
      <c r="G47" s="96" t="s">
        <v>805</v>
      </c>
      <c r="H47" s="99" t="s">
        <v>822</v>
      </c>
      <c r="I47" s="93">
        <v>0</v>
      </c>
      <c r="J47" s="95"/>
      <c r="K47" s="97"/>
    </row>
    <row r="48" spans="1:11" ht="33.75" customHeight="1">
      <c r="A48" s="93">
        <v>46</v>
      </c>
      <c r="B48" s="94" t="s">
        <v>814</v>
      </c>
      <c r="C48" s="94" t="s">
        <v>797</v>
      </c>
      <c r="D48" s="98" t="s">
        <v>892</v>
      </c>
      <c r="E48" s="96" t="s">
        <v>795</v>
      </c>
      <c r="F48" s="95" t="s">
        <v>894</v>
      </c>
      <c r="G48" s="96" t="s">
        <v>809</v>
      </c>
      <c r="H48" s="93" t="s">
        <v>815</v>
      </c>
      <c r="I48" s="93">
        <v>0</v>
      </c>
      <c r="J48" s="95"/>
      <c r="K48" s="97"/>
    </row>
    <row r="49" spans="1:11" ht="33.75" customHeight="1">
      <c r="A49" s="93">
        <v>47</v>
      </c>
      <c r="B49" s="94" t="s">
        <v>814</v>
      </c>
      <c r="C49" s="94" t="s">
        <v>797</v>
      </c>
      <c r="D49" s="98" t="s">
        <v>892</v>
      </c>
      <c r="E49" s="96" t="s">
        <v>812</v>
      </c>
      <c r="F49" s="95" t="s">
        <v>895</v>
      </c>
      <c r="G49" s="96" t="s">
        <v>896</v>
      </c>
      <c r="H49" s="93" t="s">
        <v>897</v>
      </c>
      <c r="I49" s="93">
        <v>0</v>
      </c>
      <c r="J49" s="95"/>
      <c r="K49" s="97"/>
    </row>
    <row r="50" spans="1:11" ht="33.75" customHeight="1">
      <c r="A50" s="93">
        <v>48</v>
      </c>
      <c r="B50" s="94" t="s">
        <v>814</v>
      </c>
      <c r="C50" s="94" t="s">
        <v>819</v>
      </c>
      <c r="D50" s="98" t="s">
        <v>892</v>
      </c>
      <c r="E50" s="96" t="s">
        <v>832</v>
      </c>
      <c r="F50" s="95" t="s">
        <v>898</v>
      </c>
      <c r="G50" s="96" t="s">
        <v>896</v>
      </c>
      <c r="H50" s="93" t="s">
        <v>797</v>
      </c>
      <c r="I50" s="93">
        <v>0</v>
      </c>
      <c r="J50" s="95"/>
      <c r="K50" s="97"/>
    </row>
    <row r="51" spans="1:11" ht="33.75" customHeight="1">
      <c r="A51" s="93">
        <v>49</v>
      </c>
      <c r="B51" s="94" t="s">
        <v>814</v>
      </c>
      <c r="C51" s="94" t="s">
        <v>819</v>
      </c>
      <c r="D51" s="98" t="s">
        <v>892</v>
      </c>
      <c r="E51" s="96" t="s">
        <v>795</v>
      </c>
      <c r="F51" s="95" t="s">
        <v>899</v>
      </c>
      <c r="G51" s="94" t="s">
        <v>814</v>
      </c>
      <c r="H51" s="93" t="s">
        <v>797</v>
      </c>
      <c r="I51" s="93">
        <v>0</v>
      </c>
      <c r="J51" s="95"/>
      <c r="K51" s="97"/>
    </row>
    <row r="52" spans="1:11" ht="33.75" customHeight="1">
      <c r="A52" s="93">
        <v>50</v>
      </c>
      <c r="B52" s="94" t="s">
        <v>814</v>
      </c>
      <c r="C52" s="94" t="s">
        <v>819</v>
      </c>
      <c r="D52" s="98" t="s">
        <v>900</v>
      </c>
      <c r="E52" s="96" t="s">
        <v>795</v>
      </c>
      <c r="F52" s="95" t="s">
        <v>901</v>
      </c>
      <c r="G52" s="96" t="s">
        <v>809</v>
      </c>
      <c r="H52" s="93" t="s">
        <v>834</v>
      </c>
      <c r="I52" s="93">
        <v>0</v>
      </c>
      <c r="J52" s="95"/>
      <c r="K52" s="97"/>
    </row>
    <row r="53" spans="1:11" ht="33.75" customHeight="1">
      <c r="A53" s="93">
        <v>51</v>
      </c>
      <c r="B53" s="94" t="s">
        <v>814</v>
      </c>
      <c r="C53" s="94" t="s">
        <v>793</v>
      </c>
      <c r="D53" s="98" t="s">
        <v>827</v>
      </c>
      <c r="E53" s="96" t="s">
        <v>795</v>
      </c>
      <c r="F53" s="95" t="s">
        <v>902</v>
      </c>
      <c r="G53" s="96" t="s">
        <v>805</v>
      </c>
      <c r="H53" s="93" t="s">
        <v>810</v>
      </c>
      <c r="I53" s="93">
        <v>0</v>
      </c>
      <c r="J53" s="95"/>
      <c r="K53" s="97" t="s">
        <v>903</v>
      </c>
    </row>
    <row r="54" spans="1:11" s="106" customFormat="1" ht="33.75" customHeight="1">
      <c r="A54" s="93">
        <v>52</v>
      </c>
      <c r="B54" s="101" t="s">
        <v>814</v>
      </c>
      <c r="C54" s="101" t="s">
        <v>793</v>
      </c>
      <c r="D54" s="102" t="s">
        <v>852</v>
      </c>
      <c r="E54" s="103" t="s">
        <v>812</v>
      </c>
      <c r="F54" s="104" t="s">
        <v>904</v>
      </c>
      <c r="G54" s="101" t="s">
        <v>814</v>
      </c>
      <c r="H54" s="99" t="s">
        <v>822</v>
      </c>
      <c r="I54" s="99">
        <v>0</v>
      </c>
      <c r="J54" s="104"/>
      <c r="K54" s="105"/>
    </row>
    <row r="55" spans="1:11" ht="33.75" customHeight="1">
      <c r="A55" s="93">
        <v>53</v>
      </c>
      <c r="B55" s="101" t="s">
        <v>809</v>
      </c>
      <c r="C55" s="101" t="s">
        <v>905</v>
      </c>
      <c r="D55" s="102" t="s">
        <v>866</v>
      </c>
      <c r="E55" s="103" t="s">
        <v>795</v>
      </c>
      <c r="F55" s="104" t="s">
        <v>906</v>
      </c>
      <c r="G55" s="103" t="s">
        <v>809</v>
      </c>
      <c r="H55" s="99" t="s">
        <v>802</v>
      </c>
      <c r="I55" s="99">
        <v>0</v>
      </c>
      <c r="J55" s="104" t="s">
        <v>907</v>
      </c>
      <c r="K55" s="105"/>
    </row>
    <row r="56" spans="1:11" s="106" customFormat="1" ht="33.75" customHeight="1">
      <c r="A56" s="93">
        <v>54</v>
      </c>
      <c r="B56" s="101" t="s">
        <v>809</v>
      </c>
      <c r="C56" s="101" t="s">
        <v>905</v>
      </c>
      <c r="D56" s="102" t="s">
        <v>856</v>
      </c>
      <c r="E56" s="103" t="s">
        <v>832</v>
      </c>
      <c r="F56" s="104" t="s">
        <v>908</v>
      </c>
      <c r="G56" s="103" t="s">
        <v>809</v>
      </c>
      <c r="H56" s="99" t="s">
        <v>810</v>
      </c>
      <c r="I56" s="99">
        <v>0</v>
      </c>
      <c r="J56" s="104"/>
      <c r="K56" s="105"/>
    </row>
    <row r="57" spans="1:11" ht="33.75" customHeight="1">
      <c r="A57" s="93">
        <v>55</v>
      </c>
      <c r="B57" s="94" t="s">
        <v>809</v>
      </c>
      <c r="C57" s="94" t="s">
        <v>905</v>
      </c>
      <c r="D57" s="98" t="s">
        <v>863</v>
      </c>
      <c r="E57" s="96" t="s">
        <v>832</v>
      </c>
      <c r="F57" s="95" t="s">
        <v>909</v>
      </c>
      <c r="G57" s="96" t="s">
        <v>809</v>
      </c>
      <c r="H57" s="93" t="s">
        <v>810</v>
      </c>
      <c r="I57" s="93">
        <v>0</v>
      </c>
      <c r="J57" s="95"/>
      <c r="K57" s="97"/>
    </row>
    <row r="58" spans="1:11" s="106" customFormat="1" ht="33.75" customHeight="1">
      <c r="A58" s="93">
        <v>56</v>
      </c>
      <c r="B58" s="101" t="s">
        <v>809</v>
      </c>
      <c r="C58" s="101" t="s">
        <v>905</v>
      </c>
      <c r="D58" s="102" t="s">
        <v>910</v>
      </c>
      <c r="E58" s="103" t="s">
        <v>795</v>
      </c>
      <c r="F58" s="104" t="s">
        <v>911</v>
      </c>
      <c r="G58" s="103" t="s">
        <v>805</v>
      </c>
      <c r="H58" s="99" t="s">
        <v>815</v>
      </c>
      <c r="I58" s="99">
        <v>0</v>
      </c>
      <c r="J58" s="104"/>
      <c r="K58" s="105"/>
    </row>
    <row r="59" spans="1:11" ht="33.75" customHeight="1">
      <c r="A59" s="93">
        <v>57</v>
      </c>
      <c r="B59" s="94" t="s">
        <v>809</v>
      </c>
      <c r="C59" s="94" t="s">
        <v>905</v>
      </c>
      <c r="D59" s="98" t="s">
        <v>823</v>
      </c>
      <c r="E59" s="96" t="s">
        <v>832</v>
      </c>
      <c r="F59" s="95" t="s">
        <v>912</v>
      </c>
      <c r="G59" s="96"/>
      <c r="H59" s="93" t="s">
        <v>797</v>
      </c>
      <c r="I59" s="93">
        <v>2</v>
      </c>
      <c r="J59" s="95" t="s">
        <v>1456</v>
      </c>
      <c r="K59" s="97"/>
    </row>
    <row r="60" spans="1:11" ht="33.75" customHeight="1">
      <c r="A60" s="93">
        <v>58</v>
      </c>
      <c r="B60" s="94" t="s">
        <v>809</v>
      </c>
      <c r="C60" s="94" t="s">
        <v>905</v>
      </c>
      <c r="D60" s="98" t="s">
        <v>866</v>
      </c>
      <c r="E60" s="96" t="s">
        <v>812</v>
      </c>
      <c r="F60" s="95" t="s">
        <v>913</v>
      </c>
      <c r="G60" s="96" t="s">
        <v>809</v>
      </c>
      <c r="H60" s="93" t="s">
        <v>834</v>
      </c>
      <c r="I60" s="93">
        <v>0</v>
      </c>
      <c r="J60" s="95"/>
      <c r="K60" s="97"/>
    </row>
    <row r="61" spans="1:11" ht="33.75" customHeight="1">
      <c r="A61" s="93">
        <v>59</v>
      </c>
      <c r="B61" s="94" t="s">
        <v>809</v>
      </c>
      <c r="C61" s="94" t="s">
        <v>914</v>
      </c>
      <c r="D61" s="98" t="s">
        <v>915</v>
      </c>
      <c r="E61" s="96" t="s">
        <v>832</v>
      </c>
      <c r="F61" s="95" t="s">
        <v>916</v>
      </c>
      <c r="G61" s="96" t="s">
        <v>809</v>
      </c>
      <c r="H61" s="93" t="s">
        <v>802</v>
      </c>
      <c r="I61" s="93">
        <v>0</v>
      </c>
      <c r="J61" s="95" t="s">
        <v>917</v>
      </c>
      <c r="K61" s="97"/>
    </row>
    <row r="62" spans="1:11" ht="33.75" customHeight="1">
      <c r="A62" s="93">
        <v>60</v>
      </c>
      <c r="B62" s="94" t="s">
        <v>809</v>
      </c>
      <c r="C62" s="94" t="s">
        <v>914</v>
      </c>
      <c r="D62" s="98" t="s">
        <v>850</v>
      </c>
      <c r="E62" s="96" t="s">
        <v>832</v>
      </c>
      <c r="F62" s="95" t="s">
        <v>916</v>
      </c>
      <c r="G62" s="96" t="s">
        <v>809</v>
      </c>
      <c r="H62" s="93" t="s">
        <v>802</v>
      </c>
      <c r="I62" s="93">
        <v>0</v>
      </c>
      <c r="J62" s="95" t="s">
        <v>917</v>
      </c>
      <c r="K62" s="97"/>
    </row>
    <row r="63" spans="1:11" ht="33.75" customHeight="1">
      <c r="A63" s="93">
        <v>61</v>
      </c>
      <c r="B63" s="94" t="s">
        <v>809</v>
      </c>
      <c r="C63" s="94" t="s">
        <v>914</v>
      </c>
      <c r="D63" s="98" t="s">
        <v>918</v>
      </c>
      <c r="E63" s="96" t="s">
        <v>832</v>
      </c>
      <c r="F63" s="95" t="s">
        <v>919</v>
      </c>
      <c r="G63" s="96" t="s">
        <v>809</v>
      </c>
      <c r="H63" s="93" t="s">
        <v>802</v>
      </c>
      <c r="I63" s="93">
        <v>0</v>
      </c>
      <c r="J63" s="95" t="s">
        <v>917</v>
      </c>
      <c r="K63" s="97"/>
    </row>
    <row r="64" spans="1:11" ht="33.75" customHeight="1">
      <c r="A64" s="93">
        <v>62</v>
      </c>
      <c r="B64" s="94" t="s">
        <v>809</v>
      </c>
      <c r="C64" s="94" t="s">
        <v>905</v>
      </c>
      <c r="D64" s="98" t="s">
        <v>866</v>
      </c>
      <c r="E64" s="96" t="s">
        <v>832</v>
      </c>
      <c r="F64" s="95" t="s">
        <v>920</v>
      </c>
      <c r="G64" s="96" t="s">
        <v>805</v>
      </c>
      <c r="H64" s="99" t="s">
        <v>810</v>
      </c>
      <c r="I64" s="93">
        <v>0</v>
      </c>
      <c r="J64" s="95"/>
      <c r="K64" s="97"/>
    </row>
    <row r="65" spans="1:11" ht="33.75" customHeight="1">
      <c r="A65" s="93">
        <v>63</v>
      </c>
      <c r="B65" s="94" t="s">
        <v>809</v>
      </c>
      <c r="C65" s="94" t="s">
        <v>921</v>
      </c>
      <c r="D65" s="95" t="s">
        <v>852</v>
      </c>
      <c r="E65" s="109" t="s">
        <v>832</v>
      </c>
      <c r="F65" s="95" t="s">
        <v>922</v>
      </c>
      <c r="G65" s="96" t="s">
        <v>818</v>
      </c>
      <c r="H65" s="93" t="s">
        <v>840</v>
      </c>
      <c r="I65" s="93">
        <v>0</v>
      </c>
      <c r="J65" s="95" t="s">
        <v>841</v>
      </c>
      <c r="K65" s="97"/>
    </row>
    <row r="66" spans="1:11" ht="33.75" customHeight="1">
      <c r="A66" s="93">
        <v>64</v>
      </c>
      <c r="B66" s="94" t="s">
        <v>809</v>
      </c>
      <c r="C66" s="94" t="s">
        <v>905</v>
      </c>
      <c r="D66" s="98" t="s">
        <v>866</v>
      </c>
      <c r="E66" s="96" t="s">
        <v>832</v>
      </c>
      <c r="F66" s="95" t="s">
        <v>923</v>
      </c>
      <c r="G66" s="96" t="s">
        <v>805</v>
      </c>
      <c r="H66" s="99" t="s">
        <v>802</v>
      </c>
      <c r="I66" s="93">
        <v>0</v>
      </c>
      <c r="J66" s="95" t="s">
        <v>861</v>
      </c>
      <c r="K66" s="97"/>
    </row>
    <row r="67" spans="1:11" ht="33.75" customHeight="1">
      <c r="A67" s="93">
        <v>65</v>
      </c>
      <c r="B67" s="94" t="s">
        <v>809</v>
      </c>
      <c r="C67" s="94" t="s">
        <v>914</v>
      </c>
      <c r="D67" s="98" t="s">
        <v>924</v>
      </c>
      <c r="E67" s="96" t="s">
        <v>812</v>
      </c>
      <c r="F67" s="95" t="s">
        <v>925</v>
      </c>
      <c r="G67" s="96" t="s">
        <v>809</v>
      </c>
      <c r="H67" s="93" t="s">
        <v>802</v>
      </c>
      <c r="I67" s="93">
        <v>0</v>
      </c>
      <c r="J67" s="95" t="s">
        <v>861</v>
      </c>
      <c r="K67" s="97"/>
    </row>
    <row r="68" spans="1:11" ht="33.75" customHeight="1">
      <c r="A68" s="93">
        <v>66</v>
      </c>
      <c r="B68" s="94" t="s">
        <v>809</v>
      </c>
      <c r="C68" s="94" t="s">
        <v>914</v>
      </c>
      <c r="D68" s="98" t="s">
        <v>924</v>
      </c>
      <c r="E68" s="96" t="s">
        <v>812</v>
      </c>
      <c r="F68" s="95" t="s">
        <v>926</v>
      </c>
      <c r="G68" s="96" t="s">
        <v>809</v>
      </c>
      <c r="H68" s="93" t="s">
        <v>802</v>
      </c>
      <c r="I68" s="93">
        <v>0</v>
      </c>
      <c r="J68" s="95" t="s">
        <v>861</v>
      </c>
      <c r="K68" s="97"/>
    </row>
    <row r="69" spans="1:11" ht="33.75" customHeight="1">
      <c r="A69" s="93">
        <v>67</v>
      </c>
      <c r="B69" s="94" t="s">
        <v>809</v>
      </c>
      <c r="C69" s="94" t="s">
        <v>793</v>
      </c>
      <c r="D69" s="98" t="s">
        <v>866</v>
      </c>
      <c r="E69" s="96" t="s">
        <v>795</v>
      </c>
      <c r="F69" s="95" t="s">
        <v>927</v>
      </c>
      <c r="G69" s="96" t="s">
        <v>818</v>
      </c>
      <c r="H69" s="93" t="s">
        <v>802</v>
      </c>
      <c r="I69" s="93">
        <v>0</v>
      </c>
      <c r="J69" s="95" t="s">
        <v>861</v>
      </c>
      <c r="K69" s="97"/>
    </row>
    <row r="70" spans="1:11" ht="33.75" customHeight="1">
      <c r="A70" s="93">
        <v>68</v>
      </c>
      <c r="B70" s="94" t="s">
        <v>809</v>
      </c>
      <c r="C70" s="94" t="s">
        <v>905</v>
      </c>
      <c r="D70" s="98" t="s">
        <v>928</v>
      </c>
      <c r="E70" s="96" t="s">
        <v>795</v>
      </c>
      <c r="F70" s="95" t="s">
        <v>929</v>
      </c>
      <c r="G70" s="96" t="s">
        <v>809</v>
      </c>
      <c r="H70" s="93" t="s">
        <v>815</v>
      </c>
      <c r="I70" s="93">
        <v>0</v>
      </c>
      <c r="J70" s="95"/>
      <c r="K70" s="97"/>
    </row>
    <row r="71" spans="1:11" ht="33.75" customHeight="1">
      <c r="A71" s="93">
        <v>69</v>
      </c>
      <c r="B71" s="94" t="s">
        <v>809</v>
      </c>
      <c r="C71" s="94" t="s">
        <v>914</v>
      </c>
      <c r="D71" s="98" t="s">
        <v>930</v>
      </c>
      <c r="E71" s="96" t="s">
        <v>832</v>
      </c>
      <c r="F71" s="95" t="s">
        <v>931</v>
      </c>
      <c r="G71" s="96" t="s">
        <v>805</v>
      </c>
      <c r="H71" s="99" t="s">
        <v>810</v>
      </c>
      <c r="I71" s="93">
        <v>0</v>
      </c>
      <c r="J71" s="95"/>
      <c r="K71" s="97"/>
    </row>
    <row r="72" spans="1:11" ht="33.75" customHeight="1">
      <c r="A72" s="93">
        <v>70</v>
      </c>
      <c r="B72" s="94" t="s">
        <v>809</v>
      </c>
      <c r="C72" s="94" t="s">
        <v>914</v>
      </c>
      <c r="D72" s="98" t="s">
        <v>932</v>
      </c>
      <c r="E72" s="96" t="s">
        <v>795</v>
      </c>
      <c r="F72" s="95" t="s">
        <v>933</v>
      </c>
      <c r="G72" s="96" t="s">
        <v>805</v>
      </c>
      <c r="H72" s="99" t="s">
        <v>802</v>
      </c>
      <c r="I72" s="93">
        <v>0</v>
      </c>
      <c r="J72" s="95" t="s">
        <v>861</v>
      </c>
      <c r="K72" s="97"/>
    </row>
    <row r="73" spans="1:11" ht="33.75" customHeight="1">
      <c r="A73" s="93">
        <v>71</v>
      </c>
      <c r="B73" s="94" t="s">
        <v>809</v>
      </c>
      <c r="C73" s="94" t="s">
        <v>905</v>
      </c>
      <c r="D73" s="98" t="s">
        <v>928</v>
      </c>
      <c r="E73" s="96" t="s">
        <v>832</v>
      </c>
      <c r="F73" s="95" t="s">
        <v>934</v>
      </c>
      <c r="G73" s="96" t="s">
        <v>935</v>
      </c>
      <c r="H73" s="99" t="s">
        <v>834</v>
      </c>
      <c r="I73" s="93">
        <v>1</v>
      </c>
      <c r="J73" s="95"/>
      <c r="K73" s="97"/>
    </row>
    <row r="74" spans="1:11" ht="33.75" customHeight="1">
      <c r="A74" s="93">
        <v>72</v>
      </c>
      <c r="B74" s="94" t="s">
        <v>809</v>
      </c>
      <c r="C74" s="94" t="s">
        <v>905</v>
      </c>
      <c r="D74" s="95" t="s">
        <v>936</v>
      </c>
      <c r="E74" s="109" t="s">
        <v>832</v>
      </c>
      <c r="F74" s="95" t="s">
        <v>937</v>
      </c>
      <c r="G74" s="109" t="s">
        <v>935</v>
      </c>
      <c r="H74" s="99" t="s">
        <v>834</v>
      </c>
      <c r="I74" s="93">
        <v>1</v>
      </c>
      <c r="J74" s="95"/>
      <c r="K74" s="97"/>
    </row>
    <row r="75" spans="1:11" ht="33.75" customHeight="1">
      <c r="A75" s="93">
        <v>73</v>
      </c>
      <c r="B75" s="94" t="s">
        <v>809</v>
      </c>
      <c r="C75" s="94" t="s">
        <v>905</v>
      </c>
      <c r="D75" s="98" t="s">
        <v>866</v>
      </c>
      <c r="E75" s="96" t="s">
        <v>795</v>
      </c>
      <c r="F75" s="95" t="s">
        <v>938</v>
      </c>
      <c r="G75" s="96" t="s">
        <v>809</v>
      </c>
      <c r="H75" s="93" t="s">
        <v>802</v>
      </c>
      <c r="I75" s="93">
        <v>0</v>
      </c>
      <c r="J75" s="95" t="s">
        <v>939</v>
      </c>
      <c r="K75" s="97"/>
    </row>
    <row r="76" spans="1:11" ht="33.75" customHeight="1">
      <c r="A76" s="93">
        <v>74</v>
      </c>
      <c r="B76" s="94" t="s">
        <v>809</v>
      </c>
      <c r="C76" s="94" t="s">
        <v>905</v>
      </c>
      <c r="D76" s="98" t="s">
        <v>794</v>
      </c>
      <c r="E76" s="96" t="s">
        <v>795</v>
      </c>
      <c r="F76" s="95" t="s">
        <v>940</v>
      </c>
      <c r="G76" s="96" t="s">
        <v>809</v>
      </c>
      <c r="H76" s="93" t="s">
        <v>802</v>
      </c>
      <c r="I76" s="93">
        <v>0</v>
      </c>
      <c r="J76" s="95" t="s">
        <v>941</v>
      </c>
      <c r="K76" s="97"/>
    </row>
    <row r="77" spans="1:11" ht="33.75" customHeight="1">
      <c r="A77" s="93">
        <v>75</v>
      </c>
      <c r="B77" s="94" t="s">
        <v>809</v>
      </c>
      <c r="C77" s="94"/>
      <c r="D77" s="98" t="s">
        <v>866</v>
      </c>
      <c r="E77" s="96" t="s">
        <v>795</v>
      </c>
      <c r="F77" s="95" t="s">
        <v>942</v>
      </c>
      <c r="G77" s="96" t="s">
        <v>809</v>
      </c>
      <c r="H77" s="93" t="s">
        <v>802</v>
      </c>
      <c r="I77" s="93">
        <v>0</v>
      </c>
      <c r="J77" s="95" t="s">
        <v>943</v>
      </c>
      <c r="K77" s="97"/>
    </row>
    <row r="78" spans="1:11" ht="33.75" customHeight="1">
      <c r="A78" s="93">
        <v>76</v>
      </c>
      <c r="B78" s="94" t="s">
        <v>809</v>
      </c>
      <c r="C78" s="94" t="s">
        <v>793</v>
      </c>
      <c r="D78" s="98" t="s">
        <v>852</v>
      </c>
      <c r="E78" s="96" t="s">
        <v>795</v>
      </c>
      <c r="F78" s="95" t="s">
        <v>944</v>
      </c>
      <c r="G78" s="96" t="s">
        <v>805</v>
      </c>
      <c r="H78" s="93" t="s">
        <v>822</v>
      </c>
      <c r="I78" s="93">
        <v>0</v>
      </c>
      <c r="J78" s="95"/>
      <c r="K78" s="97"/>
    </row>
    <row r="79" spans="1:11" ht="33.75" customHeight="1">
      <c r="A79" s="93">
        <v>77</v>
      </c>
      <c r="B79" s="94" t="s">
        <v>809</v>
      </c>
      <c r="C79" s="94" t="s">
        <v>793</v>
      </c>
      <c r="D79" s="98" t="s">
        <v>945</v>
      </c>
      <c r="E79" s="109" t="s">
        <v>812</v>
      </c>
      <c r="F79" s="95" t="s">
        <v>946</v>
      </c>
      <c r="G79" s="96" t="s">
        <v>818</v>
      </c>
      <c r="H79" s="93" t="s">
        <v>947</v>
      </c>
      <c r="I79" s="93">
        <v>0</v>
      </c>
      <c r="J79" s="95"/>
      <c r="K79" s="97"/>
    </row>
    <row r="80" spans="1:11" ht="33.75" customHeight="1">
      <c r="A80" s="93">
        <v>78</v>
      </c>
      <c r="B80" s="94" t="s">
        <v>809</v>
      </c>
      <c r="C80" s="94" t="s">
        <v>793</v>
      </c>
      <c r="D80" s="98" t="s">
        <v>866</v>
      </c>
      <c r="E80" s="96" t="s">
        <v>795</v>
      </c>
      <c r="F80" s="95" t="s">
        <v>948</v>
      </c>
      <c r="G80" s="96" t="s">
        <v>809</v>
      </c>
      <c r="H80" s="93" t="s">
        <v>834</v>
      </c>
      <c r="I80" s="93">
        <v>0</v>
      </c>
      <c r="J80" s="95"/>
      <c r="K80" s="97"/>
    </row>
    <row r="81" spans="1:11" ht="33.75" customHeight="1">
      <c r="A81" s="93">
        <v>79</v>
      </c>
      <c r="B81" s="94" t="s">
        <v>809</v>
      </c>
      <c r="C81" s="94" t="s">
        <v>793</v>
      </c>
      <c r="D81" s="98" t="s">
        <v>949</v>
      </c>
      <c r="E81" s="96" t="s">
        <v>832</v>
      </c>
      <c r="F81" s="95" t="s">
        <v>950</v>
      </c>
      <c r="G81" s="96" t="s">
        <v>818</v>
      </c>
      <c r="H81" s="93" t="s">
        <v>822</v>
      </c>
      <c r="I81" s="93">
        <v>0</v>
      </c>
      <c r="J81" s="95"/>
      <c r="K81" s="97"/>
    </row>
    <row r="82" spans="1:11" ht="33.75" customHeight="1">
      <c r="A82" s="93">
        <v>80</v>
      </c>
      <c r="B82" s="94" t="s">
        <v>809</v>
      </c>
      <c r="C82" s="94" t="s">
        <v>793</v>
      </c>
      <c r="D82" s="98" t="s">
        <v>794</v>
      </c>
      <c r="E82" s="96" t="s">
        <v>832</v>
      </c>
      <c r="F82" s="95" t="s">
        <v>951</v>
      </c>
      <c r="G82" s="96" t="s">
        <v>809</v>
      </c>
      <c r="H82" s="93" t="s">
        <v>822</v>
      </c>
      <c r="I82" s="93">
        <v>0</v>
      </c>
      <c r="J82" s="95"/>
      <c r="K82" s="97"/>
    </row>
    <row r="83" spans="1:11" ht="33.75" customHeight="1">
      <c r="A83" s="93">
        <v>81</v>
      </c>
      <c r="B83" s="94" t="s">
        <v>809</v>
      </c>
      <c r="C83" s="94" t="s">
        <v>793</v>
      </c>
      <c r="D83" s="98" t="s">
        <v>866</v>
      </c>
      <c r="E83" s="96" t="s">
        <v>795</v>
      </c>
      <c r="F83" s="95" t="s">
        <v>952</v>
      </c>
      <c r="G83" s="96" t="s">
        <v>805</v>
      </c>
      <c r="H83" s="93" t="s">
        <v>822</v>
      </c>
      <c r="I83" s="93">
        <v>0</v>
      </c>
      <c r="J83" s="95"/>
      <c r="K83" s="97"/>
    </row>
    <row r="84" spans="1:11" ht="33.75" customHeight="1">
      <c r="A84" s="93">
        <v>82</v>
      </c>
      <c r="B84" s="94" t="s">
        <v>809</v>
      </c>
      <c r="C84" s="94" t="s">
        <v>905</v>
      </c>
      <c r="D84" s="98" t="s">
        <v>816</v>
      </c>
      <c r="E84" s="96" t="s">
        <v>832</v>
      </c>
      <c r="F84" s="95" t="s">
        <v>953</v>
      </c>
      <c r="G84" s="96" t="s">
        <v>838</v>
      </c>
      <c r="H84" s="93" t="s">
        <v>797</v>
      </c>
      <c r="I84" s="93">
        <v>1</v>
      </c>
      <c r="J84" s="95"/>
      <c r="K84" s="97"/>
    </row>
    <row r="85" spans="1:11" ht="33.75" customHeight="1">
      <c r="A85" s="93">
        <v>83</v>
      </c>
      <c r="B85" s="94" t="s">
        <v>809</v>
      </c>
      <c r="C85" s="94"/>
      <c r="D85" s="98" t="s">
        <v>866</v>
      </c>
      <c r="E85" s="96" t="s">
        <v>832</v>
      </c>
      <c r="F85" s="95" t="s">
        <v>954</v>
      </c>
      <c r="G85" s="96" t="s">
        <v>809</v>
      </c>
      <c r="H85" s="93" t="s">
        <v>797</v>
      </c>
      <c r="I85" s="93">
        <v>0</v>
      </c>
      <c r="J85" s="95"/>
      <c r="K85" s="97"/>
    </row>
    <row r="86" spans="1:11" ht="33.75" customHeight="1">
      <c r="A86" s="93">
        <v>84</v>
      </c>
      <c r="B86" s="94" t="s">
        <v>809</v>
      </c>
      <c r="C86" s="94" t="s">
        <v>905</v>
      </c>
      <c r="D86" s="98" t="s">
        <v>866</v>
      </c>
      <c r="E86" s="96" t="s">
        <v>795</v>
      </c>
      <c r="F86" s="95" t="s">
        <v>955</v>
      </c>
      <c r="G86" s="96" t="s">
        <v>818</v>
      </c>
      <c r="H86" s="99" t="s">
        <v>802</v>
      </c>
      <c r="I86" s="93">
        <v>0</v>
      </c>
      <c r="J86" s="95" t="s">
        <v>861</v>
      </c>
      <c r="K86" s="97"/>
    </row>
    <row r="87" spans="1:11" ht="33.75" customHeight="1">
      <c r="A87" s="93">
        <v>85</v>
      </c>
      <c r="B87" s="94" t="s">
        <v>809</v>
      </c>
      <c r="C87" s="94" t="s">
        <v>797</v>
      </c>
      <c r="D87" s="98" t="s">
        <v>836</v>
      </c>
      <c r="E87" s="96" t="s">
        <v>795</v>
      </c>
      <c r="F87" s="95" t="s">
        <v>956</v>
      </c>
      <c r="G87" s="96" t="s">
        <v>818</v>
      </c>
      <c r="H87" s="93" t="s">
        <v>797</v>
      </c>
      <c r="I87" s="93">
        <v>0</v>
      </c>
      <c r="J87" s="95" t="s">
        <v>957</v>
      </c>
      <c r="K87" s="97"/>
    </row>
    <row r="88" spans="1:11" ht="33.75" customHeight="1">
      <c r="A88" s="93">
        <v>86</v>
      </c>
      <c r="B88" s="94" t="s">
        <v>809</v>
      </c>
      <c r="C88" s="94" t="s">
        <v>958</v>
      </c>
      <c r="D88" s="98" t="s">
        <v>928</v>
      </c>
      <c r="E88" s="96" t="s">
        <v>795</v>
      </c>
      <c r="F88" s="95" t="s">
        <v>959</v>
      </c>
      <c r="G88" s="96" t="s">
        <v>809</v>
      </c>
      <c r="H88" s="93" t="s">
        <v>815</v>
      </c>
      <c r="I88" s="93">
        <v>0</v>
      </c>
      <c r="J88" s="95"/>
      <c r="K88" s="97"/>
    </row>
    <row r="89" spans="1:11" ht="33.75" customHeight="1">
      <c r="A89" s="93">
        <v>87</v>
      </c>
      <c r="B89" s="94" t="s">
        <v>809</v>
      </c>
      <c r="C89" s="94" t="s">
        <v>797</v>
      </c>
      <c r="D89" s="98" t="s">
        <v>960</v>
      </c>
      <c r="E89" s="96" t="s">
        <v>795</v>
      </c>
      <c r="F89" s="95" t="s">
        <v>961</v>
      </c>
      <c r="G89" s="96" t="s">
        <v>805</v>
      </c>
      <c r="H89" s="93" t="s">
        <v>797</v>
      </c>
      <c r="I89" s="93">
        <v>0</v>
      </c>
      <c r="J89" s="95"/>
      <c r="K89" s="97"/>
    </row>
    <row r="90" spans="1:11" ht="33.75" customHeight="1">
      <c r="A90" s="93">
        <v>88</v>
      </c>
      <c r="B90" s="94" t="s">
        <v>809</v>
      </c>
      <c r="C90" s="94" t="s">
        <v>797</v>
      </c>
      <c r="D90" s="98" t="s">
        <v>962</v>
      </c>
      <c r="E90" s="96" t="s">
        <v>795</v>
      </c>
      <c r="F90" s="95" t="s">
        <v>963</v>
      </c>
      <c r="G90" s="96" t="s">
        <v>964</v>
      </c>
      <c r="H90" s="99" t="s">
        <v>797</v>
      </c>
      <c r="I90" s="93">
        <v>2</v>
      </c>
      <c r="J90" s="95"/>
      <c r="K90" s="97"/>
    </row>
    <row r="91" spans="1:11" ht="33.75" customHeight="1">
      <c r="A91" s="93">
        <v>89</v>
      </c>
      <c r="B91" s="94" t="s">
        <v>809</v>
      </c>
      <c r="C91" s="94" t="s">
        <v>797</v>
      </c>
      <c r="D91" s="98" t="s">
        <v>873</v>
      </c>
      <c r="E91" s="96" t="s">
        <v>812</v>
      </c>
      <c r="F91" s="95" t="s">
        <v>965</v>
      </c>
      <c r="G91" s="96" t="s">
        <v>805</v>
      </c>
      <c r="H91" s="93" t="s">
        <v>797</v>
      </c>
      <c r="I91" s="93">
        <v>0</v>
      </c>
      <c r="J91" s="95" t="s">
        <v>966</v>
      </c>
      <c r="K91" s="97"/>
    </row>
    <row r="92" spans="1:11" ht="33.75" customHeight="1">
      <c r="A92" s="93">
        <v>90</v>
      </c>
      <c r="B92" s="109" t="s">
        <v>809</v>
      </c>
      <c r="C92" s="94" t="s">
        <v>905</v>
      </c>
      <c r="D92" s="95" t="s">
        <v>967</v>
      </c>
      <c r="E92" s="96" t="s">
        <v>795</v>
      </c>
      <c r="F92" s="95" t="s">
        <v>968</v>
      </c>
      <c r="G92" s="109" t="s">
        <v>805</v>
      </c>
      <c r="H92" s="99" t="s">
        <v>810</v>
      </c>
      <c r="I92" s="93">
        <v>0</v>
      </c>
      <c r="J92" s="95"/>
      <c r="K92" s="97"/>
    </row>
    <row r="93" spans="1:11" ht="33.75" customHeight="1">
      <c r="A93" s="93">
        <v>91</v>
      </c>
      <c r="B93" s="94" t="s">
        <v>809</v>
      </c>
      <c r="C93" s="94" t="s">
        <v>797</v>
      </c>
      <c r="D93" s="98" t="s">
        <v>969</v>
      </c>
      <c r="E93" s="96" t="s">
        <v>812</v>
      </c>
      <c r="F93" s="95" t="s">
        <v>970</v>
      </c>
      <c r="G93" s="96" t="s">
        <v>896</v>
      </c>
      <c r="H93" s="93" t="s">
        <v>971</v>
      </c>
      <c r="I93" s="93">
        <v>0</v>
      </c>
      <c r="J93" s="95"/>
      <c r="K93" s="97"/>
    </row>
    <row r="94" spans="1:11" ht="33.75" customHeight="1">
      <c r="A94" s="93">
        <v>92</v>
      </c>
      <c r="B94" s="94" t="s">
        <v>809</v>
      </c>
      <c r="C94" s="94"/>
      <c r="D94" s="98" t="s">
        <v>972</v>
      </c>
      <c r="E94" s="96" t="s">
        <v>795</v>
      </c>
      <c r="F94" s="95" t="s">
        <v>973</v>
      </c>
      <c r="G94" s="96" t="s">
        <v>818</v>
      </c>
      <c r="H94" s="99" t="s">
        <v>822</v>
      </c>
      <c r="I94" s="93">
        <v>0</v>
      </c>
      <c r="J94" s="95"/>
      <c r="K94" s="97"/>
    </row>
    <row r="95" spans="1:11" ht="33.75" customHeight="1">
      <c r="A95" s="93">
        <v>93</v>
      </c>
      <c r="B95" s="94" t="s">
        <v>809</v>
      </c>
      <c r="C95" s="94" t="s">
        <v>914</v>
      </c>
      <c r="D95" s="98" t="s">
        <v>918</v>
      </c>
      <c r="E95" s="96" t="s">
        <v>812</v>
      </c>
      <c r="F95" s="95" t="s">
        <v>974</v>
      </c>
      <c r="G95" s="96" t="s">
        <v>805</v>
      </c>
      <c r="H95" s="93" t="s">
        <v>815</v>
      </c>
      <c r="I95" s="93">
        <v>0</v>
      </c>
      <c r="J95" s="95"/>
      <c r="K95" s="97"/>
    </row>
    <row r="96" spans="1:11" ht="33.75" customHeight="1">
      <c r="A96" s="93">
        <v>94</v>
      </c>
      <c r="B96" s="94" t="s">
        <v>809</v>
      </c>
      <c r="C96" s="94" t="s">
        <v>822</v>
      </c>
      <c r="D96" s="98" t="s">
        <v>823</v>
      </c>
      <c r="E96" s="96" t="s">
        <v>795</v>
      </c>
      <c r="F96" s="95" t="s">
        <v>975</v>
      </c>
      <c r="G96" s="96" t="s">
        <v>809</v>
      </c>
      <c r="H96" s="93" t="s">
        <v>822</v>
      </c>
      <c r="I96" s="93">
        <v>0</v>
      </c>
      <c r="J96" s="95"/>
      <c r="K96" s="97"/>
    </row>
    <row r="97" spans="1:11" ht="33.75" customHeight="1">
      <c r="A97" s="93">
        <v>95</v>
      </c>
      <c r="B97" s="94" t="s">
        <v>809</v>
      </c>
      <c r="C97" s="94" t="s">
        <v>793</v>
      </c>
      <c r="D97" s="98" t="s">
        <v>827</v>
      </c>
      <c r="E97" s="96" t="s">
        <v>795</v>
      </c>
      <c r="F97" s="95" t="s">
        <v>976</v>
      </c>
      <c r="G97" s="96" t="s">
        <v>809</v>
      </c>
      <c r="H97" s="93" t="s">
        <v>822</v>
      </c>
      <c r="I97" s="93">
        <v>0</v>
      </c>
      <c r="J97" s="95"/>
      <c r="K97" s="97"/>
    </row>
    <row r="98" spans="1:11" ht="33.75" customHeight="1">
      <c r="A98" s="93">
        <v>96</v>
      </c>
      <c r="B98" s="94" t="s">
        <v>809</v>
      </c>
      <c r="C98" s="94" t="s">
        <v>793</v>
      </c>
      <c r="D98" s="98" t="s">
        <v>836</v>
      </c>
      <c r="E98" s="96" t="s">
        <v>832</v>
      </c>
      <c r="F98" s="95" t="s">
        <v>977</v>
      </c>
      <c r="G98" s="96" t="s">
        <v>978</v>
      </c>
      <c r="H98" s="93" t="s">
        <v>797</v>
      </c>
      <c r="I98" s="93">
        <v>2</v>
      </c>
      <c r="J98" s="95"/>
      <c r="K98" s="97"/>
    </row>
    <row r="99" spans="1:11" ht="33.75" customHeight="1">
      <c r="A99" s="93">
        <v>97</v>
      </c>
      <c r="B99" s="94" t="s">
        <v>809</v>
      </c>
      <c r="C99" s="94" t="s">
        <v>793</v>
      </c>
      <c r="D99" s="98" t="s">
        <v>794</v>
      </c>
      <c r="E99" s="96" t="s">
        <v>795</v>
      </c>
      <c r="F99" s="95" t="s">
        <v>979</v>
      </c>
      <c r="G99" s="96" t="s">
        <v>805</v>
      </c>
      <c r="H99" s="99" t="s">
        <v>815</v>
      </c>
      <c r="I99" s="93">
        <v>0</v>
      </c>
      <c r="J99" s="95"/>
      <c r="K99" s="97"/>
    </row>
    <row r="100" spans="1:11" ht="33.75" customHeight="1">
      <c r="A100" s="93">
        <v>98</v>
      </c>
      <c r="B100" s="94" t="s">
        <v>805</v>
      </c>
      <c r="C100" s="94" t="s">
        <v>802</v>
      </c>
      <c r="D100" s="98" t="s">
        <v>856</v>
      </c>
      <c r="E100" s="96" t="s">
        <v>795</v>
      </c>
      <c r="F100" s="95" t="s">
        <v>980</v>
      </c>
      <c r="G100" s="96" t="s">
        <v>896</v>
      </c>
      <c r="H100" s="99" t="s">
        <v>834</v>
      </c>
      <c r="I100" s="93">
        <v>0</v>
      </c>
      <c r="J100" s="95"/>
      <c r="K100" s="97"/>
    </row>
    <row r="101" spans="1:11" ht="33.75" customHeight="1">
      <c r="A101" s="93">
        <v>99</v>
      </c>
      <c r="B101" s="94" t="s">
        <v>981</v>
      </c>
      <c r="C101" s="94" t="s">
        <v>793</v>
      </c>
      <c r="D101" s="98" t="s">
        <v>982</v>
      </c>
      <c r="E101" s="96" t="s">
        <v>832</v>
      </c>
      <c r="F101" s="95" t="s">
        <v>983</v>
      </c>
      <c r="G101" s="96" t="s">
        <v>818</v>
      </c>
      <c r="H101" s="99" t="s">
        <v>815</v>
      </c>
      <c r="I101" s="93">
        <v>0</v>
      </c>
      <c r="J101" s="95"/>
      <c r="K101" s="97"/>
    </row>
    <row r="102" spans="1:11" ht="33.75" customHeight="1">
      <c r="A102" s="93">
        <v>100</v>
      </c>
      <c r="B102" s="94" t="s">
        <v>805</v>
      </c>
      <c r="C102" s="94" t="s">
        <v>905</v>
      </c>
      <c r="D102" s="98" t="s">
        <v>866</v>
      </c>
      <c r="E102" s="96" t="s">
        <v>795</v>
      </c>
      <c r="F102" s="95" t="s">
        <v>984</v>
      </c>
      <c r="G102" s="96" t="s">
        <v>818</v>
      </c>
      <c r="H102" s="99" t="s">
        <v>815</v>
      </c>
      <c r="I102" s="93">
        <v>0</v>
      </c>
      <c r="J102" s="95"/>
      <c r="K102" s="97"/>
    </row>
    <row r="103" spans="1:11" ht="33.75" customHeight="1">
      <c r="A103" s="93">
        <v>101</v>
      </c>
      <c r="B103" s="94" t="s">
        <v>805</v>
      </c>
      <c r="C103" s="94" t="s">
        <v>793</v>
      </c>
      <c r="D103" s="98"/>
      <c r="E103" s="96" t="s">
        <v>812</v>
      </c>
      <c r="F103" s="95" t="s">
        <v>985</v>
      </c>
      <c r="G103" s="96" t="s">
        <v>896</v>
      </c>
      <c r="H103" s="93" t="s">
        <v>897</v>
      </c>
      <c r="I103" s="93">
        <v>0</v>
      </c>
      <c r="J103" s="95" t="s">
        <v>986</v>
      </c>
      <c r="K103" s="97"/>
    </row>
    <row r="104" spans="1:11" s="108" customFormat="1" ht="29.25" customHeight="1">
      <c r="A104" s="93">
        <v>102</v>
      </c>
      <c r="B104" s="94" t="s">
        <v>805</v>
      </c>
      <c r="C104" s="94" t="s">
        <v>793</v>
      </c>
      <c r="D104" s="107" t="s">
        <v>827</v>
      </c>
      <c r="E104" s="96" t="s">
        <v>812</v>
      </c>
      <c r="F104" s="95" t="s">
        <v>987</v>
      </c>
      <c r="G104" s="96" t="s">
        <v>805</v>
      </c>
      <c r="H104" s="93" t="s">
        <v>815</v>
      </c>
      <c r="I104" s="93">
        <v>0</v>
      </c>
      <c r="J104" s="95"/>
      <c r="K104" s="97"/>
    </row>
    <row r="105" spans="1:11" s="108" customFormat="1" ht="29.25" customHeight="1">
      <c r="A105" s="93">
        <v>103</v>
      </c>
      <c r="B105" s="94" t="s">
        <v>805</v>
      </c>
      <c r="C105" s="94" t="s">
        <v>793</v>
      </c>
      <c r="D105" s="107" t="s">
        <v>988</v>
      </c>
      <c r="E105" s="96" t="s">
        <v>812</v>
      </c>
      <c r="F105" s="95" t="s">
        <v>989</v>
      </c>
      <c r="G105" s="96" t="s">
        <v>805</v>
      </c>
      <c r="H105" s="93" t="s">
        <v>815</v>
      </c>
      <c r="I105" s="93">
        <v>0</v>
      </c>
      <c r="J105" s="95"/>
      <c r="K105" s="97"/>
    </row>
    <row r="106" spans="1:11" s="108" customFormat="1" ht="29.25" customHeight="1">
      <c r="A106" s="93">
        <v>104</v>
      </c>
      <c r="B106" s="94" t="s">
        <v>805</v>
      </c>
      <c r="C106" s="94" t="s">
        <v>793</v>
      </c>
      <c r="D106" s="107" t="s">
        <v>982</v>
      </c>
      <c r="E106" s="96" t="s">
        <v>795</v>
      </c>
      <c r="F106" s="95" t="s">
        <v>990</v>
      </c>
      <c r="G106" s="96" t="s">
        <v>818</v>
      </c>
      <c r="H106" s="93" t="s">
        <v>815</v>
      </c>
      <c r="I106" s="93">
        <v>0</v>
      </c>
      <c r="J106" s="95" t="s">
        <v>991</v>
      </c>
      <c r="K106" s="97"/>
    </row>
    <row r="107" spans="1:11" s="108" customFormat="1" ht="29.25" customHeight="1">
      <c r="A107" s="93">
        <v>105</v>
      </c>
      <c r="B107" s="94" t="s">
        <v>805</v>
      </c>
      <c r="C107" s="94" t="s">
        <v>793</v>
      </c>
      <c r="D107" s="107" t="s">
        <v>856</v>
      </c>
      <c r="E107" s="96" t="s">
        <v>795</v>
      </c>
      <c r="F107" s="95" t="s">
        <v>992</v>
      </c>
      <c r="G107" s="96" t="s">
        <v>896</v>
      </c>
      <c r="H107" s="93" t="s">
        <v>802</v>
      </c>
      <c r="I107" s="93">
        <v>0</v>
      </c>
      <c r="J107" s="95" t="s">
        <v>861</v>
      </c>
      <c r="K107" s="97"/>
    </row>
    <row r="108" spans="1:11" ht="29.25" customHeight="1">
      <c r="A108" s="93">
        <v>106</v>
      </c>
      <c r="B108" s="94" t="s">
        <v>805</v>
      </c>
      <c r="C108" s="94" t="s">
        <v>793</v>
      </c>
      <c r="D108" s="98" t="s">
        <v>856</v>
      </c>
      <c r="E108" s="96" t="s">
        <v>812</v>
      </c>
      <c r="F108" s="95" t="s">
        <v>993</v>
      </c>
      <c r="G108" s="96" t="s">
        <v>845</v>
      </c>
      <c r="H108" s="93" t="s">
        <v>822</v>
      </c>
      <c r="I108" s="93">
        <v>0</v>
      </c>
      <c r="J108" s="110" t="s">
        <v>994</v>
      </c>
      <c r="K108" s="97"/>
    </row>
    <row r="109" spans="1:11" ht="29.25" customHeight="1">
      <c r="A109" s="93">
        <v>107</v>
      </c>
      <c r="B109" s="94" t="s">
        <v>805</v>
      </c>
      <c r="C109" s="94" t="s">
        <v>793</v>
      </c>
      <c r="D109" s="98" t="s">
        <v>995</v>
      </c>
      <c r="E109" s="96" t="s">
        <v>832</v>
      </c>
      <c r="F109" s="95" t="s">
        <v>996</v>
      </c>
      <c r="G109" s="96" t="s">
        <v>896</v>
      </c>
      <c r="H109" s="93" t="s">
        <v>834</v>
      </c>
      <c r="I109" s="93">
        <v>0</v>
      </c>
      <c r="J109" s="95" t="s">
        <v>997</v>
      </c>
      <c r="K109" s="97"/>
    </row>
    <row r="110" spans="1:11" ht="29.25" customHeight="1">
      <c r="A110" s="93">
        <v>108</v>
      </c>
      <c r="B110" s="94" t="s">
        <v>805</v>
      </c>
      <c r="C110" s="94" t="s">
        <v>793</v>
      </c>
      <c r="D110" s="98" t="s">
        <v>873</v>
      </c>
      <c r="E110" s="96" t="s">
        <v>795</v>
      </c>
      <c r="F110" s="95" t="s">
        <v>998</v>
      </c>
      <c r="G110" s="96" t="s">
        <v>999</v>
      </c>
      <c r="H110" s="93" t="s">
        <v>797</v>
      </c>
      <c r="I110" s="93">
        <v>0</v>
      </c>
      <c r="J110" s="110" t="s">
        <v>1000</v>
      </c>
      <c r="K110" s="97"/>
    </row>
    <row r="111" spans="1:11" ht="29.25" customHeight="1">
      <c r="A111" s="93">
        <v>109</v>
      </c>
      <c r="B111" s="94" t="s">
        <v>805</v>
      </c>
      <c r="C111" s="94" t="s">
        <v>793</v>
      </c>
      <c r="D111" s="98" t="s">
        <v>1001</v>
      </c>
      <c r="E111" s="96" t="s">
        <v>832</v>
      </c>
      <c r="F111" s="95" t="s">
        <v>1002</v>
      </c>
      <c r="G111" s="96" t="s">
        <v>818</v>
      </c>
      <c r="H111" s="93" t="s">
        <v>958</v>
      </c>
      <c r="I111" s="93">
        <v>0</v>
      </c>
      <c r="J111" s="95" t="s">
        <v>1003</v>
      </c>
      <c r="K111" s="97"/>
    </row>
    <row r="112" spans="1:11" ht="29.25" customHeight="1">
      <c r="A112" s="93">
        <v>110</v>
      </c>
      <c r="B112" s="94" t="s">
        <v>805</v>
      </c>
      <c r="C112" s="94" t="s">
        <v>793</v>
      </c>
      <c r="D112" s="98" t="s">
        <v>1001</v>
      </c>
      <c r="E112" s="96" t="s">
        <v>795</v>
      </c>
      <c r="F112" s="95" t="s">
        <v>1004</v>
      </c>
      <c r="G112" s="96" t="s">
        <v>1005</v>
      </c>
      <c r="H112" s="93" t="s">
        <v>810</v>
      </c>
      <c r="I112" s="93">
        <v>1</v>
      </c>
      <c r="J112" s="95"/>
      <c r="K112" s="97"/>
    </row>
    <row r="113" spans="1:11" ht="72.75" customHeight="1">
      <c r="A113" s="93">
        <v>111</v>
      </c>
      <c r="B113" s="94" t="s">
        <v>805</v>
      </c>
      <c r="C113" s="94" t="s">
        <v>793</v>
      </c>
      <c r="D113" s="98" t="s">
        <v>1001</v>
      </c>
      <c r="E113" s="96" t="s">
        <v>812</v>
      </c>
      <c r="F113" s="95" t="s">
        <v>1006</v>
      </c>
      <c r="G113" s="96" t="s">
        <v>896</v>
      </c>
      <c r="H113" s="93" t="s">
        <v>815</v>
      </c>
      <c r="I113" s="93">
        <v>0</v>
      </c>
      <c r="J113" s="95" t="s">
        <v>1007</v>
      </c>
      <c r="K113" s="97"/>
    </row>
    <row r="114" spans="1:11" ht="29.25" customHeight="1">
      <c r="A114" s="93">
        <v>112</v>
      </c>
      <c r="B114" s="94" t="s">
        <v>805</v>
      </c>
      <c r="C114" s="94" t="s">
        <v>793</v>
      </c>
      <c r="D114" s="98" t="s">
        <v>1008</v>
      </c>
      <c r="E114" s="96" t="s">
        <v>812</v>
      </c>
      <c r="F114" s="95" t="s">
        <v>1009</v>
      </c>
      <c r="G114" s="96" t="s">
        <v>818</v>
      </c>
      <c r="H114" s="93" t="s">
        <v>834</v>
      </c>
      <c r="I114" s="93">
        <v>0</v>
      </c>
      <c r="J114" s="95"/>
      <c r="K114" s="97"/>
    </row>
    <row r="115" spans="1:11" ht="29.25" customHeight="1">
      <c r="A115" s="93">
        <v>113</v>
      </c>
      <c r="B115" s="94" t="s">
        <v>805</v>
      </c>
      <c r="C115" s="94" t="s">
        <v>793</v>
      </c>
      <c r="D115" s="98" t="s">
        <v>866</v>
      </c>
      <c r="E115" s="96" t="s">
        <v>795</v>
      </c>
      <c r="F115" s="95" t="s">
        <v>1010</v>
      </c>
      <c r="G115" s="96" t="s">
        <v>818</v>
      </c>
      <c r="H115" s="93" t="s">
        <v>958</v>
      </c>
      <c r="I115" s="93">
        <v>0</v>
      </c>
      <c r="J115" s="95" t="s">
        <v>1011</v>
      </c>
      <c r="K115" s="97"/>
    </row>
    <row r="116" spans="1:11" ht="29.25" customHeight="1">
      <c r="A116" s="93">
        <v>114</v>
      </c>
      <c r="B116" s="94" t="s">
        <v>805</v>
      </c>
      <c r="C116" s="94" t="s">
        <v>793</v>
      </c>
      <c r="D116" s="98" t="s">
        <v>1012</v>
      </c>
      <c r="E116" s="96" t="s">
        <v>812</v>
      </c>
      <c r="F116" s="95" t="s">
        <v>1013</v>
      </c>
      <c r="G116" s="96" t="s">
        <v>818</v>
      </c>
      <c r="H116" s="93" t="s">
        <v>822</v>
      </c>
      <c r="I116" s="93">
        <v>0</v>
      </c>
      <c r="J116" s="95"/>
      <c r="K116" s="97"/>
    </row>
    <row r="117" spans="1:11" ht="29.25" customHeight="1">
      <c r="A117" s="93">
        <v>115</v>
      </c>
      <c r="B117" s="94" t="s">
        <v>805</v>
      </c>
      <c r="C117" s="94" t="s">
        <v>793</v>
      </c>
      <c r="D117" s="98" t="s">
        <v>1001</v>
      </c>
      <c r="E117" s="96" t="s">
        <v>812</v>
      </c>
      <c r="F117" s="95" t="s">
        <v>1014</v>
      </c>
      <c r="G117" s="96" t="s">
        <v>805</v>
      </c>
      <c r="H117" s="93" t="s">
        <v>810</v>
      </c>
      <c r="I117" s="93">
        <v>0</v>
      </c>
      <c r="J117" s="95"/>
      <c r="K117" s="97"/>
    </row>
    <row r="118" spans="1:11" ht="29.25" customHeight="1">
      <c r="A118" s="93">
        <v>116</v>
      </c>
      <c r="B118" s="94" t="s">
        <v>805</v>
      </c>
      <c r="C118" s="94" t="s">
        <v>793</v>
      </c>
      <c r="D118" s="98" t="s">
        <v>1001</v>
      </c>
      <c r="E118" s="96" t="s">
        <v>795</v>
      </c>
      <c r="F118" s="95" t="s">
        <v>1015</v>
      </c>
      <c r="G118" s="96" t="s">
        <v>818</v>
      </c>
      <c r="H118" s="93" t="s">
        <v>958</v>
      </c>
      <c r="I118" s="93">
        <v>0</v>
      </c>
      <c r="J118" s="95" t="s">
        <v>1016</v>
      </c>
      <c r="K118" s="97"/>
    </row>
    <row r="119" spans="1:11" ht="29.25" customHeight="1">
      <c r="A119" s="93">
        <v>117</v>
      </c>
      <c r="B119" s="94" t="s">
        <v>805</v>
      </c>
      <c r="C119" s="94" t="s">
        <v>793</v>
      </c>
      <c r="D119" s="98" t="s">
        <v>932</v>
      </c>
      <c r="E119" s="96" t="s">
        <v>795</v>
      </c>
      <c r="F119" s="95" t="s">
        <v>1017</v>
      </c>
      <c r="G119" s="96" t="s">
        <v>1005</v>
      </c>
      <c r="H119" s="93" t="s">
        <v>810</v>
      </c>
      <c r="I119" s="93">
        <v>1</v>
      </c>
      <c r="J119" s="95" t="s">
        <v>1018</v>
      </c>
      <c r="K119" s="97"/>
    </row>
    <row r="120" spans="1:11" ht="41.25" customHeight="1">
      <c r="A120" s="93">
        <v>118</v>
      </c>
      <c r="B120" s="94" t="s">
        <v>805</v>
      </c>
      <c r="C120" s="94" t="s">
        <v>793</v>
      </c>
      <c r="D120" s="98" t="s">
        <v>1019</v>
      </c>
      <c r="E120" s="96" t="s">
        <v>795</v>
      </c>
      <c r="F120" s="95" t="s">
        <v>1020</v>
      </c>
      <c r="G120" s="96" t="s">
        <v>818</v>
      </c>
      <c r="H120" s="93" t="s">
        <v>958</v>
      </c>
      <c r="I120" s="93">
        <v>0</v>
      </c>
      <c r="J120" s="95" t="s">
        <v>1011</v>
      </c>
      <c r="K120" s="97"/>
    </row>
    <row r="121" spans="1:11" ht="29.25" customHeight="1">
      <c r="A121" s="93">
        <v>119</v>
      </c>
      <c r="B121" s="94" t="s">
        <v>805</v>
      </c>
      <c r="C121" s="94" t="s">
        <v>793</v>
      </c>
      <c r="D121" s="98" t="s">
        <v>820</v>
      </c>
      <c r="E121" s="96" t="s">
        <v>812</v>
      </c>
      <c r="F121" s="95" t="s">
        <v>1021</v>
      </c>
      <c r="G121" s="96" t="s">
        <v>845</v>
      </c>
      <c r="H121" s="93" t="s">
        <v>797</v>
      </c>
      <c r="I121" s="93">
        <v>0</v>
      </c>
      <c r="J121" s="95" t="s">
        <v>1022</v>
      </c>
      <c r="K121" s="97"/>
    </row>
    <row r="122" spans="1:11" ht="29.25" customHeight="1">
      <c r="A122" s="93">
        <v>120</v>
      </c>
      <c r="B122" s="94" t="s">
        <v>805</v>
      </c>
      <c r="C122" s="94" t="s">
        <v>793</v>
      </c>
      <c r="D122" s="98" t="s">
        <v>932</v>
      </c>
      <c r="E122" s="96" t="s">
        <v>812</v>
      </c>
      <c r="F122" s="95" t="s">
        <v>1023</v>
      </c>
      <c r="G122" s="96" t="s">
        <v>896</v>
      </c>
      <c r="H122" s="93" t="s">
        <v>822</v>
      </c>
      <c r="I122" s="93">
        <v>0</v>
      </c>
      <c r="J122" s="95" t="s">
        <v>1024</v>
      </c>
      <c r="K122" s="97"/>
    </row>
    <row r="123" spans="1:11" ht="29.25" customHeight="1">
      <c r="A123" s="93">
        <v>121</v>
      </c>
      <c r="B123" s="94" t="s">
        <v>805</v>
      </c>
      <c r="C123" s="94" t="s">
        <v>793</v>
      </c>
      <c r="D123" s="98" t="s">
        <v>932</v>
      </c>
      <c r="E123" s="96" t="s">
        <v>795</v>
      </c>
      <c r="F123" s="95" t="s">
        <v>1025</v>
      </c>
      <c r="G123" s="96"/>
      <c r="H123" s="93" t="s">
        <v>797</v>
      </c>
      <c r="I123" s="93">
        <v>2</v>
      </c>
      <c r="J123" s="95" t="s">
        <v>1456</v>
      </c>
      <c r="K123" s="97"/>
    </row>
    <row r="124" spans="1:11" ht="29.25" customHeight="1">
      <c r="A124" s="93">
        <v>122</v>
      </c>
      <c r="B124" s="94" t="s">
        <v>896</v>
      </c>
      <c r="C124" s="94" t="s">
        <v>793</v>
      </c>
      <c r="D124" s="98" t="s">
        <v>794</v>
      </c>
      <c r="E124" s="96" t="s">
        <v>832</v>
      </c>
      <c r="F124" s="95" t="s">
        <v>1026</v>
      </c>
      <c r="G124" s="96" t="s">
        <v>896</v>
      </c>
      <c r="H124" s="93" t="s">
        <v>834</v>
      </c>
      <c r="I124" s="93">
        <v>0</v>
      </c>
      <c r="J124" s="95"/>
      <c r="K124" s="97"/>
    </row>
    <row r="125" spans="1:11" ht="29.25" customHeight="1">
      <c r="A125" s="93">
        <v>123</v>
      </c>
      <c r="B125" s="94" t="s">
        <v>896</v>
      </c>
      <c r="C125" s="94" t="s">
        <v>793</v>
      </c>
      <c r="D125" s="98" t="s">
        <v>1027</v>
      </c>
      <c r="E125" s="96" t="s">
        <v>832</v>
      </c>
      <c r="F125" s="95" t="s">
        <v>1028</v>
      </c>
      <c r="G125" s="96" t="s">
        <v>896</v>
      </c>
      <c r="H125" s="93" t="s">
        <v>834</v>
      </c>
      <c r="I125" s="93">
        <v>0</v>
      </c>
      <c r="J125" s="95"/>
      <c r="K125" s="97"/>
    </row>
    <row r="126" spans="1:11" ht="29.25" customHeight="1">
      <c r="A126" s="93">
        <v>124</v>
      </c>
      <c r="B126" s="94" t="s">
        <v>896</v>
      </c>
      <c r="C126" s="94" t="s">
        <v>797</v>
      </c>
      <c r="D126" s="98" t="s">
        <v>836</v>
      </c>
      <c r="E126" s="96" t="s">
        <v>812</v>
      </c>
      <c r="F126" s="95" t="s">
        <v>1029</v>
      </c>
      <c r="G126" s="96" t="s">
        <v>896</v>
      </c>
      <c r="H126" s="93" t="s">
        <v>834</v>
      </c>
      <c r="I126" s="93">
        <v>0</v>
      </c>
      <c r="J126" s="95" t="s">
        <v>1030</v>
      </c>
      <c r="K126" s="97"/>
    </row>
    <row r="127" spans="1:11" ht="29.25" customHeight="1">
      <c r="A127" s="93">
        <v>125</v>
      </c>
      <c r="B127" s="94" t="s">
        <v>896</v>
      </c>
      <c r="C127" s="94" t="s">
        <v>793</v>
      </c>
      <c r="D127" s="98" t="s">
        <v>988</v>
      </c>
      <c r="E127" s="96" t="s">
        <v>832</v>
      </c>
      <c r="F127" s="95" t="s">
        <v>1031</v>
      </c>
      <c r="G127" s="96" t="s">
        <v>896</v>
      </c>
      <c r="H127" s="93" t="s">
        <v>822</v>
      </c>
      <c r="I127" s="93">
        <v>0</v>
      </c>
      <c r="J127" s="95"/>
      <c r="K127" s="97"/>
    </row>
    <row r="128" spans="1:11" ht="29.25" customHeight="1">
      <c r="A128" s="93">
        <v>126</v>
      </c>
      <c r="B128" s="94" t="s">
        <v>896</v>
      </c>
      <c r="C128" s="94" t="s">
        <v>793</v>
      </c>
      <c r="D128" s="98" t="s">
        <v>915</v>
      </c>
      <c r="E128" s="96" t="s">
        <v>832</v>
      </c>
      <c r="F128" s="95" t="s">
        <v>1032</v>
      </c>
      <c r="G128" s="96" t="s">
        <v>896</v>
      </c>
      <c r="H128" s="93" t="s">
        <v>822</v>
      </c>
      <c r="I128" s="93">
        <v>0</v>
      </c>
      <c r="J128" s="95"/>
      <c r="K128" s="97"/>
    </row>
    <row r="129" spans="1:11" ht="29.25" customHeight="1">
      <c r="A129" s="93">
        <v>127</v>
      </c>
      <c r="B129" s="94" t="s">
        <v>896</v>
      </c>
      <c r="C129" s="94" t="s">
        <v>793</v>
      </c>
      <c r="D129" s="98" t="s">
        <v>988</v>
      </c>
      <c r="E129" s="96" t="s">
        <v>812</v>
      </c>
      <c r="F129" s="95" t="s">
        <v>1033</v>
      </c>
      <c r="G129" s="96" t="s">
        <v>896</v>
      </c>
      <c r="H129" s="93" t="s">
        <v>822</v>
      </c>
      <c r="I129" s="93">
        <v>0</v>
      </c>
      <c r="J129" s="95"/>
      <c r="K129" s="97"/>
    </row>
    <row r="130" spans="1:11" ht="29.25" customHeight="1">
      <c r="A130" s="93">
        <v>128</v>
      </c>
      <c r="B130" s="94" t="s">
        <v>896</v>
      </c>
      <c r="C130" s="94" t="s">
        <v>793</v>
      </c>
      <c r="D130" s="98" t="s">
        <v>823</v>
      </c>
      <c r="E130" s="96" t="s">
        <v>832</v>
      </c>
      <c r="F130" s="95" t="s">
        <v>1034</v>
      </c>
      <c r="G130" s="96" t="s">
        <v>896</v>
      </c>
      <c r="H130" s="93" t="s">
        <v>822</v>
      </c>
      <c r="I130" s="93">
        <v>0</v>
      </c>
      <c r="J130" s="95"/>
      <c r="K130" s="97"/>
    </row>
    <row r="131" spans="1:11" ht="29.25" customHeight="1">
      <c r="A131" s="93">
        <v>129</v>
      </c>
      <c r="B131" s="94" t="s">
        <v>896</v>
      </c>
      <c r="C131" s="94" t="s">
        <v>793</v>
      </c>
      <c r="D131" s="98" t="s">
        <v>823</v>
      </c>
      <c r="E131" s="96" t="s">
        <v>832</v>
      </c>
      <c r="F131" s="95" t="s">
        <v>1035</v>
      </c>
      <c r="G131" s="96" t="s">
        <v>896</v>
      </c>
      <c r="H131" s="93" t="s">
        <v>822</v>
      </c>
      <c r="I131" s="93">
        <v>0</v>
      </c>
      <c r="J131" s="95"/>
      <c r="K131" s="97"/>
    </row>
    <row r="132" spans="1:11" ht="29.25" customHeight="1">
      <c r="A132" s="93">
        <v>130</v>
      </c>
      <c r="B132" s="94" t="s">
        <v>896</v>
      </c>
      <c r="C132" s="94" t="s">
        <v>793</v>
      </c>
      <c r="D132" s="98" t="s">
        <v>982</v>
      </c>
      <c r="E132" s="96" t="s">
        <v>812</v>
      </c>
      <c r="F132" s="95" t="s">
        <v>1036</v>
      </c>
      <c r="G132" s="96" t="s">
        <v>896</v>
      </c>
      <c r="H132" s="93" t="s">
        <v>834</v>
      </c>
      <c r="I132" s="93">
        <v>0</v>
      </c>
      <c r="J132" s="95"/>
      <c r="K132" s="97"/>
    </row>
    <row r="133" spans="1:11" ht="29.25" customHeight="1">
      <c r="A133" s="93">
        <v>131</v>
      </c>
      <c r="B133" s="94" t="s">
        <v>896</v>
      </c>
      <c r="C133" s="94" t="s">
        <v>905</v>
      </c>
      <c r="D133" s="98" t="s">
        <v>866</v>
      </c>
      <c r="E133" s="96" t="s">
        <v>832</v>
      </c>
      <c r="F133" s="95" t="s">
        <v>1037</v>
      </c>
      <c r="G133" s="96" t="s">
        <v>838</v>
      </c>
      <c r="H133" s="93" t="s">
        <v>802</v>
      </c>
      <c r="I133" s="93">
        <v>0</v>
      </c>
      <c r="J133" s="95"/>
      <c r="K133" s="97"/>
    </row>
    <row r="134" spans="1:11" ht="29.25" customHeight="1">
      <c r="A134" s="93">
        <v>132</v>
      </c>
      <c r="B134" s="94" t="s">
        <v>896</v>
      </c>
      <c r="C134" s="94" t="s">
        <v>793</v>
      </c>
      <c r="D134" s="98" t="s">
        <v>1027</v>
      </c>
      <c r="E134" s="96" t="s">
        <v>795</v>
      </c>
      <c r="F134" s="95" t="s">
        <v>1038</v>
      </c>
      <c r="G134" s="96" t="s">
        <v>1005</v>
      </c>
      <c r="H134" s="93" t="s">
        <v>822</v>
      </c>
      <c r="I134" s="93">
        <v>1</v>
      </c>
      <c r="J134" s="95" t="s">
        <v>1039</v>
      </c>
      <c r="K134" s="97"/>
    </row>
    <row r="135" spans="1:11" ht="29.25" customHeight="1">
      <c r="A135" s="93">
        <v>133</v>
      </c>
      <c r="B135" s="94" t="s">
        <v>896</v>
      </c>
      <c r="C135" s="94" t="s">
        <v>793</v>
      </c>
      <c r="D135" s="98" t="s">
        <v>820</v>
      </c>
      <c r="E135" s="96" t="s">
        <v>795</v>
      </c>
      <c r="F135" s="95" t="s">
        <v>1040</v>
      </c>
      <c r="G135" s="96"/>
      <c r="H135" s="93" t="s">
        <v>822</v>
      </c>
      <c r="I135" s="93">
        <v>2</v>
      </c>
      <c r="J135" s="95" t="s">
        <v>1456</v>
      </c>
      <c r="K135" s="97"/>
    </row>
    <row r="136" spans="1:11" ht="29.25" customHeight="1">
      <c r="A136" s="93">
        <v>134</v>
      </c>
      <c r="B136" s="94" t="s">
        <v>896</v>
      </c>
      <c r="C136" s="94" t="s">
        <v>793</v>
      </c>
      <c r="D136" s="98" t="s">
        <v>823</v>
      </c>
      <c r="E136" s="96" t="s">
        <v>812</v>
      </c>
      <c r="F136" s="95" t="s">
        <v>1041</v>
      </c>
      <c r="G136" s="96" t="s">
        <v>896</v>
      </c>
      <c r="H136" s="93" t="s">
        <v>822</v>
      </c>
      <c r="I136" s="93">
        <v>0</v>
      </c>
      <c r="J136" s="95"/>
      <c r="K136" s="97"/>
    </row>
    <row r="137" spans="1:11" ht="27">
      <c r="A137" s="93">
        <v>135</v>
      </c>
      <c r="B137" s="94" t="s">
        <v>896</v>
      </c>
      <c r="C137" s="94" t="s">
        <v>793</v>
      </c>
      <c r="D137" s="98" t="s">
        <v>1042</v>
      </c>
      <c r="E137" s="96" t="s">
        <v>812</v>
      </c>
      <c r="F137" s="95" t="s">
        <v>1043</v>
      </c>
      <c r="G137" s="96" t="s">
        <v>1044</v>
      </c>
      <c r="H137" s="93" t="s">
        <v>834</v>
      </c>
      <c r="I137" s="93">
        <v>0</v>
      </c>
      <c r="J137" s="95"/>
      <c r="K137" s="97"/>
    </row>
    <row r="138" spans="1:11" ht="29.25" customHeight="1">
      <c r="A138" s="93">
        <v>136</v>
      </c>
      <c r="B138" s="94" t="s">
        <v>896</v>
      </c>
      <c r="C138" s="94" t="s">
        <v>793</v>
      </c>
      <c r="D138" s="98" t="s">
        <v>823</v>
      </c>
      <c r="E138" s="96" t="s">
        <v>795</v>
      </c>
      <c r="F138" s="95" t="s">
        <v>1045</v>
      </c>
      <c r="G138" s="96"/>
      <c r="H138" s="93" t="s">
        <v>822</v>
      </c>
      <c r="I138" s="93">
        <v>1</v>
      </c>
      <c r="J138" s="95" t="s">
        <v>1456</v>
      </c>
      <c r="K138" s="97"/>
    </row>
    <row r="139" spans="1:11" s="106" customFormat="1" ht="29.25" customHeight="1">
      <c r="A139" s="93">
        <v>137</v>
      </c>
      <c r="B139" s="101" t="s">
        <v>845</v>
      </c>
      <c r="C139" s="101" t="s">
        <v>802</v>
      </c>
      <c r="D139" s="102" t="s">
        <v>1001</v>
      </c>
      <c r="E139" s="103" t="s">
        <v>812</v>
      </c>
      <c r="F139" s="104" t="s">
        <v>1046</v>
      </c>
      <c r="G139" s="103" t="s">
        <v>845</v>
      </c>
      <c r="H139" s="99" t="s">
        <v>802</v>
      </c>
      <c r="I139" s="99">
        <v>0</v>
      </c>
      <c r="J139" s="104" t="s">
        <v>861</v>
      </c>
      <c r="K139" s="105"/>
    </row>
    <row r="140" spans="1:11" ht="29.25" customHeight="1">
      <c r="A140" s="93">
        <v>138</v>
      </c>
      <c r="B140" s="94" t="s">
        <v>845</v>
      </c>
      <c r="C140" s="94" t="s">
        <v>802</v>
      </c>
      <c r="D140" s="98" t="s">
        <v>1047</v>
      </c>
      <c r="E140" s="96" t="s">
        <v>812</v>
      </c>
      <c r="F140" s="95" t="s">
        <v>1048</v>
      </c>
      <c r="G140" s="96" t="s">
        <v>845</v>
      </c>
      <c r="H140" s="93" t="s">
        <v>802</v>
      </c>
      <c r="I140" s="93">
        <v>0</v>
      </c>
      <c r="J140" s="92" t="s">
        <v>861</v>
      </c>
    </row>
    <row r="141" spans="1:11" ht="29.25" customHeight="1">
      <c r="A141" s="93">
        <v>139</v>
      </c>
      <c r="B141" s="94" t="s">
        <v>845</v>
      </c>
      <c r="C141" s="94" t="s">
        <v>802</v>
      </c>
      <c r="D141" s="98" t="s">
        <v>1047</v>
      </c>
      <c r="E141" s="96" t="s">
        <v>795</v>
      </c>
      <c r="F141" s="95" t="s">
        <v>1049</v>
      </c>
      <c r="G141" s="96" t="s">
        <v>845</v>
      </c>
      <c r="H141" s="93" t="s">
        <v>802</v>
      </c>
      <c r="I141" s="93">
        <v>0</v>
      </c>
      <c r="J141" s="95" t="s">
        <v>861</v>
      </c>
      <c r="K141" s="97"/>
    </row>
    <row r="142" spans="1:11" ht="29.25" customHeight="1">
      <c r="A142" s="93">
        <v>140</v>
      </c>
      <c r="B142" s="94" t="s">
        <v>845</v>
      </c>
      <c r="C142" s="94" t="s">
        <v>802</v>
      </c>
      <c r="D142" s="98" t="s">
        <v>1019</v>
      </c>
      <c r="E142" s="96" t="s">
        <v>795</v>
      </c>
      <c r="F142" s="95" t="s">
        <v>1050</v>
      </c>
      <c r="G142" s="96" t="s">
        <v>845</v>
      </c>
      <c r="H142" s="93" t="s">
        <v>802</v>
      </c>
      <c r="I142" s="93">
        <v>0</v>
      </c>
      <c r="J142" s="95" t="s">
        <v>861</v>
      </c>
      <c r="K142" s="97"/>
    </row>
    <row r="143" spans="1:11" ht="29.25" customHeight="1">
      <c r="A143" s="93">
        <v>141</v>
      </c>
      <c r="B143" s="94" t="s">
        <v>845</v>
      </c>
      <c r="C143" s="94" t="s">
        <v>905</v>
      </c>
      <c r="D143" s="98" t="s">
        <v>873</v>
      </c>
      <c r="E143" s="96" t="s">
        <v>812</v>
      </c>
      <c r="F143" s="95" t="s">
        <v>1051</v>
      </c>
      <c r="G143" s="96" t="s">
        <v>845</v>
      </c>
      <c r="H143" s="93" t="s">
        <v>797</v>
      </c>
      <c r="I143" s="93">
        <v>0</v>
      </c>
      <c r="J143" s="95"/>
      <c r="K143" s="97"/>
    </row>
    <row r="144" spans="1:11" ht="29.25" customHeight="1">
      <c r="A144" s="93">
        <v>142</v>
      </c>
      <c r="B144" s="94" t="s">
        <v>845</v>
      </c>
      <c r="C144" s="94" t="s">
        <v>905</v>
      </c>
      <c r="D144" s="98" t="s">
        <v>831</v>
      </c>
      <c r="E144" s="96" t="s">
        <v>832</v>
      </c>
      <c r="F144" s="95" t="s">
        <v>1052</v>
      </c>
      <c r="G144" s="96" t="s">
        <v>1044</v>
      </c>
      <c r="H144" s="93" t="s">
        <v>840</v>
      </c>
      <c r="I144" s="93">
        <v>0</v>
      </c>
      <c r="J144" s="95" t="s">
        <v>917</v>
      </c>
      <c r="K144" s="97"/>
    </row>
    <row r="145" spans="1:11" ht="29.25" customHeight="1">
      <c r="A145" s="93">
        <v>143</v>
      </c>
      <c r="B145" s="94" t="s">
        <v>845</v>
      </c>
      <c r="C145" s="94" t="s">
        <v>905</v>
      </c>
      <c r="D145" s="98" t="s">
        <v>866</v>
      </c>
      <c r="E145" s="96" t="s">
        <v>795</v>
      </c>
      <c r="F145" s="95" t="s">
        <v>1053</v>
      </c>
      <c r="G145" s="96" t="s">
        <v>845</v>
      </c>
      <c r="H145" s="93" t="s">
        <v>802</v>
      </c>
      <c r="I145" s="93">
        <v>0</v>
      </c>
      <c r="J145" s="95" t="s">
        <v>861</v>
      </c>
      <c r="K145" s="97"/>
    </row>
    <row r="146" spans="1:11" ht="54">
      <c r="A146" s="93">
        <v>144</v>
      </c>
      <c r="B146" s="94" t="s">
        <v>845</v>
      </c>
      <c r="C146" s="94" t="s">
        <v>905</v>
      </c>
      <c r="D146" s="98" t="s">
        <v>866</v>
      </c>
      <c r="E146" s="96" t="s">
        <v>795</v>
      </c>
      <c r="F146" s="95" t="s">
        <v>1054</v>
      </c>
      <c r="G146" s="96" t="s">
        <v>838</v>
      </c>
      <c r="H146" s="93" t="s">
        <v>797</v>
      </c>
      <c r="I146" s="93">
        <v>1</v>
      </c>
      <c r="J146" s="95"/>
      <c r="K146" s="97"/>
    </row>
    <row r="147" spans="1:11" ht="29.25" customHeight="1">
      <c r="A147" s="93">
        <v>145</v>
      </c>
      <c r="B147" s="94" t="s">
        <v>845</v>
      </c>
      <c r="C147" s="94" t="s">
        <v>905</v>
      </c>
      <c r="D147" s="98" t="s">
        <v>856</v>
      </c>
      <c r="E147" s="96" t="s">
        <v>795</v>
      </c>
      <c r="F147" s="95" t="s">
        <v>1055</v>
      </c>
      <c r="G147" s="96" t="s">
        <v>845</v>
      </c>
      <c r="H147" s="93" t="s">
        <v>802</v>
      </c>
      <c r="I147" s="93">
        <v>0</v>
      </c>
      <c r="J147" s="95" t="s">
        <v>861</v>
      </c>
      <c r="K147" s="97"/>
    </row>
    <row r="148" spans="1:11" ht="29.25" customHeight="1">
      <c r="A148" s="93">
        <v>146</v>
      </c>
      <c r="B148" s="94" t="s">
        <v>845</v>
      </c>
      <c r="C148" s="94" t="s">
        <v>905</v>
      </c>
      <c r="D148" s="98" t="s">
        <v>856</v>
      </c>
      <c r="E148" s="96" t="s">
        <v>795</v>
      </c>
      <c r="F148" s="95" t="s">
        <v>1056</v>
      </c>
      <c r="G148" s="96" t="s">
        <v>845</v>
      </c>
      <c r="H148" s="93" t="s">
        <v>802</v>
      </c>
      <c r="I148" s="93">
        <v>0</v>
      </c>
      <c r="J148" s="95" t="s">
        <v>861</v>
      </c>
      <c r="K148" s="97"/>
    </row>
    <row r="149" spans="1:11" ht="29.25" customHeight="1">
      <c r="A149" s="93">
        <v>147</v>
      </c>
      <c r="B149" s="94" t="s">
        <v>845</v>
      </c>
      <c r="C149" s="94" t="s">
        <v>905</v>
      </c>
      <c r="D149" s="98" t="s">
        <v>1057</v>
      </c>
      <c r="E149" s="96" t="s">
        <v>795</v>
      </c>
      <c r="F149" s="95" t="s">
        <v>1058</v>
      </c>
      <c r="G149" s="96" t="s">
        <v>999</v>
      </c>
      <c r="H149" s="93" t="s">
        <v>840</v>
      </c>
      <c r="I149" s="93">
        <v>0</v>
      </c>
      <c r="J149" s="95" t="s">
        <v>1059</v>
      </c>
      <c r="K149" s="97"/>
    </row>
    <row r="150" spans="1:11" ht="29.25" customHeight="1">
      <c r="A150" s="93">
        <v>148</v>
      </c>
      <c r="B150" s="94" t="s">
        <v>845</v>
      </c>
      <c r="C150" s="94" t="s">
        <v>905</v>
      </c>
      <c r="D150" s="98" t="s">
        <v>850</v>
      </c>
      <c r="E150" s="96" t="s">
        <v>795</v>
      </c>
      <c r="F150" s="95" t="s">
        <v>1060</v>
      </c>
      <c r="G150" s="96" t="s">
        <v>845</v>
      </c>
      <c r="H150" s="93" t="s">
        <v>822</v>
      </c>
      <c r="I150" s="93">
        <v>0</v>
      </c>
      <c r="J150" s="95"/>
      <c r="K150" s="97"/>
    </row>
    <row r="151" spans="1:11" ht="29.25" customHeight="1">
      <c r="A151" s="93">
        <v>149</v>
      </c>
      <c r="B151" s="94" t="s">
        <v>845</v>
      </c>
      <c r="C151" s="94" t="s">
        <v>802</v>
      </c>
      <c r="D151" s="98" t="s">
        <v>1001</v>
      </c>
      <c r="E151" s="96" t="s">
        <v>812</v>
      </c>
      <c r="F151" s="95" t="s">
        <v>1061</v>
      </c>
      <c r="G151" s="96" t="s">
        <v>999</v>
      </c>
      <c r="H151" s="93" t="s">
        <v>797</v>
      </c>
      <c r="I151" s="93">
        <v>0</v>
      </c>
      <c r="J151" s="95"/>
      <c r="K151" s="97"/>
    </row>
    <row r="152" spans="1:11" ht="29.25" customHeight="1">
      <c r="A152" s="93">
        <v>150</v>
      </c>
      <c r="B152" s="94" t="s">
        <v>845</v>
      </c>
      <c r="C152" s="94" t="s">
        <v>793</v>
      </c>
      <c r="D152" s="98" t="s">
        <v>1062</v>
      </c>
      <c r="E152" s="96" t="s">
        <v>812</v>
      </c>
      <c r="F152" s="95" t="s">
        <v>1063</v>
      </c>
      <c r="G152" s="96" t="s">
        <v>845</v>
      </c>
      <c r="H152" s="93" t="s">
        <v>822</v>
      </c>
      <c r="I152" s="93">
        <v>0</v>
      </c>
      <c r="J152" s="95"/>
      <c r="K152" s="97"/>
    </row>
    <row r="153" spans="1:11" ht="29.25" customHeight="1">
      <c r="A153" s="93">
        <v>151</v>
      </c>
      <c r="B153" s="94" t="s">
        <v>845</v>
      </c>
      <c r="C153" s="94" t="s">
        <v>793</v>
      </c>
      <c r="D153" s="98" t="s">
        <v>850</v>
      </c>
      <c r="E153" s="96" t="s">
        <v>795</v>
      </c>
      <c r="F153" s="95" t="s">
        <v>1064</v>
      </c>
      <c r="G153" s="96" t="s">
        <v>999</v>
      </c>
      <c r="H153" s="93" t="s">
        <v>815</v>
      </c>
      <c r="I153" s="93">
        <v>0</v>
      </c>
      <c r="J153" s="95" t="s">
        <v>1065</v>
      </c>
      <c r="K153" s="97"/>
    </row>
    <row r="154" spans="1:11" ht="29.25" customHeight="1">
      <c r="A154" s="93">
        <v>152</v>
      </c>
      <c r="B154" s="94" t="s">
        <v>845</v>
      </c>
      <c r="C154" s="94" t="s">
        <v>793</v>
      </c>
      <c r="D154" s="98" t="s">
        <v>850</v>
      </c>
      <c r="E154" s="96" t="s">
        <v>795</v>
      </c>
      <c r="F154" s="95" t="s">
        <v>1066</v>
      </c>
      <c r="G154" s="96" t="s">
        <v>1044</v>
      </c>
      <c r="H154" s="93" t="s">
        <v>1067</v>
      </c>
      <c r="I154" s="93">
        <v>0</v>
      </c>
      <c r="J154" s="95"/>
      <c r="K154" s="97"/>
    </row>
    <row r="155" spans="1:11" ht="29.25" customHeight="1">
      <c r="A155" s="93">
        <v>153</v>
      </c>
      <c r="B155" s="94" t="s">
        <v>845</v>
      </c>
      <c r="C155" s="94" t="s">
        <v>905</v>
      </c>
      <c r="D155" s="98" t="s">
        <v>852</v>
      </c>
      <c r="E155" s="96" t="s">
        <v>812</v>
      </c>
      <c r="F155" s="95" t="s">
        <v>1068</v>
      </c>
      <c r="G155" s="96" t="s">
        <v>1044</v>
      </c>
      <c r="H155" s="93" t="s">
        <v>802</v>
      </c>
      <c r="I155" s="93">
        <v>0</v>
      </c>
      <c r="J155" s="95"/>
      <c r="K155" s="97"/>
    </row>
    <row r="156" spans="1:11" ht="29.25" customHeight="1">
      <c r="A156" s="93">
        <v>154</v>
      </c>
      <c r="B156" s="94" t="s">
        <v>845</v>
      </c>
      <c r="C156" s="94" t="s">
        <v>905</v>
      </c>
      <c r="D156" s="98" t="s">
        <v>852</v>
      </c>
      <c r="E156" s="96" t="s">
        <v>832</v>
      </c>
      <c r="F156" s="95" t="s">
        <v>1069</v>
      </c>
      <c r="G156" s="96" t="s">
        <v>1005</v>
      </c>
      <c r="H156" s="93" t="s">
        <v>815</v>
      </c>
      <c r="I156" s="93">
        <v>1</v>
      </c>
      <c r="J156" s="95"/>
      <c r="K156" s="97"/>
    </row>
    <row r="157" spans="1:11" ht="29.25" customHeight="1">
      <c r="A157" s="93">
        <v>155</v>
      </c>
      <c r="B157" s="94" t="s">
        <v>845</v>
      </c>
      <c r="C157" s="94" t="s">
        <v>905</v>
      </c>
      <c r="D157" s="98" t="s">
        <v>816</v>
      </c>
      <c r="E157" s="96" t="s">
        <v>795</v>
      </c>
      <c r="F157" s="95" t="s">
        <v>1070</v>
      </c>
      <c r="G157" s="96" t="s">
        <v>1044</v>
      </c>
      <c r="H157" s="93" t="s">
        <v>840</v>
      </c>
      <c r="I157" s="93">
        <v>0</v>
      </c>
      <c r="J157" s="95" t="s">
        <v>917</v>
      </c>
      <c r="K157" s="97"/>
    </row>
    <row r="158" spans="1:11" ht="29.25" customHeight="1">
      <c r="A158" s="93">
        <v>156</v>
      </c>
      <c r="B158" s="94" t="s">
        <v>845</v>
      </c>
      <c r="C158" s="94" t="s">
        <v>905</v>
      </c>
      <c r="D158" s="98" t="s">
        <v>816</v>
      </c>
      <c r="E158" s="96" t="s">
        <v>795</v>
      </c>
      <c r="F158" s="95" t="s">
        <v>1071</v>
      </c>
      <c r="G158" s="96" t="s">
        <v>1044</v>
      </c>
      <c r="H158" s="93" t="s">
        <v>840</v>
      </c>
      <c r="I158" s="93">
        <v>0</v>
      </c>
      <c r="J158" s="95" t="s">
        <v>917</v>
      </c>
      <c r="K158" s="97"/>
    </row>
    <row r="159" spans="1:11" ht="27">
      <c r="A159" s="93">
        <v>157</v>
      </c>
      <c r="B159" s="94" t="s">
        <v>845</v>
      </c>
      <c r="C159" s="94" t="s">
        <v>819</v>
      </c>
      <c r="D159" s="98" t="s">
        <v>1072</v>
      </c>
      <c r="E159" s="96" t="s">
        <v>812</v>
      </c>
      <c r="F159" s="95" t="s">
        <v>1073</v>
      </c>
      <c r="G159" s="96" t="s">
        <v>999</v>
      </c>
      <c r="H159" s="93" t="s">
        <v>834</v>
      </c>
      <c r="I159" s="93">
        <v>0</v>
      </c>
      <c r="J159" s="95" t="s">
        <v>1074</v>
      </c>
      <c r="K159" s="97"/>
    </row>
    <row r="160" spans="1:11" ht="29.25" customHeight="1">
      <c r="A160" s="93">
        <v>158</v>
      </c>
      <c r="B160" s="94" t="s">
        <v>845</v>
      </c>
      <c r="C160" s="94" t="s">
        <v>793</v>
      </c>
      <c r="D160" s="98" t="s">
        <v>1047</v>
      </c>
      <c r="E160" s="96" t="s">
        <v>812</v>
      </c>
      <c r="F160" s="95" t="s">
        <v>1075</v>
      </c>
      <c r="G160" s="96" t="s">
        <v>1044</v>
      </c>
      <c r="H160" s="93" t="s">
        <v>947</v>
      </c>
      <c r="I160" s="93">
        <v>0</v>
      </c>
      <c r="J160" s="95" t="s">
        <v>1076</v>
      </c>
      <c r="K160" s="97" t="s">
        <v>1077</v>
      </c>
    </row>
    <row r="161" spans="1:11" ht="29.25" customHeight="1">
      <c r="A161" s="93">
        <v>159</v>
      </c>
      <c r="B161" s="94" t="s">
        <v>845</v>
      </c>
      <c r="C161" s="94" t="s">
        <v>793</v>
      </c>
      <c r="D161" s="98" t="s">
        <v>1078</v>
      </c>
      <c r="E161" s="96" t="s">
        <v>812</v>
      </c>
      <c r="F161" s="95" t="s">
        <v>1079</v>
      </c>
      <c r="G161" s="96" t="s">
        <v>1044</v>
      </c>
      <c r="H161" s="93" t="s">
        <v>802</v>
      </c>
      <c r="I161" s="93">
        <v>0</v>
      </c>
      <c r="J161" s="95"/>
      <c r="K161" s="97"/>
    </row>
    <row r="162" spans="1:11" ht="29.25" customHeight="1">
      <c r="A162" s="93">
        <v>160</v>
      </c>
      <c r="B162" s="94" t="s">
        <v>845</v>
      </c>
      <c r="C162" s="94" t="s">
        <v>905</v>
      </c>
      <c r="D162" s="98" t="s">
        <v>1080</v>
      </c>
      <c r="E162" s="96" t="s">
        <v>832</v>
      </c>
      <c r="F162" s="95" t="s">
        <v>1081</v>
      </c>
      <c r="G162" s="96" t="s">
        <v>1005</v>
      </c>
      <c r="H162" s="93" t="s">
        <v>802</v>
      </c>
      <c r="I162" s="93">
        <v>0</v>
      </c>
      <c r="J162" s="95" t="s">
        <v>1082</v>
      </c>
      <c r="K162" s="97"/>
    </row>
    <row r="163" spans="1:11" ht="29.25" customHeight="1">
      <c r="A163" s="93">
        <v>161</v>
      </c>
      <c r="B163" s="94" t="s">
        <v>845</v>
      </c>
      <c r="C163" s="94" t="s">
        <v>958</v>
      </c>
      <c r="D163" s="98" t="s">
        <v>866</v>
      </c>
      <c r="E163" s="96" t="s">
        <v>795</v>
      </c>
      <c r="F163" s="95" t="s">
        <v>1083</v>
      </c>
      <c r="G163" s="96" t="s">
        <v>1044</v>
      </c>
      <c r="H163" s="93" t="s">
        <v>840</v>
      </c>
      <c r="I163" s="93">
        <v>0</v>
      </c>
      <c r="J163" s="95" t="s">
        <v>917</v>
      </c>
      <c r="K163" s="97"/>
    </row>
    <row r="164" spans="1:11" ht="29.25" customHeight="1">
      <c r="A164" s="93">
        <v>162</v>
      </c>
      <c r="B164" s="94" t="s">
        <v>845</v>
      </c>
      <c r="C164" s="94" t="s">
        <v>819</v>
      </c>
      <c r="D164" s="98" t="s">
        <v>1084</v>
      </c>
      <c r="E164" s="96" t="s">
        <v>795</v>
      </c>
      <c r="F164" s="95" t="s">
        <v>1085</v>
      </c>
      <c r="G164" s="96" t="s">
        <v>1044</v>
      </c>
      <c r="H164" s="93" t="s">
        <v>815</v>
      </c>
      <c r="I164" s="93">
        <v>0</v>
      </c>
      <c r="J164" s="95"/>
      <c r="K164" s="97"/>
    </row>
    <row r="165" spans="1:11" ht="29.25" customHeight="1">
      <c r="A165" s="93">
        <v>163</v>
      </c>
      <c r="B165" s="94" t="s">
        <v>845</v>
      </c>
      <c r="C165" s="94" t="s">
        <v>793</v>
      </c>
      <c r="D165" s="98" t="s">
        <v>823</v>
      </c>
      <c r="E165" s="96" t="s">
        <v>795</v>
      </c>
      <c r="F165" s="95" t="s">
        <v>1086</v>
      </c>
      <c r="G165" s="96" t="s">
        <v>845</v>
      </c>
      <c r="H165" s="93" t="s">
        <v>822</v>
      </c>
      <c r="I165" s="93">
        <v>0</v>
      </c>
      <c r="J165" s="95"/>
      <c r="K165" s="97"/>
    </row>
    <row r="166" spans="1:11" ht="29.25" customHeight="1">
      <c r="A166" s="93">
        <v>164</v>
      </c>
      <c r="B166" s="94" t="s">
        <v>845</v>
      </c>
      <c r="C166" s="94" t="s">
        <v>793</v>
      </c>
      <c r="D166" s="98" t="s">
        <v>1087</v>
      </c>
      <c r="E166" s="96" t="s">
        <v>795</v>
      </c>
      <c r="F166" s="95" t="s">
        <v>1088</v>
      </c>
      <c r="G166" s="96" t="s">
        <v>999</v>
      </c>
      <c r="H166" s="93" t="s">
        <v>822</v>
      </c>
      <c r="I166" s="93">
        <v>0</v>
      </c>
      <c r="J166" s="95"/>
      <c r="K166" s="97"/>
    </row>
    <row r="167" spans="1:11" ht="29.25" customHeight="1">
      <c r="A167" s="93">
        <v>165</v>
      </c>
      <c r="B167" s="94" t="s">
        <v>1044</v>
      </c>
      <c r="C167" s="94" t="s">
        <v>793</v>
      </c>
      <c r="D167" s="98" t="s">
        <v>982</v>
      </c>
      <c r="E167" s="96" t="s">
        <v>812</v>
      </c>
      <c r="F167" s="95" t="s">
        <v>1089</v>
      </c>
      <c r="G167" s="96" t="s">
        <v>1044</v>
      </c>
      <c r="H167" s="93" t="s">
        <v>815</v>
      </c>
      <c r="I167" s="93">
        <v>0</v>
      </c>
      <c r="J167" s="95"/>
      <c r="K167" s="97"/>
    </row>
    <row r="168" spans="1:11" ht="29.25" customHeight="1">
      <c r="A168" s="93">
        <v>166</v>
      </c>
      <c r="B168" s="94" t="s">
        <v>1044</v>
      </c>
      <c r="C168" s="94" t="s">
        <v>905</v>
      </c>
      <c r="D168" s="98" t="s">
        <v>820</v>
      </c>
      <c r="E168" s="96" t="s">
        <v>795</v>
      </c>
      <c r="F168" s="95" t="s">
        <v>1066</v>
      </c>
      <c r="G168" s="96" t="s">
        <v>1044</v>
      </c>
      <c r="H168" s="93" t="s">
        <v>822</v>
      </c>
      <c r="I168" s="93">
        <v>0</v>
      </c>
      <c r="J168" s="95"/>
      <c r="K168" s="97"/>
    </row>
    <row r="169" spans="1:11" ht="29.25" customHeight="1">
      <c r="A169" s="93">
        <v>167</v>
      </c>
      <c r="B169" s="94" t="s">
        <v>1044</v>
      </c>
      <c r="C169" s="94" t="s">
        <v>1090</v>
      </c>
      <c r="D169" s="98" t="s">
        <v>866</v>
      </c>
      <c r="E169" s="96" t="s">
        <v>795</v>
      </c>
      <c r="F169" s="95" t="s">
        <v>1091</v>
      </c>
      <c r="G169" s="96" t="s">
        <v>1044</v>
      </c>
      <c r="H169" s="93" t="s">
        <v>797</v>
      </c>
      <c r="I169" s="93">
        <v>0</v>
      </c>
      <c r="J169" s="95"/>
      <c r="K169" s="97"/>
    </row>
    <row r="170" spans="1:11" ht="29.25" customHeight="1">
      <c r="A170" s="93">
        <v>168</v>
      </c>
      <c r="B170" s="94" t="s">
        <v>1044</v>
      </c>
      <c r="C170" s="94" t="s">
        <v>1090</v>
      </c>
      <c r="D170" s="98" t="s">
        <v>856</v>
      </c>
      <c r="E170" s="96" t="s">
        <v>795</v>
      </c>
      <c r="F170" s="95" t="s">
        <v>1091</v>
      </c>
      <c r="G170" s="96" t="s">
        <v>1044</v>
      </c>
      <c r="H170" s="93" t="s">
        <v>797</v>
      </c>
      <c r="I170" s="93">
        <v>0</v>
      </c>
      <c r="J170" s="95"/>
      <c r="K170" s="97"/>
    </row>
    <row r="171" spans="1:11" ht="29.25" customHeight="1">
      <c r="A171" s="93">
        <v>169</v>
      </c>
      <c r="B171" s="94" t="s">
        <v>1044</v>
      </c>
      <c r="C171" s="94" t="s">
        <v>1090</v>
      </c>
      <c r="D171" s="98" t="s">
        <v>866</v>
      </c>
      <c r="E171" s="96" t="s">
        <v>795</v>
      </c>
      <c r="F171" s="95" t="s">
        <v>1092</v>
      </c>
      <c r="G171" s="96" t="s">
        <v>1044</v>
      </c>
      <c r="H171" s="93" t="s">
        <v>797</v>
      </c>
      <c r="I171" s="93">
        <v>0</v>
      </c>
      <c r="J171" s="95"/>
      <c r="K171" s="97"/>
    </row>
    <row r="172" spans="1:11" ht="29.25" customHeight="1">
      <c r="A172" s="93">
        <v>170</v>
      </c>
      <c r="B172" s="94" t="s">
        <v>1044</v>
      </c>
      <c r="C172" s="94" t="s">
        <v>1090</v>
      </c>
      <c r="D172" s="98" t="s">
        <v>856</v>
      </c>
      <c r="E172" s="96" t="s">
        <v>795</v>
      </c>
      <c r="F172" s="95" t="s">
        <v>1093</v>
      </c>
      <c r="G172" s="96" t="s">
        <v>1044</v>
      </c>
      <c r="H172" s="93" t="s">
        <v>797</v>
      </c>
      <c r="I172" s="93">
        <v>0</v>
      </c>
      <c r="J172" s="95"/>
      <c r="K172" s="97"/>
    </row>
    <row r="173" spans="1:11" ht="29.25" customHeight="1">
      <c r="A173" s="93">
        <v>171</v>
      </c>
      <c r="B173" s="94" t="s">
        <v>1044</v>
      </c>
      <c r="C173" s="94" t="s">
        <v>793</v>
      </c>
      <c r="D173" s="98" t="s">
        <v>827</v>
      </c>
      <c r="E173" s="96" t="s">
        <v>795</v>
      </c>
      <c r="F173" s="95" t="s">
        <v>1094</v>
      </c>
      <c r="G173" s="96" t="s">
        <v>1044</v>
      </c>
      <c r="H173" s="93" t="s">
        <v>822</v>
      </c>
      <c r="I173" s="93">
        <v>0</v>
      </c>
      <c r="J173" s="95"/>
      <c r="K173" s="97"/>
    </row>
    <row r="174" spans="1:11" ht="29.25" customHeight="1">
      <c r="A174" s="93">
        <v>172</v>
      </c>
      <c r="B174" s="94" t="s">
        <v>1044</v>
      </c>
      <c r="C174" s="94" t="s">
        <v>1095</v>
      </c>
      <c r="D174" s="98" t="s">
        <v>1096</v>
      </c>
      <c r="E174" s="96" t="s">
        <v>795</v>
      </c>
      <c r="F174" s="95" t="s">
        <v>1097</v>
      </c>
      <c r="G174" s="96" t="s">
        <v>1044</v>
      </c>
      <c r="H174" s="93" t="s">
        <v>822</v>
      </c>
      <c r="I174" s="93">
        <v>0</v>
      </c>
      <c r="J174" s="95"/>
      <c r="K174" s="97"/>
    </row>
    <row r="175" spans="1:11" ht="29.25" customHeight="1">
      <c r="A175" s="93">
        <v>173</v>
      </c>
      <c r="B175" s="94" t="s">
        <v>1044</v>
      </c>
      <c r="C175" s="94" t="s">
        <v>914</v>
      </c>
      <c r="D175" s="98" t="s">
        <v>1098</v>
      </c>
      <c r="E175" s="96" t="s">
        <v>832</v>
      </c>
      <c r="F175" s="95" t="s">
        <v>1099</v>
      </c>
      <c r="G175" s="96" t="s">
        <v>1044</v>
      </c>
      <c r="H175" s="93" t="s">
        <v>797</v>
      </c>
      <c r="I175" s="93">
        <v>0</v>
      </c>
      <c r="J175" s="95"/>
      <c r="K175" s="97"/>
    </row>
    <row r="176" spans="1:11" ht="29.25" customHeight="1">
      <c r="A176" s="93">
        <v>174</v>
      </c>
      <c r="B176" s="94" t="s">
        <v>1044</v>
      </c>
      <c r="C176" s="94" t="s">
        <v>914</v>
      </c>
      <c r="D176" s="98" t="s">
        <v>1098</v>
      </c>
      <c r="E176" s="96" t="s">
        <v>795</v>
      </c>
      <c r="F176" s="95" t="s">
        <v>1100</v>
      </c>
      <c r="G176" s="96" t="s">
        <v>1044</v>
      </c>
      <c r="H176" s="93" t="s">
        <v>797</v>
      </c>
      <c r="I176" s="93">
        <v>0</v>
      </c>
      <c r="J176" s="95"/>
      <c r="K176" s="97"/>
    </row>
    <row r="177" spans="1:11" ht="29.25" customHeight="1">
      <c r="A177" s="93">
        <v>175</v>
      </c>
      <c r="B177" s="94" t="s">
        <v>1044</v>
      </c>
      <c r="C177" s="94" t="s">
        <v>914</v>
      </c>
      <c r="D177" s="98" t="s">
        <v>1101</v>
      </c>
      <c r="E177" s="96" t="s">
        <v>795</v>
      </c>
      <c r="F177" s="95" t="s">
        <v>1102</v>
      </c>
      <c r="G177" s="96" t="s">
        <v>801</v>
      </c>
      <c r="H177" s="93" t="s">
        <v>1103</v>
      </c>
      <c r="I177" s="93">
        <v>0</v>
      </c>
      <c r="J177" s="95"/>
      <c r="K177" s="97"/>
    </row>
    <row r="178" spans="1:11" ht="29.25" customHeight="1">
      <c r="A178" s="93">
        <v>176</v>
      </c>
      <c r="B178" s="94" t="s">
        <v>1044</v>
      </c>
      <c r="C178" s="94" t="s">
        <v>905</v>
      </c>
      <c r="D178" s="98" t="s">
        <v>831</v>
      </c>
      <c r="E178" s="96" t="s">
        <v>812</v>
      </c>
      <c r="F178" s="95" t="s">
        <v>1104</v>
      </c>
      <c r="G178" s="96" t="s">
        <v>1044</v>
      </c>
      <c r="H178" s="93" t="s">
        <v>822</v>
      </c>
      <c r="I178" s="93">
        <v>0</v>
      </c>
      <c r="J178" s="95"/>
      <c r="K178" s="97"/>
    </row>
    <row r="179" spans="1:11" ht="29.25" customHeight="1">
      <c r="A179" s="93">
        <v>177</v>
      </c>
      <c r="B179" s="94" t="s">
        <v>1044</v>
      </c>
      <c r="C179" s="94" t="s">
        <v>914</v>
      </c>
      <c r="D179" s="98" t="s">
        <v>863</v>
      </c>
      <c r="E179" s="96" t="s">
        <v>832</v>
      </c>
      <c r="F179" s="95" t="s">
        <v>1105</v>
      </c>
      <c r="G179" s="96" t="s">
        <v>1005</v>
      </c>
      <c r="H179" s="93" t="s">
        <v>810</v>
      </c>
      <c r="I179" s="93">
        <v>1</v>
      </c>
      <c r="J179" s="95" t="s">
        <v>1106</v>
      </c>
      <c r="K179" s="97"/>
    </row>
    <row r="180" spans="1:11" ht="29.25" customHeight="1">
      <c r="A180" s="93">
        <v>178</v>
      </c>
      <c r="B180" s="94" t="s">
        <v>1044</v>
      </c>
      <c r="C180" s="94" t="s">
        <v>905</v>
      </c>
      <c r="D180" s="98" t="s">
        <v>930</v>
      </c>
      <c r="E180" s="96" t="s">
        <v>795</v>
      </c>
      <c r="F180" s="95" t="s">
        <v>1107</v>
      </c>
      <c r="G180" s="96" t="s">
        <v>999</v>
      </c>
      <c r="H180" s="93" t="s">
        <v>822</v>
      </c>
      <c r="I180" s="93">
        <v>0</v>
      </c>
      <c r="J180" s="95"/>
      <c r="K180" s="97"/>
    </row>
    <row r="181" spans="1:11" ht="29.25" customHeight="1">
      <c r="A181" s="93">
        <v>179</v>
      </c>
      <c r="B181" s="94" t="s">
        <v>1044</v>
      </c>
      <c r="C181" s="94" t="s">
        <v>905</v>
      </c>
      <c r="D181" s="98" t="s">
        <v>930</v>
      </c>
      <c r="E181" s="96" t="s">
        <v>812</v>
      </c>
      <c r="F181" s="95" t="s">
        <v>1108</v>
      </c>
      <c r="G181" s="96" t="s">
        <v>999</v>
      </c>
      <c r="H181" s="93" t="s">
        <v>822</v>
      </c>
      <c r="I181" s="93">
        <v>0</v>
      </c>
      <c r="J181" s="95"/>
      <c r="K181" s="97"/>
    </row>
    <row r="182" spans="1:11" ht="29.25" customHeight="1">
      <c r="A182" s="93">
        <v>180</v>
      </c>
      <c r="B182" s="94" t="s">
        <v>999</v>
      </c>
      <c r="C182" s="94" t="s">
        <v>905</v>
      </c>
      <c r="D182" s="98" t="s">
        <v>831</v>
      </c>
      <c r="E182" s="96" t="s">
        <v>795</v>
      </c>
      <c r="F182" s="95" t="s">
        <v>1109</v>
      </c>
      <c r="G182" s="96"/>
      <c r="H182" s="93" t="s">
        <v>834</v>
      </c>
      <c r="I182" s="93">
        <v>2</v>
      </c>
      <c r="J182" s="95" t="s">
        <v>1456</v>
      </c>
      <c r="K182" s="97"/>
    </row>
    <row r="183" spans="1:11" ht="29.25" customHeight="1">
      <c r="A183" s="93">
        <v>181</v>
      </c>
      <c r="B183" s="94" t="s">
        <v>999</v>
      </c>
      <c r="C183" s="94" t="s">
        <v>793</v>
      </c>
      <c r="D183" s="98" t="s">
        <v>816</v>
      </c>
      <c r="E183" s="96" t="s">
        <v>795</v>
      </c>
      <c r="F183" s="95" t="s">
        <v>1110</v>
      </c>
      <c r="G183" s="96" t="s">
        <v>1005</v>
      </c>
      <c r="H183" s="93" t="s">
        <v>797</v>
      </c>
      <c r="I183" s="93">
        <v>1</v>
      </c>
      <c r="J183" s="95"/>
      <c r="K183" s="97"/>
    </row>
    <row r="184" spans="1:11" ht="29.25" customHeight="1">
      <c r="A184" s="93">
        <v>182</v>
      </c>
      <c r="B184" s="94" t="s">
        <v>999</v>
      </c>
      <c r="C184" s="94" t="s">
        <v>905</v>
      </c>
      <c r="D184" s="98" t="s">
        <v>1111</v>
      </c>
      <c r="E184" s="96" t="s">
        <v>832</v>
      </c>
      <c r="F184" s="95" t="s">
        <v>1112</v>
      </c>
      <c r="G184" s="96" t="s">
        <v>1005</v>
      </c>
      <c r="H184" s="93" t="s">
        <v>815</v>
      </c>
      <c r="I184" s="93">
        <v>1</v>
      </c>
      <c r="J184" s="95"/>
      <c r="K184" s="97"/>
    </row>
    <row r="185" spans="1:11" ht="29.25" customHeight="1">
      <c r="A185" s="93">
        <v>183</v>
      </c>
      <c r="B185" s="94" t="s">
        <v>999</v>
      </c>
      <c r="C185" s="94" t="s">
        <v>905</v>
      </c>
      <c r="D185" s="98" t="s">
        <v>873</v>
      </c>
      <c r="E185" s="96" t="s">
        <v>812</v>
      </c>
      <c r="F185" s="95" t="s">
        <v>1113</v>
      </c>
      <c r="G185" s="96" t="s">
        <v>1005</v>
      </c>
      <c r="H185" s="93" t="s">
        <v>822</v>
      </c>
      <c r="I185" s="93">
        <v>0</v>
      </c>
      <c r="J185" s="95"/>
      <c r="K185" s="97"/>
    </row>
    <row r="186" spans="1:11" ht="29.25" customHeight="1">
      <c r="A186" s="93">
        <v>184</v>
      </c>
      <c r="B186" s="94" t="s">
        <v>999</v>
      </c>
      <c r="C186" s="94" t="s">
        <v>905</v>
      </c>
      <c r="D186" s="98" t="s">
        <v>1114</v>
      </c>
      <c r="E186" s="96" t="s">
        <v>795</v>
      </c>
      <c r="F186" s="95" t="s">
        <v>1115</v>
      </c>
      <c r="G186" s="96" t="s">
        <v>838</v>
      </c>
      <c r="H186" s="93" t="s">
        <v>822</v>
      </c>
      <c r="I186" s="93">
        <v>1</v>
      </c>
      <c r="J186" s="95"/>
      <c r="K186" s="97"/>
    </row>
    <row r="187" spans="1:11" ht="29.25" customHeight="1">
      <c r="A187" s="93">
        <v>185</v>
      </c>
      <c r="B187" s="94" t="s">
        <v>1005</v>
      </c>
      <c r="C187" s="94" t="s">
        <v>1116</v>
      </c>
      <c r="D187" s="98" t="s">
        <v>1114</v>
      </c>
      <c r="E187" s="96" t="s">
        <v>795</v>
      </c>
      <c r="F187" s="95" t="s">
        <v>1117</v>
      </c>
      <c r="G187" s="96" t="s">
        <v>801</v>
      </c>
      <c r="H187" s="93" t="s">
        <v>822</v>
      </c>
      <c r="I187" s="93">
        <v>1</v>
      </c>
      <c r="J187" s="95"/>
      <c r="K187" s="97"/>
    </row>
    <row r="188" spans="1:11" ht="29.25" customHeight="1">
      <c r="A188" s="93">
        <v>186</v>
      </c>
      <c r="B188" s="94" t="s">
        <v>1005</v>
      </c>
      <c r="C188" s="94" t="s">
        <v>1116</v>
      </c>
      <c r="D188" s="98" t="s">
        <v>866</v>
      </c>
      <c r="E188" s="96" t="s">
        <v>795</v>
      </c>
      <c r="F188" s="95" t="s">
        <v>1118</v>
      </c>
      <c r="G188" s="96" t="s">
        <v>838</v>
      </c>
      <c r="H188" s="93" t="s">
        <v>822</v>
      </c>
      <c r="I188" s="93">
        <v>1</v>
      </c>
      <c r="J188" s="95"/>
      <c r="K188" s="97"/>
    </row>
    <row r="189" spans="1:11" ht="29.25" customHeight="1">
      <c r="A189" s="93">
        <v>187</v>
      </c>
      <c r="B189" s="94" t="s">
        <v>838</v>
      </c>
      <c r="C189" s="94" t="s">
        <v>793</v>
      </c>
      <c r="D189" s="98" t="s">
        <v>988</v>
      </c>
      <c r="E189" s="96" t="s">
        <v>812</v>
      </c>
      <c r="F189" s="95" t="s">
        <v>1119</v>
      </c>
      <c r="G189" s="96" t="s">
        <v>1120</v>
      </c>
      <c r="H189" s="93" t="s">
        <v>822</v>
      </c>
      <c r="I189" s="93">
        <v>0</v>
      </c>
      <c r="J189" s="95"/>
      <c r="K189" s="97"/>
    </row>
    <row r="190" spans="1:11" ht="29.25" customHeight="1">
      <c r="A190" s="93">
        <v>188</v>
      </c>
      <c r="B190" s="94" t="s">
        <v>1120</v>
      </c>
      <c r="C190" s="94" t="s">
        <v>793</v>
      </c>
      <c r="D190" s="98" t="s">
        <v>820</v>
      </c>
      <c r="E190" s="96" t="s">
        <v>795</v>
      </c>
      <c r="F190" s="95" t="s">
        <v>1121</v>
      </c>
      <c r="G190" s="96" t="s">
        <v>1120</v>
      </c>
      <c r="H190" s="93" t="s">
        <v>822</v>
      </c>
      <c r="I190" s="93">
        <v>0</v>
      </c>
      <c r="J190" s="95"/>
      <c r="K190" s="97"/>
    </row>
    <row r="191" spans="1:11" ht="29.25" customHeight="1">
      <c r="A191" s="93"/>
      <c r="B191" s="94"/>
      <c r="C191" s="94"/>
      <c r="D191" s="98"/>
      <c r="E191" s="96"/>
      <c r="F191" s="95"/>
      <c r="G191" s="96"/>
      <c r="H191" s="93"/>
      <c r="I191" s="93"/>
      <c r="J191" s="95"/>
      <c r="K191" s="97"/>
    </row>
    <row r="192" spans="1:11" ht="22.5" customHeight="1">
      <c r="A192" s="128" t="s">
        <v>1122</v>
      </c>
      <c r="B192" s="129"/>
      <c r="C192" s="129"/>
      <c r="D192" s="130"/>
      <c r="E192" s="111">
        <f>COUNTA(E3:E191)</f>
        <v>188</v>
      </c>
      <c r="F192" s="111">
        <f>COUNTA(F3:F191)</f>
        <v>188</v>
      </c>
      <c r="G192" s="111">
        <f>COUNTA(G3:G191)</f>
        <v>183</v>
      </c>
      <c r="H192" s="111">
        <f>COUNTA(H3:H191)</f>
        <v>188</v>
      </c>
      <c r="I192" s="111">
        <f>COUNTA(I3:I191)</f>
        <v>188</v>
      </c>
      <c r="J192" s="112">
        <f>G192/F192</f>
        <v>0.97340425531914898</v>
      </c>
      <c r="K192" s="113"/>
    </row>
    <row r="193" spans="1:11" ht="13.5">
      <c r="A193" s="114"/>
      <c r="B193" s="115"/>
      <c r="C193" s="114"/>
      <c r="D193" s="116"/>
      <c r="E193" s="117"/>
      <c r="F193" s="116"/>
      <c r="G193" s="117"/>
      <c r="H193" s="115"/>
      <c r="I193" s="115"/>
      <c r="J193" s="116"/>
      <c r="K193" s="114"/>
    </row>
    <row r="194" spans="1:11" ht="13.5">
      <c r="A194" s="114"/>
      <c r="B194" s="115"/>
      <c r="C194" s="114"/>
      <c r="D194" s="116"/>
      <c r="E194" s="117"/>
      <c r="F194" s="116"/>
      <c r="G194" s="117"/>
      <c r="H194" s="115"/>
      <c r="I194" s="115"/>
      <c r="J194" s="116"/>
      <c r="K194" s="114"/>
    </row>
    <row r="195" spans="1:11" ht="14.25">
      <c r="A195" s="114"/>
      <c r="B195" s="115"/>
      <c r="C195" s="114"/>
      <c r="D195" s="116"/>
      <c r="F195" s="116"/>
      <c r="G195" s="118" t="s">
        <v>1123</v>
      </c>
      <c r="H195" s="118" t="s">
        <v>1124</v>
      </c>
      <c r="I195" s="118" t="s">
        <v>1125</v>
      </c>
      <c r="J195" s="119" t="s">
        <v>1126</v>
      </c>
      <c r="K195" s="114"/>
    </row>
    <row r="196" spans="1:11" ht="14.25">
      <c r="A196" s="114"/>
      <c r="B196" s="115"/>
      <c r="C196" s="114"/>
      <c r="D196" s="116"/>
      <c r="F196" s="116"/>
      <c r="G196" s="120" t="s">
        <v>812</v>
      </c>
      <c r="H196" s="120">
        <f>COUNTIF(E$3:E$191, "오류")</f>
        <v>52</v>
      </c>
      <c r="I196" s="120">
        <f>COUNTIFS(E$3:E$191, "오류", G$3:G$191, "&lt;&gt;")</f>
        <v>52</v>
      </c>
      <c r="J196" s="121">
        <f>IFERROR(I196/H196, 0)</f>
        <v>1</v>
      </c>
      <c r="K196" s="114"/>
    </row>
    <row r="197" spans="1:11" ht="14.25">
      <c r="A197" s="114"/>
      <c r="B197" s="115"/>
      <c r="C197" s="114"/>
      <c r="D197" s="116"/>
      <c r="F197" s="116"/>
      <c r="G197" s="120" t="s">
        <v>795</v>
      </c>
      <c r="H197" s="120">
        <f>COUNTIF(E$3:E$191, "사양변경")</f>
        <v>99</v>
      </c>
      <c r="I197" s="120">
        <f>COUNTIFS(E$3:E$191, "사양변경", G$3:G$191, "&lt;&gt;")</f>
        <v>95</v>
      </c>
      <c r="J197" s="121">
        <f t="shared" ref="J197:J198" si="0">IFERROR(I197/H197, 0)</f>
        <v>0.95959595959595956</v>
      </c>
      <c r="K197" s="114"/>
    </row>
    <row r="198" spans="1:11" ht="14.25">
      <c r="A198" s="114"/>
      <c r="B198" s="115"/>
      <c r="C198" s="114"/>
      <c r="D198" s="116"/>
      <c r="F198" s="116"/>
      <c r="G198" s="120" t="s">
        <v>832</v>
      </c>
      <c r="H198" s="120">
        <f>COUNTIF(E$3:E$191, "개발")</f>
        <v>37</v>
      </c>
      <c r="I198" s="120">
        <f>COUNTIFS(E$3:E$191, "개발", G$3:G$191, "&lt;&gt;")</f>
        <v>36</v>
      </c>
      <c r="J198" s="121">
        <f t="shared" si="0"/>
        <v>0.97297297297297303</v>
      </c>
      <c r="K198" s="114"/>
    </row>
    <row r="199" spans="1:11">
      <c r="A199" s="114"/>
      <c r="B199" s="115"/>
      <c r="C199" s="114"/>
      <c r="D199" s="116"/>
      <c r="E199" s="117"/>
      <c r="F199" s="116"/>
      <c r="G199" s="122" t="s">
        <v>1127</v>
      </c>
      <c r="H199" s="118">
        <f>SUM(H196:H198)</f>
        <v>188</v>
      </c>
      <c r="I199" s="122">
        <f>SUM(I196:I198)</f>
        <v>183</v>
      </c>
      <c r="J199" s="123">
        <f>I199/H199</f>
        <v>0.97340425531914898</v>
      </c>
      <c r="K199" s="114"/>
    </row>
    <row r="200" spans="1:11" ht="13.5">
      <c r="B200" s="124"/>
    </row>
    <row r="201" spans="1:11" ht="13.5">
      <c r="B201" s="124"/>
    </row>
    <row r="202" spans="1:11" ht="13.5">
      <c r="B202" s="124"/>
    </row>
    <row r="203" spans="1:11" ht="13.5">
      <c r="B203" s="124"/>
    </row>
    <row r="204" spans="1:11" ht="13.5">
      <c r="B204" s="124"/>
    </row>
    <row r="205" spans="1:11" ht="13.5">
      <c r="B205" s="124"/>
    </row>
    <row r="206" spans="1:11" ht="13.5">
      <c r="B206" s="124"/>
    </row>
    <row r="207" spans="1:11" ht="13.5">
      <c r="B207" s="124"/>
    </row>
    <row r="208" spans="1:11" ht="13.5">
      <c r="B208" s="124"/>
    </row>
    <row r="209" spans="2:2" ht="13.5">
      <c r="B209" s="124"/>
    </row>
    <row r="210" spans="2:2" ht="13.5">
      <c r="B210" s="124"/>
    </row>
    <row r="211" spans="2:2" ht="13.5">
      <c r="B211" s="124"/>
    </row>
    <row r="212" spans="2:2" ht="13.5">
      <c r="B212" s="124"/>
    </row>
    <row r="213" spans="2:2" ht="13.5">
      <c r="B213" s="124"/>
    </row>
    <row r="214" spans="2:2" ht="13.5">
      <c r="B214" s="124"/>
    </row>
    <row r="215" spans="2:2" ht="13.5">
      <c r="B215" s="124"/>
    </row>
    <row r="216" spans="2:2" ht="13.5">
      <c r="B216" s="124"/>
    </row>
    <row r="217" spans="2:2" ht="13.5">
      <c r="B217" s="124"/>
    </row>
    <row r="218" spans="2:2" ht="13.5">
      <c r="B218" s="124"/>
    </row>
    <row r="219" spans="2:2" ht="13.5">
      <c r="B219" s="124"/>
    </row>
    <row r="220" spans="2:2" ht="13.5">
      <c r="B220" s="124"/>
    </row>
    <row r="221" spans="2:2" ht="13.5">
      <c r="B221" s="124"/>
    </row>
    <row r="222" spans="2:2" ht="13.5">
      <c r="B222" s="124"/>
    </row>
    <row r="223" spans="2:2" ht="13.5">
      <c r="B223" s="124"/>
    </row>
    <row r="224" spans="2:2" ht="13.5">
      <c r="B224" s="124"/>
    </row>
    <row r="225" spans="2:2" ht="13.5">
      <c r="B225" s="124"/>
    </row>
    <row r="226" spans="2:2" ht="13.5">
      <c r="B226" s="124"/>
    </row>
    <row r="227" spans="2:2" ht="13.5">
      <c r="B227" s="124"/>
    </row>
    <row r="228" spans="2:2" ht="13.5">
      <c r="B228" s="124"/>
    </row>
    <row r="229" spans="2:2" ht="13.5">
      <c r="B229" s="124"/>
    </row>
    <row r="230" spans="2:2" ht="13.5">
      <c r="B230" s="124"/>
    </row>
    <row r="231" spans="2:2" ht="13.5">
      <c r="B231" s="124"/>
    </row>
    <row r="232" spans="2:2" ht="13.5">
      <c r="B232" s="124"/>
    </row>
    <row r="233" spans="2:2" ht="13.5">
      <c r="B233" s="124"/>
    </row>
    <row r="234" spans="2:2" ht="13.5">
      <c r="B234" s="124"/>
    </row>
    <row r="235" spans="2:2" ht="13.5">
      <c r="B235" s="124"/>
    </row>
    <row r="236" spans="2:2" ht="13.5">
      <c r="B236" s="124"/>
    </row>
    <row r="237" spans="2:2" ht="13.5">
      <c r="B237" s="124"/>
    </row>
    <row r="238" spans="2:2" ht="13.5">
      <c r="B238" s="124"/>
    </row>
    <row r="239" spans="2:2" ht="13.5">
      <c r="B239" s="124"/>
    </row>
    <row r="240" spans="2:2" ht="13.5">
      <c r="B240" s="124"/>
    </row>
    <row r="241" spans="2:2" ht="13.5">
      <c r="B241" s="124"/>
    </row>
    <row r="242" spans="2:2" ht="13.5">
      <c r="B242" s="124"/>
    </row>
    <row r="243" spans="2:2" ht="13.5">
      <c r="B243" s="124"/>
    </row>
  </sheetData>
  <autoFilter ref="A2:K192">
    <sortState ref="A3:K202">
      <sortCondition ref="A2:A202"/>
    </sortState>
  </autoFilter>
  <mergeCells count="2">
    <mergeCell ref="A1:K1"/>
    <mergeCell ref="A192:D192"/>
  </mergeCells>
  <phoneticPr fontId="1" type="noConversion"/>
  <conditionalFormatting sqref="C193:C243">
    <cfRule type="notContainsBlanks" dxfId="0" priority="1">
      <formula>LEN(TRIM(C193))&gt;0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0"/>
  <sheetViews>
    <sheetView workbookViewId="0">
      <selection activeCell="E18" sqref="E18"/>
    </sheetView>
  </sheetViews>
  <sheetFormatPr defaultRowHeight="16.5"/>
  <cols>
    <col min="2" max="2" width="11" customWidth="1"/>
    <col min="4" max="4" width="12.125" style="25" bestFit="1" customWidth="1"/>
    <col min="5" max="5" width="61.625" bestFit="1" customWidth="1"/>
    <col min="6" max="6" width="43.125" bestFit="1" customWidth="1"/>
  </cols>
  <sheetData>
    <row r="1" spans="2:6" ht="17.25" thickBot="1"/>
    <row r="2" spans="2:6" ht="29.25" customHeight="1" thickBot="1">
      <c r="B2" s="26" t="s">
        <v>89</v>
      </c>
      <c r="C2" s="27" t="s">
        <v>90</v>
      </c>
      <c r="D2" s="27" t="s">
        <v>91</v>
      </c>
      <c r="E2" s="27" t="s">
        <v>92</v>
      </c>
      <c r="F2" s="28" t="s">
        <v>93</v>
      </c>
    </row>
    <row r="3" spans="2:6" ht="29.25" customHeight="1">
      <c r="B3" s="131" t="s">
        <v>94</v>
      </c>
      <c r="C3" s="134" t="s">
        <v>95</v>
      </c>
      <c r="D3" s="29" t="s">
        <v>96</v>
      </c>
      <c r="E3" s="30" t="s">
        <v>97</v>
      </c>
      <c r="F3" s="137" t="s">
        <v>98</v>
      </c>
    </row>
    <row r="4" spans="2:6" ht="29.25" customHeight="1">
      <c r="B4" s="132"/>
      <c r="C4" s="135"/>
      <c r="D4" s="31" t="s">
        <v>99</v>
      </c>
      <c r="E4" s="32" t="s">
        <v>100</v>
      </c>
      <c r="F4" s="138"/>
    </row>
    <row r="5" spans="2:6" ht="29.25" customHeight="1">
      <c r="B5" s="132"/>
      <c r="C5" s="135"/>
      <c r="D5" s="31" t="s">
        <v>101</v>
      </c>
      <c r="E5" s="32" t="s">
        <v>102</v>
      </c>
      <c r="F5" s="138"/>
    </row>
    <row r="6" spans="2:6" ht="29.25" customHeight="1" thickBot="1">
      <c r="B6" s="133"/>
      <c r="C6" s="136"/>
      <c r="D6" s="33" t="s">
        <v>103</v>
      </c>
      <c r="E6" s="34" t="s">
        <v>104</v>
      </c>
      <c r="F6" s="139"/>
    </row>
    <row r="7" spans="2:6" ht="29.25" customHeight="1">
      <c r="B7" s="131" t="s">
        <v>105</v>
      </c>
      <c r="C7" s="134" t="s">
        <v>106</v>
      </c>
      <c r="D7" s="29" t="s">
        <v>96</v>
      </c>
      <c r="E7" s="30" t="s">
        <v>107</v>
      </c>
      <c r="F7" s="137" t="s">
        <v>108</v>
      </c>
    </row>
    <row r="8" spans="2:6" ht="29.25" customHeight="1">
      <c r="B8" s="132"/>
      <c r="C8" s="135"/>
      <c r="D8" s="31" t="s">
        <v>99</v>
      </c>
      <c r="E8" s="32" t="s">
        <v>100</v>
      </c>
      <c r="F8" s="138"/>
    </row>
    <row r="9" spans="2:6" ht="29.25" customHeight="1" thickBot="1">
      <c r="B9" s="133"/>
      <c r="C9" s="136"/>
      <c r="D9" s="33" t="s">
        <v>109</v>
      </c>
      <c r="E9" s="34" t="s">
        <v>110</v>
      </c>
      <c r="F9" s="139"/>
    </row>
    <row r="10" spans="2:6">
      <c r="F10" s="35"/>
    </row>
  </sheetData>
  <mergeCells count="6">
    <mergeCell ref="B3:B6"/>
    <mergeCell ref="C3:C6"/>
    <mergeCell ref="F3:F6"/>
    <mergeCell ref="B7:B9"/>
    <mergeCell ref="C7:C9"/>
    <mergeCell ref="F7:F9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03"/>
  <sheetViews>
    <sheetView workbookViewId="0">
      <pane ySplit="2" topLeftCell="A57" activePane="bottomLeft" state="frozen"/>
      <selection activeCell="E18" sqref="E18"/>
      <selection pane="bottomLeft" activeCell="E18" sqref="E18"/>
    </sheetView>
  </sheetViews>
  <sheetFormatPr defaultRowHeight="16.5"/>
  <cols>
    <col min="1" max="1" width="2.75" customWidth="1"/>
    <col min="2" max="2" width="18" style="25" customWidth="1"/>
    <col min="3" max="3" width="9" style="25"/>
    <col min="4" max="4" width="27.125" customWidth="1"/>
    <col min="5" max="5" width="6.875" customWidth="1"/>
    <col min="6" max="6" width="57" customWidth="1"/>
    <col min="7" max="7" width="55.625" customWidth="1"/>
  </cols>
  <sheetData>
    <row r="1" spans="2:7" ht="17.25" thickBot="1">
      <c r="B1" s="25" t="s">
        <v>111</v>
      </c>
    </row>
    <row r="2" spans="2:7" ht="17.25" thickBot="1">
      <c r="B2" s="36" t="s">
        <v>112</v>
      </c>
      <c r="C2" s="26" t="s">
        <v>113</v>
      </c>
      <c r="D2" s="140" t="s">
        <v>114</v>
      </c>
      <c r="E2" s="141"/>
      <c r="F2" s="28" t="s">
        <v>115</v>
      </c>
      <c r="G2" s="37" t="s">
        <v>116</v>
      </c>
    </row>
    <row r="3" spans="2:7">
      <c r="B3" s="142" t="s">
        <v>117</v>
      </c>
      <c r="C3" s="38" t="s">
        <v>118</v>
      </c>
      <c r="D3" s="145" t="s">
        <v>119</v>
      </c>
      <c r="E3" s="145"/>
      <c r="F3" s="39" t="s">
        <v>120</v>
      </c>
    </row>
    <row r="4" spans="2:7">
      <c r="B4" s="143"/>
      <c r="C4" s="40" t="s">
        <v>118</v>
      </c>
      <c r="D4" s="146" t="s">
        <v>121</v>
      </c>
      <c r="E4" s="146"/>
      <c r="F4" s="41" t="s">
        <v>122</v>
      </c>
    </row>
    <row r="5" spans="2:7">
      <c r="B5" s="143"/>
      <c r="C5" s="147" t="s">
        <v>123</v>
      </c>
      <c r="D5" s="146" t="s">
        <v>124</v>
      </c>
      <c r="E5" s="42" t="s">
        <v>125</v>
      </c>
      <c r="F5" s="41" t="s">
        <v>126</v>
      </c>
    </row>
    <row r="6" spans="2:7">
      <c r="B6" s="143"/>
      <c r="C6" s="147"/>
      <c r="D6" s="146"/>
      <c r="E6" s="43" t="s">
        <v>127</v>
      </c>
      <c r="F6" s="41" t="s">
        <v>128</v>
      </c>
    </row>
    <row r="7" spans="2:7">
      <c r="B7" s="143"/>
      <c r="C7" s="44" t="s">
        <v>129</v>
      </c>
      <c r="D7" s="32" t="s">
        <v>130</v>
      </c>
      <c r="E7" s="42" t="s">
        <v>131</v>
      </c>
      <c r="F7" s="45" t="s">
        <v>132</v>
      </c>
    </row>
    <row r="8" spans="2:7">
      <c r="B8" s="143"/>
      <c r="C8" s="44" t="s">
        <v>123</v>
      </c>
      <c r="D8" s="32" t="s">
        <v>133</v>
      </c>
      <c r="E8" s="43" t="s">
        <v>134</v>
      </c>
      <c r="F8" s="41" t="s">
        <v>135</v>
      </c>
    </row>
    <row r="9" spans="2:7">
      <c r="B9" s="143"/>
      <c r="C9" s="40" t="s">
        <v>136</v>
      </c>
      <c r="D9" s="146" t="s">
        <v>137</v>
      </c>
      <c r="E9" s="146"/>
      <c r="F9" s="41" t="s">
        <v>138</v>
      </c>
    </row>
    <row r="10" spans="2:7">
      <c r="B10" s="143"/>
      <c r="C10" s="44" t="s">
        <v>123</v>
      </c>
      <c r="D10" s="46" t="s">
        <v>139</v>
      </c>
      <c r="E10" s="42" t="s">
        <v>131</v>
      </c>
      <c r="F10" s="41" t="s">
        <v>140</v>
      </c>
    </row>
    <row r="11" spans="2:7" ht="17.25" thickBot="1">
      <c r="B11" s="144"/>
      <c r="C11" s="47" t="s">
        <v>123</v>
      </c>
      <c r="D11" s="48" t="s">
        <v>141</v>
      </c>
      <c r="E11" s="49" t="s">
        <v>127</v>
      </c>
      <c r="F11" s="50" t="s">
        <v>142</v>
      </c>
    </row>
    <row r="12" spans="2:7" ht="8.25" customHeight="1" thickBot="1">
      <c r="B12"/>
      <c r="E12" s="25"/>
    </row>
    <row r="13" spans="2:7">
      <c r="B13" s="142" t="s">
        <v>117</v>
      </c>
      <c r="C13" s="38" t="s">
        <v>118</v>
      </c>
      <c r="D13" s="145" t="s">
        <v>119</v>
      </c>
      <c r="E13" s="145"/>
      <c r="F13" s="39" t="s">
        <v>143</v>
      </c>
    </row>
    <row r="14" spans="2:7">
      <c r="B14" s="143"/>
      <c r="C14" s="40" t="s">
        <v>144</v>
      </c>
      <c r="D14" s="146" t="s">
        <v>121</v>
      </c>
      <c r="E14" s="146"/>
      <c r="F14" s="41" t="s">
        <v>122</v>
      </c>
    </row>
    <row r="15" spans="2:7">
      <c r="B15" s="143"/>
      <c r="C15" s="147" t="s">
        <v>123</v>
      </c>
      <c r="D15" s="146" t="s">
        <v>34</v>
      </c>
      <c r="E15" s="42" t="s">
        <v>125</v>
      </c>
      <c r="F15" s="41" t="s">
        <v>128</v>
      </c>
    </row>
    <row r="16" spans="2:7">
      <c r="B16" s="143"/>
      <c r="C16" s="147"/>
      <c r="D16" s="146"/>
      <c r="E16" s="43" t="s">
        <v>134</v>
      </c>
      <c r="F16" s="41" t="s">
        <v>128</v>
      </c>
    </row>
    <row r="17" spans="2:7">
      <c r="B17" s="143"/>
      <c r="C17" s="44" t="s">
        <v>145</v>
      </c>
      <c r="D17" s="32" t="s">
        <v>133</v>
      </c>
      <c r="E17" s="42" t="s">
        <v>125</v>
      </c>
      <c r="F17" s="45" t="s">
        <v>146</v>
      </c>
    </row>
    <row r="18" spans="2:7">
      <c r="B18" s="143"/>
      <c r="C18" s="44" t="s">
        <v>123</v>
      </c>
      <c r="D18" s="32" t="s">
        <v>133</v>
      </c>
      <c r="E18" s="43" t="s">
        <v>127</v>
      </c>
      <c r="F18" s="41" t="s">
        <v>147</v>
      </c>
    </row>
    <row r="19" spans="2:7">
      <c r="B19" s="143"/>
      <c r="C19" s="40" t="s">
        <v>118</v>
      </c>
      <c r="D19" s="146" t="s">
        <v>148</v>
      </c>
      <c r="E19" s="146"/>
      <c r="F19" s="41" t="s">
        <v>149</v>
      </c>
    </row>
    <row r="20" spans="2:7">
      <c r="B20" s="143"/>
      <c r="C20" s="44" t="s">
        <v>145</v>
      </c>
      <c r="D20" s="46" t="s">
        <v>139</v>
      </c>
      <c r="E20" s="42" t="s">
        <v>125</v>
      </c>
      <c r="F20" s="41" t="s">
        <v>150</v>
      </c>
    </row>
    <row r="21" spans="2:7" ht="17.25" thickBot="1">
      <c r="B21" s="144"/>
      <c r="C21" s="47" t="s">
        <v>145</v>
      </c>
      <c r="D21" s="48" t="s">
        <v>151</v>
      </c>
      <c r="E21" s="49" t="s">
        <v>127</v>
      </c>
      <c r="F21" s="50" t="s">
        <v>152</v>
      </c>
    </row>
    <row r="22" spans="2:7" ht="7.5" customHeight="1" thickBot="1">
      <c r="B22"/>
      <c r="E22" s="25"/>
    </row>
    <row r="23" spans="2:7">
      <c r="B23" s="142" t="s">
        <v>153</v>
      </c>
      <c r="C23" s="38" t="s">
        <v>144</v>
      </c>
      <c r="D23" s="145" t="s">
        <v>154</v>
      </c>
      <c r="E23" s="145"/>
      <c r="F23" s="39" t="s">
        <v>155</v>
      </c>
    </row>
    <row r="24" spans="2:7">
      <c r="B24" s="143"/>
      <c r="C24" s="40" t="s">
        <v>144</v>
      </c>
      <c r="D24" s="146" t="s">
        <v>121</v>
      </c>
      <c r="E24" s="146"/>
      <c r="F24" s="41" t="s">
        <v>122</v>
      </c>
    </row>
    <row r="25" spans="2:7">
      <c r="B25" s="143"/>
      <c r="C25" s="147" t="s">
        <v>123</v>
      </c>
      <c r="D25" s="146" t="s">
        <v>124</v>
      </c>
      <c r="E25" s="42" t="s">
        <v>125</v>
      </c>
      <c r="F25" s="41" t="s">
        <v>126</v>
      </c>
    </row>
    <row r="26" spans="2:7">
      <c r="B26" s="143"/>
      <c r="C26" s="147"/>
      <c r="D26" s="146"/>
      <c r="E26" s="43" t="s">
        <v>127</v>
      </c>
      <c r="F26" s="41" t="s">
        <v>156</v>
      </c>
    </row>
    <row r="27" spans="2:7">
      <c r="B27" s="143"/>
      <c r="C27" s="44" t="s">
        <v>145</v>
      </c>
      <c r="D27" s="32" t="s">
        <v>133</v>
      </c>
      <c r="E27" s="42" t="s">
        <v>125</v>
      </c>
      <c r="F27" s="51" t="s">
        <v>157</v>
      </c>
      <c r="G27" s="25" t="s">
        <v>158</v>
      </c>
    </row>
    <row r="28" spans="2:7">
      <c r="B28" s="143"/>
      <c r="C28" s="44" t="s">
        <v>145</v>
      </c>
      <c r="D28" s="32" t="s">
        <v>133</v>
      </c>
      <c r="E28" s="43" t="s">
        <v>127</v>
      </c>
      <c r="F28" s="41" t="s">
        <v>157</v>
      </c>
      <c r="G28" s="25"/>
    </row>
    <row r="29" spans="2:7">
      <c r="B29" s="143"/>
      <c r="C29" s="44" t="s">
        <v>145</v>
      </c>
      <c r="D29" s="32" t="s">
        <v>159</v>
      </c>
      <c r="E29" s="42" t="s">
        <v>131</v>
      </c>
      <c r="F29" s="41" t="s">
        <v>160</v>
      </c>
    </row>
    <row r="30" spans="2:7" ht="17.25" thickBot="1">
      <c r="B30" s="144"/>
      <c r="C30" s="52" t="s">
        <v>118</v>
      </c>
      <c r="D30" s="148" t="s">
        <v>137</v>
      </c>
      <c r="E30" s="148"/>
      <c r="F30" s="50" t="s">
        <v>161</v>
      </c>
    </row>
    <row r="31" spans="2:7" ht="8.25" customHeight="1" thickBot="1">
      <c r="B31"/>
      <c r="E31" s="25"/>
    </row>
    <row r="32" spans="2:7">
      <c r="B32" s="142" t="s">
        <v>162</v>
      </c>
      <c r="C32" s="38" t="s">
        <v>144</v>
      </c>
      <c r="D32" s="145" t="s">
        <v>163</v>
      </c>
      <c r="E32" s="145"/>
      <c r="F32" s="39" t="s">
        <v>164</v>
      </c>
    </row>
    <row r="33" spans="2:6">
      <c r="B33" s="143"/>
      <c r="C33" s="40" t="s">
        <v>144</v>
      </c>
      <c r="D33" s="146" t="s">
        <v>121</v>
      </c>
      <c r="E33" s="146"/>
      <c r="F33" s="41" t="s">
        <v>122</v>
      </c>
    </row>
    <row r="34" spans="2:6">
      <c r="B34" s="143"/>
      <c r="C34" s="147" t="s">
        <v>145</v>
      </c>
      <c r="D34" s="146" t="s">
        <v>165</v>
      </c>
      <c r="E34" s="42" t="s">
        <v>166</v>
      </c>
      <c r="F34" s="41" t="s">
        <v>128</v>
      </c>
    </row>
    <row r="35" spans="2:6">
      <c r="B35" s="143"/>
      <c r="C35" s="147"/>
      <c r="D35" s="146"/>
      <c r="E35" s="43" t="s">
        <v>127</v>
      </c>
      <c r="F35" s="41" t="s">
        <v>128</v>
      </c>
    </row>
    <row r="36" spans="2:6">
      <c r="B36" s="143"/>
      <c r="C36" s="44" t="s">
        <v>145</v>
      </c>
      <c r="D36" s="32" t="s">
        <v>133</v>
      </c>
      <c r="E36" s="42" t="s">
        <v>131</v>
      </c>
      <c r="F36" s="51" t="s">
        <v>167</v>
      </c>
    </row>
    <row r="37" spans="2:6">
      <c r="B37" s="143"/>
      <c r="C37" s="44" t="s">
        <v>123</v>
      </c>
      <c r="D37" s="32" t="s">
        <v>159</v>
      </c>
      <c r="E37" s="43" t="s">
        <v>168</v>
      </c>
      <c r="F37" s="41" t="s">
        <v>169</v>
      </c>
    </row>
    <row r="38" spans="2:6">
      <c r="B38" s="143"/>
      <c r="C38" s="44" t="s">
        <v>123</v>
      </c>
      <c r="D38" s="32" t="s">
        <v>159</v>
      </c>
      <c r="E38" s="42" t="s">
        <v>131</v>
      </c>
      <c r="F38" s="41" t="s">
        <v>170</v>
      </c>
    </row>
    <row r="39" spans="2:6">
      <c r="B39" s="143"/>
      <c r="C39" s="44" t="s">
        <v>145</v>
      </c>
      <c r="D39" s="32" t="s">
        <v>159</v>
      </c>
      <c r="E39" s="43" t="s">
        <v>134</v>
      </c>
      <c r="F39" s="41" t="s">
        <v>171</v>
      </c>
    </row>
    <row r="40" spans="2:6" ht="17.25" thickBot="1">
      <c r="B40" s="144"/>
      <c r="C40" s="52" t="s">
        <v>118</v>
      </c>
      <c r="D40" s="148" t="s">
        <v>137</v>
      </c>
      <c r="E40" s="148"/>
      <c r="F40" s="50" t="s">
        <v>161</v>
      </c>
    </row>
    <row r="41" spans="2:6" ht="8.25" customHeight="1" thickBot="1">
      <c r="B41"/>
      <c r="E41" s="25"/>
    </row>
    <row r="42" spans="2:6">
      <c r="B42" s="142" t="s">
        <v>117</v>
      </c>
      <c r="C42" s="38" t="s">
        <v>144</v>
      </c>
      <c r="D42" s="145" t="s">
        <v>119</v>
      </c>
      <c r="E42" s="145"/>
      <c r="F42" s="39" t="s">
        <v>172</v>
      </c>
    </row>
    <row r="43" spans="2:6">
      <c r="B43" s="143"/>
      <c r="C43" s="40" t="s">
        <v>144</v>
      </c>
      <c r="D43" s="146" t="s">
        <v>173</v>
      </c>
      <c r="E43" s="146"/>
      <c r="F43" s="41" t="s">
        <v>174</v>
      </c>
    </row>
    <row r="44" spans="2:6">
      <c r="B44" s="143"/>
      <c r="C44" s="147" t="s">
        <v>31</v>
      </c>
      <c r="D44" s="146" t="s">
        <v>124</v>
      </c>
      <c r="E44" s="42" t="s">
        <v>131</v>
      </c>
      <c r="F44" s="41" t="s">
        <v>126</v>
      </c>
    </row>
    <row r="45" spans="2:6">
      <c r="B45" s="143"/>
      <c r="C45" s="147"/>
      <c r="D45" s="146"/>
      <c r="E45" s="43" t="s">
        <v>127</v>
      </c>
      <c r="F45" s="41" t="s">
        <v>175</v>
      </c>
    </row>
    <row r="46" spans="2:6">
      <c r="B46" s="143"/>
      <c r="C46" s="44" t="s">
        <v>123</v>
      </c>
      <c r="D46" s="32" t="s">
        <v>176</v>
      </c>
      <c r="E46" s="42" t="s">
        <v>131</v>
      </c>
      <c r="F46" s="51" t="s">
        <v>177</v>
      </c>
    </row>
    <row r="47" spans="2:6" ht="17.25" thickBot="1">
      <c r="B47" s="144"/>
      <c r="C47" s="52" t="s">
        <v>178</v>
      </c>
      <c r="D47" s="148" t="s">
        <v>163</v>
      </c>
      <c r="E47" s="148"/>
      <c r="F47" s="50" t="s">
        <v>179</v>
      </c>
    </row>
    <row r="48" spans="2:6" ht="7.5" customHeight="1" thickBot="1">
      <c r="B48"/>
      <c r="D48" s="53"/>
      <c r="E48" s="53"/>
    </row>
    <row r="49" spans="2:6">
      <c r="B49" s="142" t="s">
        <v>180</v>
      </c>
      <c r="C49" s="38" t="s">
        <v>181</v>
      </c>
      <c r="D49" s="145" t="s">
        <v>119</v>
      </c>
      <c r="E49" s="145"/>
      <c r="F49" s="39" t="s">
        <v>182</v>
      </c>
    </row>
    <row r="50" spans="2:6">
      <c r="B50" s="143"/>
      <c r="C50" s="40" t="s">
        <v>144</v>
      </c>
      <c r="D50" s="146" t="s">
        <v>148</v>
      </c>
      <c r="E50" s="146"/>
      <c r="F50" s="41" t="s">
        <v>183</v>
      </c>
    </row>
    <row r="51" spans="2:6">
      <c r="B51" s="143"/>
      <c r="C51" s="40" t="s">
        <v>144</v>
      </c>
      <c r="D51" s="146" t="s">
        <v>173</v>
      </c>
      <c r="E51" s="146"/>
      <c r="F51" s="41" t="s">
        <v>174</v>
      </c>
    </row>
    <row r="52" spans="2:6">
      <c r="B52" s="143"/>
      <c r="C52" s="44" t="s">
        <v>145</v>
      </c>
      <c r="D52" s="32" t="s">
        <v>184</v>
      </c>
      <c r="E52" s="42" t="s">
        <v>125</v>
      </c>
      <c r="F52" s="45" t="s">
        <v>185</v>
      </c>
    </row>
    <row r="53" spans="2:6" ht="17.25" thickBot="1">
      <c r="B53" s="144"/>
      <c r="C53" s="47" t="s">
        <v>145</v>
      </c>
      <c r="D53" s="34" t="s">
        <v>186</v>
      </c>
      <c r="E53" s="54" t="s">
        <v>131</v>
      </c>
      <c r="F53" s="50" t="s">
        <v>187</v>
      </c>
    </row>
    <row r="54" spans="2:6" ht="6.75" customHeight="1" thickBot="1"/>
    <row r="55" spans="2:6">
      <c r="B55" s="149" t="s">
        <v>180</v>
      </c>
      <c r="C55" s="38" t="s">
        <v>118</v>
      </c>
      <c r="D55" s="145" t="s">
        <v>163</v>
      </c>
      <c r="E55" s="145"/>
      <c r="F55" s="39" t="s">
        <v>188</v>
      </c>
    </row>
    <row r="56" spans="2:6">
      <c r="B56" s="150"/>
      <c r="C56" s="40" t="s">
        <v>144</v>
      </c>
      <c r="D56" s="146" t="s">
        <v>189</v>
      </c>
      <c r="E56" s="146"/>
      <c r="F56" s="41" t="s">
        <v>190</v>
      </c>
    </row>
    <row r="57" spans="2:6">
      <c r="B57" s="150"/>
      <c r="C57" s="40" t="s">
        <v>118</v>
      </c>
      <c r="D57" s="146" t="s">
        <v>121</v>
      </c>
      <c r="E57" s="146"/>
      <c r="F57" s="41" t="s">
        <v>191</v>
      </c>
    </row>
    <row r="58" spans="2:6">
      <c r="B58" s="150"/>
      <c r="C58" s="44" t="s">
        <v>123</v>
      </c>
      <c r="D58" s="32" t="s">
        <v>124</v>
      </c>
      <c r="E58" s="42" t="s">
        <v>125</v>
      </c>
      <c r="F58" s="45" t="s">
        <v>192</v>
      </c>
    </row>
    <row r="59" spans="2:6">
      <c r="B59" s="150"/>
      <c r="C59" s="40" t="s">
        <v>118</v>
      </c>
      <c r="D59" s="146" t="s">
        <v>148</v>
      </c>
      <c r="E59" s="146"/>
      <c r="F59" s="41" t="s">
        <v>193</v>
      </c>
    </row>
    <row r="60" spans="2:6">
      <c r="B60" s="150"/>
      <c r="C60" s="40" t="s">
        <v>118</v>
      </c>
      <c r="D60" s="146" t="s">
        <v>194</v>
      </c>
      <c r="E60" s="146"/>
      <c r="F60" s="41" t="s">
        <v>195</v>
      </c>
    </row>
    <row r="61" spans="2:6">
      <c r="B61" s="150"/>
      <c r="C61" s="40" t="s">
        <v>118</v>
      </c>
      <c r="D61" s="146" t="s">
        <v>148</v>
      </c>
      <c r="E61" s="146"/>
      <c r="F61" s="41" t="s">
        <v>196</v>
      </c>
    </row>
    <row r="62" spans="2:6">
      <c r="B62" s="150"/>
      <c r="C62" s="40" t="s">
        <v>118</v>
      </c>
      <c r="D62" s="146" t="s">
        <v>173</v>
      </c>
      <c r="E62" s="146"/>
      <c r="F62" s="41" t="s">
        <v>191</v>
      </c>
    </row>
    <row r="63" spans="2:6">
      <c r="B63" s="150"/>
      <c r="C63" s="44" t="s">
        <v>145</v>
      </c>
      <c r="D63" s="32" t="s">
        <v>133</v>
      </c>
      <c r="E63" s="42" t="s">
        <v>125</v>
      </c>
      <c r="F63" s="41"/>
    </row>
    <row r="64" spans="2:6" ht="17.25" thickBot="1">
      <c r="B64" s="151"/>
      <c r="C64" s="47" t="s">
        <v>123</v>
      </c>
      <c r="D64" s="34" t="s">
        <v>197</v>
      </c>
      <c r="E64" s="54" t="s">
        <v>125</v>
      </c>
      <c r="F64" s="50" t="s">
        <v>198</v>
      </c>
    </row>
    <row r="65" spans="2:6" ht="8.25" customHeight="1" thickBot="1"/>
    <row r="66" spans="2:6">
      <c r="B66" s="142" t="s">
        <v>199</v>
      </c>
      <c r="C66" s="55" t="s">
        <v>123</v>
      </c>
      <c r="D66" s="30" t="s">
        <v>124</v>
      </c>
      <c r="E66" s="56" t="s">
        <v>131</v>
      </c>
      <c r="F66" s="39" t="s">
        <v>200</v>
      </c>
    </row>
    <row r="67" spans="2:6">
      <c r="B67" s="143"/>
      <c r="C67" s="44" t="s">
        <v>145</v>
      </c>
      <c r="D67" s="32" t="s">
        <v>201</v>
      </c>
      <c r="E67" s="42" t="s">
        <v>125</v>
      </c>
      <c r="F67" s="45" t="s">
        <v>202</v>
      </c>
    </row>
    <row r="68" spans="2:6">
      <c r="B68" s="143"/>
      <c r="C68" s="44" t="s">
        <v>145</v>
      </c>
      <c r="D68" s="32" t="s">
        <v>159</v>
      </c>
      <c r="E68" s="43" t="s">
        <v>134</v>
      </c>
      <c r="F68" s="41" t="s">
        <v>202</v>
      </c>
    </row>
    <row r="69" spans="2:6">
      <c r="B69" s="143"/>
      <c r="C69" s="44" t="s">
        <v>145</v>
      </c>
      <c r="D69" s="32" t="s">
        <v>203</v>
      </c>
      <c r="E69" s="57" t="s">
        <v>204</v>
      </c>
      <c r="F69" s="41" t="s">
        <v>205</v>
      </c>
    </row>
    <row r="70" spans="2:6">
      <c r="B70" s="143"/>
      <c r="C70" s="44" t="s">
        <v>145</v>
      </c>
      <c r="D70" s="32" t="s">
        <v>186</v>
      </c>
      <c r="E70" s="42" t="s">
        <v>125</v>
      </c>
      <c r="F70" s="41" t="s">
        <v>187</v>
      </c>
    </row>
    <row r="71" spans="2:6" ht="17.25" thickBot="1">
      <c r="B71" s="144"/>
      <c r="C71" s="52" t="s">
        <v>136</v>
      </c>
      <c r="D71" s="148" t="s">
        <v>206</v>
      </c>
      <c r="E71" s="148"/>
      <c r="F71" s="50" t="s">
        <v>207</v>
      </c>
    </row>
    <row r="72" spans="2:6" ht="8.25" customHeight="1" thickBot="1"/>
    <row r="73" spans="2:6">
      <c r="B73" s="142" t="s">
        <v>208</v>
      </c>
      <c r="C73" s="55" t="s">
        <v>145</v>
      </c>
      <c r="D73" s="30" t="s">
        <v>165</v>
      </c>
      <c r="E73" s="56" t="s">
        <v>166</v>
      </c>
      <c r="F73" s="39" t="s">
        <v>209</v>
      </c>
    </row>
    <row r="74" spans="2:6">
      <c r="B74" s="143"/>
      <c r="C74" s="44" t="s">
        <v>123</v>
      </c>
      <c r="D74" s="32" t="s">
        <v>133</v>
      </c>
      <c r="E74" s="42" t="s">
        <v>131</v>
      </c>
      <c r="F74" s="51" t="s">
        <v>210</v>
      </c>
    </row>
    <row r="75" spans="2:6">
      <c r="B75" s="143"/>
      <c r="C75" s="44" t="s">
        <v>145</v>
      </c>
      <c r="D75" s="32" t="s">
        <v>133</v>
      </c>
      <c r="E75" s="43" t="s">
        <v>127</v>
      </c>
      <c r="F75" s="41" t="s">
        <v>211</v>
      </c>
    </row>
    <row r="76" spans="2:6">
      <c r="B76" s="143"/>
      <c r="C76" s="44" t="s">
        <v>145</v>
      </c>
      <c r="D76" s="32" t="s">
        <v>133</v>
      </c>
      <c r="E76" s="42" t="s">
        <v>212</v>
      </c>
      <c r="F76" s="58" t="s">
        <v>213</v>
      </c>
    </row>
    <row r="77" spans="2:6">
      <c r="B77" s="143"/>
      <c r="C77" s="44" t="s">
        <v>145</v>
      </c>
      <c r="D77" s="32" t="s">
        <v>214</v>
      </c>
      <c r="E77" s="57" t="s">
        <v>215</v>
      </c>
      <c r="F77" s="41" t="s">
        <v>216</v>
      </c>
    </row>
    <row r="78" spans="2:6">
      <c r="B78" s="143"/>
      <c r="C78" s="44" t="s">
        <v>123</v>
      </c>
      <c r="D78" s="32" t="s">
        <v>217</v>
      </c>
      <c r="E78" s="42" t="s">
        <v>131</v>
      </c>
      <c r="F78" s="41" t="s">
        <v>198</v>
      </c>
    </row>
    <row r="79" spans="2:6" ht="17.25" thickBot="1">
      <c r="B79" s="144"/>
      <c r="C79" s="52" t="s">
        <v>144</v>
      </c>
      <c r="D79" s="148" t="s">
        <v>206</v>
      </c>
      <c r="E79" s="148"/>
      <c r="F79" s="50" t="s">
        <v>218</v>
      </c>
    </row>
    <row r="80" spans="2:6" ht="9" customHeight="1" thickBot="1">
      <c r="D80" s="53"/>
      <c r="E80" s="53"/>
    </row>
    <row r="81" spans="2:6">
      <c r="B81" s="142" t="s">
        <v>199</v>
      </c>
      <c r="C81" s="55" t="s">
        <v>123</v>
      </c>
      <c r="D81" s="30" t="s">
        <v>165</v>
      </c>
      <c r="E81" s="56" t="s">
        <v>166</v>
      </c>
      <c r="F81" s="39" t="s">
        <v>219</v>
      </c>
    </row>
    <row r="82" spans="2:6">
      <c r="B82" s="143"/>
      <c r="C82" s="44" t="s">
        <v>145</v>
      </c>
      <c r="D82" s="32" t="s">
        <v>133</v>
      </c>
      <c r="E82" s="42" t="s">
        <v>131</v>
      </c>
      <c r="F82" s="45" t="s">
        <v>220</v>
      </c>
    </row>
    <row r="83" spans="2:6">
      <c r="B83" s="143"/>
      <c r="C83" s="44" t="s">
        <v>123</v>
      </c>
      <c r="D83" s="32" t="s">
        <v>159</v>
      </c>
      <c r="E83" s="43" t="s">
        <v>134</v>
      </c>
      <c r="F83" s="41" t="s">
        <v>220</v>
      </c>
    </row>
    <row r="84" spans="2:6">
      <c r="B84" s="143"/>
      <c r="C84" s="44" t="s">
        <v>145</v>
      </c>
      <c r="D84" s="32" t="s">
        <v>221</v>
      </c>
      <c r="E84" s="57" t="s">
        <v>222</v>
      </c>
      <c r="F84" s="58" t="s">
        <v>223</v>
      </c>
    </row>
    <row r="85" spans="2:6">
      <c r="B85" s="143"/>
      <c r="C85" s="44" t="s">
        <v>123</v>
      </c>
      <c r="D85" s="32" t="s">
        <v>214</v>
      </c>
      <c r="E85" s="57" t="s">
        <v>204</v>
      </c>
      <c r="F85" s="41" t="s">
        <v>216</v>
      </c>
    </row>
    <row r="86" spans="2:6">
      <c r="B86" s="143"/>
      <c r="C86" s="44" t="s">
        <v>145</v>
      </c>
      <c r="D86" s="32" t="s">
        <v>186</v>
      </c>
      <c r="E86" s="42" t="s">
        <v>131</v>
      </c>
      <c r="F86" s="41" t="s">
        <v>198</v>
      </c>
    </row>
    <row r="87" spans="2:6">
      <c r="B87" s="143"/>
      <c r="C87" s="40" t="s">
        <v>144</v>
      </c>
      <c r="D87" s="146" t="s">
        <v>224</v>
      </c>
      <c r="E87" s="146"/>
      <c r="F87" s="58" t="s">
        <v>225</v>
      </c>
    </row>
    <row r="88" spans="2:6" ht="17.25" thickBot="1">
      <c r="B88" s="144"/>
      <c r="C88" s="52" t="s">
        <v>144</v>
      </c>
      <c r="D88" s="148" t="s">
        <v>226</v>
      </c>
      <c r="E88" s="148"/>
      <c r="F88" s="59" t="s">
        <v>207</v>
      </c>
    </row>
    <row r="89" spans="2:6" ht="9" customHeight="1" thickBot="1">
      <c r="E89" s="25"/>
    </row>
    <row r="90" spans="2:6">
      <c r="B90" s="142" t="s">
        <v>199</v>
      </c>
      <c r="C90" s="55" t="s">
        <v>123</v>
      </c>
      <c r="D90" s="30" t="s">
        <v>124</v>
      </c>
      <c r="E90" s="56" t="s">
        <v>131</v>
      </c>
      <c r="F90" s="39" t="s">
        <v>227</v>
      </c>
    </row>
    <row r="91" spans="2:6">
      <c r="B91" s="143"/>
      <c r="C91" s="44" t="s">
        <v>123</v>
      </c>
      <c r="D91" s="32" t="s">
        <v>159</v>
      </c>
      <c r="E91" s="42" t="s">
        <v>131</v>
      </c>
      <c r="F91" s="51" t="s">
        <v>228</v>
      </c>
    </row>
    <row r="92" spans="2:6">
      <c r="B92" s="143"/>
      <c r="C92" s="44" t="s">
        <v>145</v>
      </c>
      <c r="D92" s="32" t="s">
        <v>159</v>
      </c>
      <c r="E92" s="43" t="s">
        <v>127</v>
      </c>
      <c r="F92" s="41" t="s">
        <v>229</v>
      </c>
    </row>
    <row r="93" spans="2:6">
      <c r="B93" s="143"/>
      <c r="C93" s="44" t="s">
        <v>123</v>
      </c>
      <c r="D93" s="32" t="s">
        <v>230</v>
      </c>
      <c r="E93" s="57" t="s">
        <v>222</v>
      </c>
      <c r="F93" s="58" t="s">
        <v>231</v>
      </c>
    </row>
    <row r="94" spans="2:6">
      <c r="B94" s="143"/>
      <c r="C94" s="44" t="s">
        <v>123</v>
      </c>
      <c r="D94" s="32" t="s">
        <v>65</v>
      </c>
      <c r="E94" s="57" t="s">
        <v>222</v>
      </c>
      <c r="F94" s="41" t="s">
        <v>216</v>
      </c>
    </row>
    <row r="95" spans="2:6">
      <c r="B95" s="143"/>
      <c r="C95" s="44" t="s">
        <v>145</v>
      </c>
      <c r="D95" s="32" t="s">
        <v>197</v>
      </c>
      <c r="E95" s="42" t="s">
        <v>131</v>
      </c>
      <c r="F95" s="41" t="s">
        <v>198</v>
      </c>
    </row>
    <row r="96" spans="2:6">
      <c r="B96" s="143"/>
      <c r="C96" s="40" t="s">
        <v>181</v>
      </c>
      <c r="D96" s="146" t="s">
        <v>206</v>
      </c>
      <c r="E96" s="146"/>
      <c r="F96" s="58" t="s">
        <v>207</v>
      </c>
    </row>
    <row r="97" spans="2:6" ht="17.25" thickBot="1">
      <c r="B97" s="144"/>
      <c r="C97" s="52" t="s">
        <v>118</v>
      </c>
      <c r="D97" s="148" t="s">
        <v>226</v>
      </c>
      <c r="E97" s="148"/>
      <c r="F97" s="59" t="s">
        <v>225</v>
      </c>
    </row>
    <row r="98" spans="2:6" ht="8.25" customHeight="1" thickBot="1">
      <c r="C98"/>
      <c r="D98" s="152"/>
      <c r="E98" s="152"/>
    </row>
    <row r="99" spans="2:6">
      <c r="B99" s="142" t="s">
        <v>232</v>
      </c>
      <c r="C99" s="55" t="s">
        <v>145</v>
      </c>
      <c r="D99" s="30" t="s">
        <v>165</v>
      </c>
      <c r="E99" s="56" t="s">
        <v>125</v>
      </c>
      <c r="F99" s="39" t="s">
        <v>233</v>
      </c>
    </row>
    <row r="100" spans="2:6">
      <c r="B100" s="143"/>
      <c r="C100" s="44" t="s">
        <v>123</v>
      </c>
      <c r="D100" s="32" t="s">
        <v>133</v>
      </c>
      <c r="E100" s="42" t="s">
        <v>131</v>
      </c>
      <c r="F100" s="51" t="s">
        <v>234</v>
      </c>
    </row>
    <row r="101" spans="2:6">
      <c r="B101" s="143"/>
      <c r="C101" s="44" t="s">
        <v>123</v>
      </c>
      <c r="D101" s="32" t="s">
        <v>133</v>
      </c>
      <c r="E101" s="43" t="s">
        <v>134</v>
      </c>
      <c r="F101" s="41" t="s">
        <v>202</v>
      </c>
    </row>
    <row r="102" spans="2:6" ht="17.25" thickBot="1">
      <c r="B102" s="144"/>
      <c r="C102" s="52" t="s">
        <v>118</v>
      </c>
      <c r="D102" s="148" t="s">
        <v>235</v>
      </c>
      <c r="E102" s="148"/>
      <c r="F102" s="59" t="s">
        <v>236</v>
      </c>
    </row>
    <row r="103" spans="2:6" ht="8.25" customHeight="1" thickBot="1">
      <c r="C103"/>
    </row>
    <row r="104" spans="2:6">
      <c r="B104" s="142" t="s">
        <v>237</v>
      </c>
      <c r="C104" s="55" t="s">
        <v>31</v>
      </c>
      <c r="D104" s="30" t="s">
        <v>124</v>
      </c>
      <c r="E104" s="56" t="s">
        <v>131</v>
      </c>
      <c r="F104" s="39" t="s">
        <v>233</v>
      </c>
    </row>
    <row r="105" spans="2:6">
      <c r="B105" s="143"/>
      <c r="C105" s="44" t="s">
        <v>123</v>
      </c>
      <c r="D105" s="32" t="s">
        <v>133</v>
      </c>
      <c r="E105" s="42" t="s">
        <v>125</v>
      </c>
      <c r="F105" s="51" t="s">
        <v>238</v>
      </c>
    </row>
    <row r="106" spans="2:6">
      <c r="B106" s="143"/>
      <c r="C106" s="44" t="s">
        <v>145</v>
      </c>
      <c r="D106" s="32" t="s">
        <v>201</v>
      </c>
      <c r="E106" s="43" t="s">
        <v>127</v>
      </c>
      <c r="F106" s="41" t="s">
        <v>238</v>
      </c>
    </row>
    <row r="107" spans="2:6">
      <c r="B107" s="143"/>
      <c r="C107" s="44" t="s">
        <v>145</v>
      </c>
      <c r="D107" s="32" t="s">
        <v>159</v>
      </c>
      <c r="E107" s="42" t="s">
        <v>125</v>
      </c>
      <c r="F107" s="41" t="s">
        <v>239</v>
      </c>
    </row>
    <row r="108" spans="2:6" ht="17.25" thickBot="1">
      <c r="B108" s="144"/>
      <c r="C108" s="52" t="s">
        <v>118</v>
      </c>
      <c r="D108" s="148" t="s">
        <v>235</v>
      </c>
      <c r="E108" s="148"/>
      <c r="F108" s="59" t="s">
        <v>240</v>
      </c>
    </row>
    <row r="109" spans="2:6" ht="8.25" customHeight="1" thickBot="1">
      <c r="C109"/>
    </row>
    <row r="110" spans="2:6">
      <c r="B110" s="142" t="s">
        <v>232</v>
      </c>
      <c r="C110" s="55" t="s">
        <v>145</v>
      </c>
      <c r="D110" s="30" t="s">
        <v>124</v>
      </c>
      <c r="E110" s="56" t="s">
        <v>131</v>
      </c>
      <c r="F110" s="39" t="s">
        <v>241</v>
      </c>
    </row>
    <row r="111" spans="2:6">
      <c r="B111" s="143"/>
      <c r="C111" s="44" t="s">
        <v>145</v>
      </c>
      <c r="D111" s="32" t="s">
        <v>133</v>
      </c>
      <c r="E111" s="42" t="s">
        <v>125</v>
      </c>
      <c r="F111" s="51" t="s">
        <v>242</v>
      </c>
    </row>
    <row r="112" spans="2:6">
      <c r="B112" s="143"/>
      <c r="C112" s="44" t="s">
        <v>123</v>
      </c>
      <c r="D112" s="32" t="s">
        <v>133</v>
      </c>
      <c r="E112" s="43" t="s">
        <v>134</v>
      </c>
      <c r="F112" s="41" t="s">
        <v>242</v>
      </c>
    </row>
    <row r="113" spans="2:6">
      <c r="B113" s="143"/>
      <c r="C113" s="44" t="s">
        <v>123</v>
      </c>
      <c r="D113" s="32" t="s">
        <v>130</v>
      </c>
      <c r="E113" s="42" t="s">
        <v>131</v>
      </c>
      <c r="F113" s="41" t="s">
        <v>243</v>
      </c>
    </row>
    <row r="114" spans="2:6">
      <c r="B114" s="143"/>
      <c r="C114" s="44" t="s">
        <v>123</v>
      </c>
      <c r="D114" s="32" t="s">
        <v>159</v>
      </c>
      <c r="E114" s="43" t="s">
        <v>168</v>
      </c>
      <c r="F114" s="41" t="s">
        <v>244</v>
      </c>
    </row>
    <row r="115" spans="2:6">
      <c r="B115" s="143"/>
      <c r="C115" s="44" t="s">
        <v>129</v>
      </c>
      <c r="D115" s="32" t="s">
        <v>165</v>
      </c>
      <c r="E115" s="42" t="s">
        <v>131</v>
      </c>
      <c r="F115" s="41" t="s">
        <v>245</v>
      </c>
    </row>
    <row r="116" spans="2:6">
      <c r="B116" s="143"/>
      <c r="C116" s="44" t="s">
        <v>123</v>
      </c>
      <c r="D116" s="32" t="s">
        <v>133</v>
      </c>
      <c r="E116" s="42" t="s">
        <v>125</v>
      </c>
      <c r="F116" s="41" t="s">
        <v>246</v>
      </c>
    </row>
    <row r="117" spans="2:6">
      <c r="B117" s="143"/>
      <c r="C117" s="44" t="s">
        <v>123</v>
      </c>
      <c r="D117" s="32" t="s">
        <v>159</v>
      </c>
      <c r="E117" s="43" t="s">
        <v>134</v>
      </c>
      <c r="F117" s="41" t="s">
        <v>247</v>
      </c>
    </row>
    <row r="118" spans="2:6">
      <c r="B118" s="143"/>
      <c r="C118" s="44" t="s">
        <v>145</v>
      </c>
      <c r="D118" s="32" t="s">
        <v>197</v>
      </c>
      <c r="E118" s="42" t="s">
        <v>131</v>
      </c>
      <c r="F118" s="41" t="s">
        <v>198</v>
      </c>
    </row>
    <row r="119" spans="2:6" ht="17.25" thickBot="1">
      <c r="B119" s="144"/>
      <c r="C119" s="52" t="s">
        <v>178</v>
      </c>
      <c r="D119" s="148" t="s">
        <v>235</v>
      </c>
      <c r="E119" s="148"/>
      <c r="F119" s="59" t="s">
        <v>240</v>
      </c>
    </row>
    <row r="120" spans="2:6" ht="8.25" customHeight="1" thickBot="1"/>
    <row r="121" spans="2:6">
      <c r="B121" s="142" t="s">
        <v>248</v>
      </c>
      <c r="C121" s="38" t="s">
        <v>144</v>
      </c>
      <c r="D121" s="145" t="s">
        <v>163</v>
      </c>
      <c r="E121" s="145"/>
      <c r="F121" s="39" t="s">
        <v>249</v>
      </c>
    </row>
    <row r="122" spans="2:6">
      <c r="B122" s="143"/>
      <c r="C122" s="40" t="s">
        <v>144</v>
      </c>
      <c r="D122" s="146" t="s">
        <v>250</v>
      </c>
      <c r="E122" s="146"/>
      <c r="F122" s="58" t="s">
        <v>251</v>
      </c>
    </row>
    <row r="123" spans="2:6">
      <c r="B123" s="143"/>
      <c r="C123" s="44" t="s">
        <v>145</v>
      </c>
      <c r="D123" s="32" t="s">
        <v>252</v>
      </c>
      <c r="E123" s="42" t="s">
        <v>125</v>
      </c>
      <c r="F123" s="41" t="s">
        <v>253</v>
      </c>
    </row>
    <row r="124" spans="2:6">
      <c r="B124" s="143"/>
      <c r="C124" s="44" t="s">
        <v>145</v>
      </c>
      <c r="D124" s="32" t="s">
        <v>254</v>
      </c>
      <c r="E124" s="42" t="s">
        <v>131</v>
      </c>
      <c r="F124" s="51" t="s">
        <v>255</v>
      </c>
    </row>
    <row r="125" spans="2:6">
      <c r="B125" s="143"/>
      <c r="C125" s="44" t="s">
        <v>123</v>
      </c>
      <c r="D125" s="32" t="s">
        <v>256</v>
      </c>
      <c r="E125" s="43" t="s">
        <v>127</v>
      </c>
      <c r="F125" s="41" t="s">
        <v>257</v>
      </c>
    </row>
    <row r="126" spans="2:6">
      <c r="B126" s="143"/>
      <c r="C126" s="44" t="s">
        <v>145</v>
      </c>
      <c r="D126" s="32" t="s">
        <v>197</v>
      </c>
      <c r="E126" s="42" t="s">
        <v>125</v>
      </c>
      <c r="F126" s="41" t="s">
        <v>198</v>
      </c>
    </row>
    <row r="127" spans="2:6">
      <c r="B127" s="143"/>
      <c r="C127" s="44" t="s">
        <v>31</v>
      </c>
      <c r="D127" s="46" t="s">
        <v>256</v>
      </c>
      <c r="E127" s="42" t="s">
        <v>125</v>
      </c>
      <c r="F127" s="41" t="s">
        <v>258</v>
      </c>
    </row>
    <row r="128" spans="2:6">
      <c r="B128" s="143"/>
      <c r="C128" s="40" t="s">
        <v>178</v>
      </c>
      <c r="D128" s="146" t="s">
        <v>259</v>
      </c>
      <c r="E128" s="146"/>
      <c r="F128" s="58" t="s">
        <v>260</v>
      </c>
    </row>
    <row r="129" spans="2:7">
      <c r="B129" s="143"/>
      <c r="C129" s="44" t="s">
        <v>129</v>
      </c>
      <c r="D129" s="46" t="s">
        <v>141</v>
      </c>
      <c r="E129" s="43" t="s">
        <v>134</v>
      </c>
      <c r="F129" s="41" t="s">
        <v>261</v>
      </c>
    </row>
    <row r="130" spans="2:7">
      <c r="B130" s="143"/>
      <c r="C130" s="44" t="s">
        <v>145</v>
      </c>
      <c r="D130" s="32" t="s">
        <v>197</v>
      </c>
      <c r="E130" s="42" t="s">
        <v>131</v>
      </c>
      <c r="F130" s="41" t="s">
        <v>198</v>
      </c>
    </row>
    <row r="131" spans="2:7" ht="17.25" thickBot="1">
      <c r="B131" s="144"/>
      <c r="C131" s="52" t="s">
        <v>118</v>
      </c>
      <c r="D131" s="148" t="s">
        <v>262</v>
      </c>
      <c r="E131" s="148"/>
      <c r="F131" s="59" t="s">
        <v>263</v>
      </c>
    </row>
    <row r="132" spans="2:7" ht="9" customHeight="1" thickBot="1"/>
    <row r="133" spans="2:7">
      <c r="B133" s="142" t="s">
        <v>264</v>
      </c>
      <c r="C133" s="38" t="s">
        <v>118</v>
      </c>
      <c r="D133" s="145" t="s">
        <v>265</v>
      </c>
      <c r="E133" s="145"/>
      <c r="F133" s="39" t="s">
        <v>266</v>
      </c>
    </row>
    <row r="134" spans="2:7">
      <c r="B134" s="143"/>
      <c r="C134" s="40" t="s">
        <v>118</v>
      </c>
      <c r="D134" s="146" t="s">
        <v>267</v>
      </c>
      <c r="E134" s="146"/>
      <c r="F134" s="58" t="s">
        <v>251</v>
      </c>
    </row>
    <row r="135" spans="2:7">
      <c r="B135" s="143"/>
      <c r="C135" s="44" t="s">
        <v>145</v>
      </c>
      <c r="D135" s="32" t="s">
        <v>252</v>
      </c>
      <c r="E135" s="42" t="s">
        <v>125</v>
      </c>
      <c r="F135" s="41" t="s">
        <v>268</v>
      </c>
    </row>
    <row r="136" spans="2:7">
      <c r="B136" s="143"/>
      <c r="C136" s="44" t="s">
        <v>145</v>
      </c>
      <c r="D136" s="32" t="s">
        <v>254</v>
      </c>
      <c r="E136" s="43" t="s">
        <v>134</v>
      </c>
      <c r="F136" s="51" t="s">
        <v>269</v>
      </c>
      <c r="G136" t="s">
        <v>270</v>
      </c>
    </row>
    <row r="137" spans="2:7">
      <c r="B137" s="143"/>
      <c r="C137" s="44" t="s">
        <v>145</v>
      </c>
      <c r="D137" s="32" t="s">
        <v>197</v>
      </c>
      <c r="E137" s="42" t="s">
        <v>131</v>
      </c>
      <c r="F137" s="41" t="s">
        <v>187</v>
      </c>
    </row>
    <row r="138" spans="2:7">
      <c r="B138" s="143"/>
      <c r="C138" s="44" t="s">
        <v>123</v>
      </c>
      <c r="D138" s="46" t="s">
        <v>254</v>
      </c>
      <c r="E138" s="42" t="s">
        <v>125</v>
      </c>
      <c r="F138" s="41" t="s">
        <v>258</v>
      </c>
    </row>
    <row r="139" spans="2:7">
      <c r="B139" s="143"/>
      <c r="C139" s="40" t="s">
        <v>144</v>
      </c>
      <c r="D139" s="146" t="s">
        <v>259</v>
      </c>
      <c r="E139" s="146"/>
      <c r="F139" s="58" t="s">
        <v>271</v>
      </c>
    </row>
    <row r="140" spans="2:7">
      <c r="B140" s="143"/>
      <c r="C140" s="44" t="s">
        <v>145</v>
      </c>
      <c r="D140" s="46" t="s">
        <v>139</v>
      </c>
      <c r="E140" s="43" t="s">
        <v>127</v>
      </c>
      <c r="F140" s="41" t="s">
        <v>142</v>
      </c>
    </row>
    <row r="141" spans="2:7" ht="17.25" thickBot="1">
      <c r="B141" s="144"/>
      <c r="C141" s="52" t="s">
        <v>178</v>
      </c>
      <c r="D141" s="148" t="s">
        <v>206</v>
      </c>
      <c r="E141" s="148"/>
      <c r="F141" s="59" t="s">
        <v>263</v>
      </c>
    </row>
    <row r="142" spans="2:7" ht="9" customHeight="1" thickBot="1"/>
    <row r="143" spans="2:7">
      <c r="B143" s="142" t="s">
        <v>248</v>
      </c>
      <c r="C143" s="38" t="s">
        <v>118</v>
      </c>
      <c r="D143" s="145" t="s">
        <v>119</v>
      </c>
      <c r="E143" s="145"/>
      <c r="F143" s="39" t="s">
        <v>249</v>
      </c>
    </row>
    <row r="144" spans="2:7">
      <c r="B144" s="143"/>
      <c r="C144" s="40" t="s">
        <v>118</v>
      </c>
      <c r="D144" s="146" t="s">
        <v>267</v>
      </c>
      <c r="E144" s="146"/>
      <c r="F144" s="58" t="s">
        <v>251</v>
      </c>
    </row>
    <row r="145" spans="2:6">
      <c r="B145" s="143"/>
      <c r="C145" s="44" t="s">
        <v>145</v>
      </c>
      <c r="D145" s="32" t="s">
        <v>272</v>
      </c>
      <c r="E145" s="42" t="s">
        <v>131</v>
      </c>
      <c r="F145" s="41" t="s">
        <v>273</v>
      </c>
    </row>
    <row r="146" spans="2:6">
      <c r="B146" s="143"/>
      <c r="C146" s="44" t="s">
        <v>123</v>
      </c>
      <c r="D146" s="32" t="s">
        <v>254</v>
      </c>
      <c r="E146" s="43" t="s">
        <v>134</v>
      </c>
      <c r="F146" s="51" t="s">
        <v>274</v>
      </c>
    </row>
    <row r="147" spans="2:6">
      <c r="B147" s="143"/>
      <c r="C147" s="44" t="s">
        <v>123</v>
      </c>
      <c r="D147" s="32" t="s">
        <v>186</v>
      </c>
      <c r="E147" s="42" t="s">
        <v>125</v>
      </c>
      <c r="F147" s="41" t="s">
        <v>187</v>
      </c>
    </row>
    <row r="148" spans="2:6">
      <c r="B148" s="143"/>
      <c r="C148" s="44" t="s">
        <v>123</v>
      </c>
      <c r="D148" s="46" t="s">
        <v>254</v>
      </c>
      <c r="E148" s="42" t="s">
        <v>125</v>
      </c>
      <c r="F148" s="41" t="s">
        <v>258</v>
      </c>
    </row>
    <row r="149" spans="2:6">
      <c r="B149" s="143"/>
      <c r="C149" s="40" t="s">
        <v>118</v>
      </c>
      <c r="D149" s="146" t="s">
        <v>259</v>
      </c>
      <c r="E149" s="146"/>
      <c r="F149" s="58" t="s">
        <v>271</v>
      </c>
    </row>
    <row r="150" spans="2:6">
      <c r="B150" s="143"/>
      <c r="C150" s="40" t="s">
        <v>118</v>
      </c>
      <c r="D150" s="146" t="s">
        <v>275</v>
      </c>
      <c r="E150" s="146"/>
      <c r="F150" s="41" t="s">
        <v>276</v>
      </c>
    </row>
    <row r="151" spans="2:6">
      <c r="B151" s="143"/>
      <c r="C151" s="40" t="s">
        <v>178</v>
      </c>
      <c r="D151" s="146" t="s">
        <v>277</v>
      </c>
      <c r="E151" s="146"/>
      <c r="F151" s="41" t="s">
        <v>278</v>
      </c>
    </row>
    <row r="152" spans="2:6">
      <c r="B152" s="143"/>
      <c r="C152" s="44" t="s">
        <v>129</v>
      </c>
      <c r="D152" s="46" t="s">
        <v>279</v>
      </c>
      <c r="E152" s="43" t="s">
        <v>127</v>
      </c>
      <c r="F152" s="41" t="s">
        <v>142</v>
      </c>
    </row>
    <row r="153" spans="2:6" ht="17.25" thickBot="1">
      <c r="B153" s="144"/>
      <c r="C153" s="60" t="s">
        <v>144</v>
      </c>
      <c r="D153" s="153" t="s">
        <v>262</v>
      </c>
      <c r="E153" s="153"/>
      <c r="F153" s="61" t="s">
        <v>263</v>
      </c>
    </row>
    <row r="154" spans="2:6" ht="9.75" customHeight="1" thickBot="1"/>
    <row r="155" spans="2:6">
      <c r="B155" s="142" t="s">
        <v>264</v>
      </c>
      <c r="C155" s="38" t="s">
        <v>136</v>
      </c>
      <c r="D155" s="145" t="s">
        <v>119</v>
      </c>
      <c r="E155" s="145"/>
      <c r="F155" s="39" t="s">
        <v>266</v>
      </c>
    </row>
    <row r="156" spans="2:6">
      <c r="B156" s="143"/>
      <c r="C156" s="40" t="s">
        <v>144</v>
      </c>
      <c r="D156" s="146" t="s">
        <v>250</v>
      </c>
      <c r="E156" s="146"/>
      <c r="F156" s="58" t="s">
        <v>280</v>
      </c>
    </row>
    <row r="157" spans="2:6">
      <c r="B157" s="143"/>
      <c r="C157" s="44" t="s">
        <v>145</v>
      </c>
      <c r="D157" s="32" t="s">
        <v>281</v>
      </c>
      <c r="E157" s="42" t="s">
        <v>166</v>
      </c>
      <c r="F157" s="41" t="s">
        <v>268</v>
      </c>
    </row>
    <row r="158" spans="2:6">
      <c r="B158" s="143"/>
      <c r="C158" s="44" t="s">
        <v>145</v>
      </c>
      <c r="D158" s="32" t="s">
        <v>254</v>
      </c>
      <c r="E158" s="43" t="s">
        <v>134</v>
      </c>
      <c r="F158" s="41" t="s">
        <v>246</v>
      </c>
    </row>
    <row r="159" spans="2:6">
      <c r="B159" s="143"/>
      <c r="C159" s="44" t="s">
        <v>145</v>
      </c>
      <c r="D159" s="32" t="s">
        <v>197</v>
      </c>
      <c r="E159" s="42" t="s">
        <v>125</v>
      </c>
      <c r="F159" s="41" t="s">
        <v>187</v>
      </c>
    </row>
    <row r="160" spans="2:6">
      <c r="B160" s="143"/>
      <c r="C160" s="44" t="s">
        <v>145</v>
      </c>
      <c r="D160" s="46" t="s">
        <v>256</v>
      </c>
      <c r="E160" s="42" t="s">
        <v>125</v>
      </c>
      <c r="F160" s="41" t="s">
        <v>258</v>
      </c>
    </row>
    <row r="161" spans="2:6">
      <c r="B161" s="143"/>
      <c r="C161" s="40" t="s">
        <v>118</v>
      </c>
      <c r="D161" s="146" t="s">
        <v>282</v>
      </c>
      <c r="E161" s="146"/>
      <c r="F161" s="58" t="s">
        <v>283</v>
      </c>
    </row>
    <row r="162" spans="2:6">
      <c r="B162" s="143"/>
      <c r="C162" s="44" t="s">
        <v>145</v>
      </c>
      <c r="D162" s="46" t="s">
        <v>254</v>
      </c>
      <c r="E162" s="42" t="s">
        <v>131</v>
      </c>
      <c r="F162" s="51" t="s">
        <v>284</v>
      </c>
    </row>
    <row r="163" spans="2:6">
      <c r="B163" s="143"/>
      <c r="C163" s="40" t="s">
        <v>144</v>
      </c>
      <c r="D163" s="146" t="s">
        <v>285</v>
      </c>
      <c r="E163" s="146"/>
      <c r="F163" s="58" t="s">
        <v>286</v>
      </c>
    </row>
    <row r="164" spans="2:6">
      <c r="B164" s="143"/>
      <c r="C164" s="44" t="s">
        <v>145</v>
      </c>
      <c r="D164" s="46" t="s">
        <v>256</v>
      </c>
      <c r="E164" s="42" t="s">
        <v>125</v>
      </c>
      <c r="F164" s="41" t="s">
        <v>258</v>
      </c>
    </row>
    <row r="165" spans="2:6">
      <c r="B165" s="143"/>
      <c r="C165" s="40" t="s">
        <v>144</v>
      </c>
      <c r="D165" s="146" t="s">
        <v>282</v>
      </c>
      <c r="E165" s="146"/>
      <c r="F165" s="58" t="s">
        <v>287</v>
      </c>
    </row>
    <row r="166" spans="2:6">
      <c r="B166" s="143"/>
      <c r="C166" s="44" t="s">
        <v>123</v>
      </c>
      <c r="D166" s="46" t="s">
        <v>288</v>
      </c>
      <c r="E166" s="43" t="s">
        <v>134</v>
      </c>
      <c r="F166" s="41" t="s">
        <v>289</v>
      </c>
    </row>
    <row r="167" spans="2:6">
      <c r="B167" s="143"/>
      <c r="C167" s="44" t="s">
        <v>123</v>
      </c>
      <c r="D167" s="32" t="s">
        <v>186</v>
      </c>
      <c r="E167" s="42" t="s">
        <v>131</v>
      </c>
      <c r="F167" s="41" t="s">
        <v>187</v>
      </c>
    </row>
    <row r="168" spans="2:6" ht="17.25" thickBot="1">
      <c r="B168" s="144"/>
      <c r="C168" s="52" t="s">
        <v>118</v>
      </c>
      <c r="D168" s="153" t="s">
        <v>262</v>
      </c>
      <c r="E168" s="153"/>
      <c r="F168" s="61" t="s">
        <v>263</v>
      </c>
    </row>
    <row r="169" spans="2:6" ht="7.5" customHeight="1" thickBot="1"/>
    <row r="170" spans="2:6">
      <c r="B170" s="142" t="s">
        <v>290</v>
      </c>
      <c r="C170" s="38" t="s">
        <v>118</v>
      </c>
      <c r="D170" s="145" t="s">
        <v>291</v>
      </c>
      <c r="E170" s="145"/>
      <c r="F170" s="39" t="s">
        <v>292</v>
      </c>
    </row>
    <row r="171" spans="2:6">
      <c r="B171" s="143"/>
      <c r="C171" s="40" t="s">
        <v>118</v>
      </c>
      <c r="D171" s="146" t="s">
        <v>293</v>
      </c>
      <c r="E171" s="146"/>
      <c r="F171" s="58" t="s">
        <v>251</v>
      </c>
    </row>
    <row r="172" spans="2:6">
      <c r="B172" s="143"/>
      <c r="C172" s="44" t="s">
        <v>123</v>
      </c>
      <c r="D172" s="32" t="s">
        <v>252</v>
      </c>
      <c r="E172" s="42" t="s">
        <v>125</v>
      </c>
      <c r="F172" s="41" t="s">
        <v>253</v>
      </c>
    </row>
    <row r="173" spans="2:6">
      <c r="B173" s="143"/>
      <c r="C173" s="44" t="s">
        <v>145</v>
      </c>
      <c r="D173" s="32" t="s">
        <v>254</v>
      </c>
      <c r="E173" s="42" t="s">
        <v>125</v>
      </c>
      <c r="F173" s="51" t="s">
        <v>257</v>
      </c>
    </row>
    <row r="174" spans="2:6">
      <c r="B174" s="143"/>
      <c r="C174" s="44" t="s">
        <v>123</v>
      </c>
      <c r="D174" s="32" t="s">
        <v>294</v>
      </c>
      <c r="E174" s="43" t="s">
        <v>134</v>
      </c>
      <c r="F174" s="41" t="s">
        <v>257</v>
      </c>
    </row>
    <row r="175" spans="2:6">
      <c r="B175" s="143"/>
      <c r="C175" s="44" t="s">
        <v>145</v>
      </c>
      <c r="D175" s="32" t="s">
        <v>197</v>
      </c>
      <c r="E175" s="42" t="s">
        <v>125</v>
      </c>
      <c r="F175" s="41" t="s">
        <v>198</v>
      </c>
    </row>
    <row r="176" spans="2:6">
      <c r="B176" s="143"/>
      <c r="C176" s="44" t="s">
        <v>145</v>
      </c>
      <c r="D176" s="46" t="s">
        <v>254</v>
      </c>
      <c r="E176" s="42" t="s">
        <v>131</v>
      </c>
      <c r="F176" s="41" t="s">
        <v>295</v>
      </c>
    </row>
    <row r="177" spans="2:6">
      <c r="B177" s="143"/>
      <c r="C177" s="40" t="s">
        <v>118</v>
      </c>
      <c r="D177" s="146" t="s">
        <v>262</v>
      </c>
      <c r="E177" s="146"/>
      <c r="F177" s="58" t="s">
        <v>296</v>
      </c>
    </row>
    <row r="178" spans="2:6">
      <c r="B178" s="143"/>
      <c r="C178" s="44" t="s">
        <v>145</v>
      </c>
      <c r="D178" s="46" t="s">
        <v>141</v>
      </c>
      <c r="E178" s="43" t="s">
        <v>134</v>
      </c>
      <c r="F178" s="41" t="s">
        <v>261</v>
      </c>
    </row>
    <row r="179" spans="2:6">
      <c r="B179" s="143"/>
      <c r="C179" s="44" t="s">
        <v>145</v>
      </c>
      <c r="D179" s="32" t="s">
        <v>197</v>
      </c>
      <c r="E179" s="42" t="s">
        <v>125</v>
      </c>
      <c r="F179" s="41" t="s">
        <v>187</v>
      </c>
    </row>
    <row r="180" spans="2:6" ht="17.25" thickBot="1">
      <c r="B180" s="144"/>
      <c r="C180" s="52" t="s">
        <v>118</v>
      </c>
      <c r="D180" s="148" t="s">
        <v>262</v>
      </c>
      <c r="E180" s="148"/>
      <c r="F180" s="61" t="s">
        <v>263</v>
      </c>
    </row>
    <row r="181" spans="2:6" ht="6" customHeight="1" thickBot="1"/>
    <row r="182" spans="2:6">
      <c r="B182" s="142" t="s">
        <v>290</v>
      </c>
      <c r="C182" s="38" t="s">
        <v>118</v>
      </c>
      <c r="D182" s="145" t="s">
        <v>291</v>
      </c>
      <c r="E182" s="145"/>
      <c r="F182" s="39" t="s">
        <v>292</v>
      </c>
    </row>
    <row r="183" spans="2:6">
      <c r="B183" s="143"/>
      <c r="C183" s="40" t="s">
        <v>118</v>
      </c>
      <c r="D183" s="146" t="s">
        <v>297</v>
      </c>
      <c r="E183" s="146"/>
      <c r="F183" s="58" t="s">
        <v>251</v>
      </c>
    </row>
    <row r="184" spans="2:6">
      <c r="B184" s="143"/>
      <c r="C184" s="44" t="s">
        <v>123</v>
      </c>
      <c r="D184" s="32" t="s">
        <v>252</v>
      </c>
      <c r="E184" s="42" t="s">
        <v>131</v>
      </c>
      <c r="F184" s="41" t="s">
        <v>268</v>
      </c>
    </row>
    <row r="185" spans="2:6">
      <c r="B185" s="143"/>
      <c r="C185" s="44" t="s">
        <v>123</v>
      </c>
      <c r="D185" s="32" t="s">
        <v>254</v>
      </c>
      <c r="E185" s="43" t="s">
        <v>134</v>
      </c>
      <c r="F185" s="51" t="s">
        <v>298</v>
      </c>
    </row>
    <row r="186" spans="2:6">
      <c r="B186" s="143"/>
      <c r="C186" s="44" t="s">
        <v>145</v>
      </c>
      <c r="D186" s="32" t="s">
        <v>186</v>
      </c>
      <c r="E186" s="42" t="s">
        <v>125</v>
      </c>
      <c r="F186" s="41" t="s">
        <v>187</v>
      </c>
    </row>
    <row r="187" spans="2:6">
      <c r="B187" s="143"/>
      <c r="C187" s="44" t="s">
        <v>123</v>
      </c>
      <c r="D187" s="46" t="s">
        <v>256</v>
      </c>
      <c r="E187" s="42" t="s">
        <v>125</v>
      </c>
      <c r="F187" s="41" t="s">
        <v>295</v>
      </c>
    </row>
    <row r="188" spans="2:6">
      <c r="B188" s="143"/>
      <c r="C188" s="40" t="s">
        <v>118</v>
      </c>
      <c r="D188" s="146" t="s">
        <v>262</v>
      </c>
      <c r="E188" s="146"/>
      <c r="F188" s="58" t="s">
        <v>299</v>
      </c>
    </row>
    <row r="189" spans="2:6">
      <c r="B189" s="143"/>
      <c r="C189" s="40" t="s">
        <v>118</v>
      </c>
      <c r="D189" s="146" t="s">
        <v>275</v>
      </c>
      <c r="E189" s="146"/>
      <c r="F189" s="41" t="s">
        <v>300</v>
      </c>
    </row>
    <row r="190" spans="2:6">
      <c r="B190" s="143"/>
      <c r="C190" s="40" t="s">
        <v>118</v>
      </c>
      <c r="D190" s="146" t="s">
        <v>226</v>
      </c>
      <c r="E190" s="146"/>
      <c r="F190" s="41" t="s">
        <v>278</v>
      </c>
    </row>
    <row r="191" spans="2:6">
      <c r="B191" s="143"/>
      <c r="C191" s="44" t="s">
        <v>145</v>
      </c>
      <c r="D191" s="46" t="s">
        <v>141</v>
      </c>
      <c r="E191" s="43" t="s">
        <v>127</v>
      </c>
      <c r="F191" s="41" t="s">
        <v>142</v>
      </c>
    </row>
    <row r="192" spans="2:6" ht="17.25" thickBot="1">
      <c r="B192" s="144"/>
      <c r="C192" s="60" t="s">
        <v>144</v>
      </c>
      <c r="D192" s="153" t="s">
        <v>262</v>
      </c>
      <c r="E192" s="153"/>
      <c r="F192" s="61" t="s">
        <v>263</v>
      </c>
    </row>
    <row r="193" spans="2:6" ht="6" customHeight="1" thickBot="1"/>
    <row r="194" spans="2:6">
      <c r="B194" s="142" t="s">
        <v>301</v>
      </c>
      <c r="C194" s="38" t="s">
        <v>144</v>
      </c>
      <c r="D194" s="145" t="s">
        <v>291</v>
      </c>
      <c r="E194" s="145"/>
      <c r="F194" s="39" t="s">
        <v>302</v>
      </c>
    </row>
    <row r="195" spans="2:6">
      <c r="B195" s="143"/>
      <c r="C195" s="40" t="s">
        <v>144</v>
      </c>
      <c r="D195" s="146" t="s">
        <v>297</v>
      </c>
      <c r="E195" s="146"/>
      <c r="F195" s="58" t="s">
        <v>251</v>
      </c>
    </row>
    <row r="196" spans="2:6">
      <c r="B196" s="143"/>
      <c r="C196" s="44" t="s">
        <v>145</v>
      </c>
      <c r="D196" s="32" t="s">
        <v>252</v>
      </c>
      <c r="E196" s="42" t="s">
        <v>125</v>
      </c>
      <c r="F196" s="41" t="s">
        <v>268</v>
      </c>
    </row>
    <row r="197" spans="2:6">
      <c r="B197" s="143"/>
      <c r="C197" s="44" t="s">
        <v>123</v>
      </c>
      <c r="D197" s="32" t="s">
        <v>256</v>
      </c>
      <c r="E197" s="43" t="s">
        <v>127</v>
      </c>
      <c r="F197" s="51" t="s">
        <v>303</v>
      </c>
    </row>
    <row r="198" spans="2:6">
      <c r="B198" s="143"/>
      <c r="C198" s="44" t="s">
        <v>145</v>
      </c>
      <c r="D198" s="32" t="s">
        <v>197</v>
      </c>
      <c r="E198" s="42" t="s">
        <v>166</v>
      </c>
      <c r="F198" s="41" t="s">
        <v>187</v>
      </c>
    </row>
    <row r="199" spans="2:6">
      <c r="B199" s="143"/>
      <c r="C199" s="44" t="s">
        <v>123</v>
      </c>
      <c r="D199" s="46" t="s">
        <v>256</v>
      </c>
      <c r="E199" s="42" t="s">
        <v>125</v>
      </c>
      <c r="F199" s="41" t="s">
        <v>304</v>
      </c>
    </row>
    <row r="200" spans="2:6">
      <c r="B200" s="143"/>
      <c r="C200" s="40" t="s">
        <v>144</v>
      </c>
      <c r="D200" s="146" t="s">
        <v>305</v>
      </c>
      <c r="E200" s="146"/>
      <c r="F200" s="58" t="s">
        <v>296</v>
      </c>
    </row>
    <row r="201" spans="2:6">
      <c r="B201" s="143"/>
      <c r="C201" s="40" t="s">
        <v>144</v>
      </c>
      <c r="D201" s="146" t="s">
        <v>275</v>
      </c>
      <c r="E201" s="146"/>
      <c r="F201" s="41" t="s">
        <v>306</v>
      </c>
    </row>
    <row r="202" spans="2:6">
      <c r="B202" s="143"/>
      <c r="C202" s="44" t="s">
        <v>123</v>
      </c>
      <c r="D202" s="46" t="s">
        <v>139</v>
      </c>
      <c r="E202" s="43" t="s">
        <v>127</v>
      </c>
      <c r="F202" s="41" t="s">
        <v>142</v>
      </c>
    </row>
    <row r="203" spans="2:6" ht="17.25" thickBot="1">
      <c r="B203" s="144"/>
      <c r="C203" s="60" t="s">
        <v>118</v>
      </c>
      <c r="D203" s="153" t="s">
        <v>305</v>
      </c>
      <c r="E203" s="153"/>
      <c r="F203" s="61" t="s">
        <v>263</v>
      </c>
    </row>
  </sheetData>
  <mergeCells count="102">
    <mergeCell ref="D190:E190"/>
    <mergeCell ref="D192:E192"/>
    <mergeCell ref="B194:B203"/>
    <mergeCell ref="D194:E194"/>
    <mergeCell ref="D195:E195"/>
    <mergeCell ref="D200:E200"/>
    <mergeCell ref="D201:E201"/>
    <mergeCell ref="D203:E203"/>
    <mergeCell ref="B170:B180"/>
    <mergeCell ref="D170:E170"/>
    <mergeCell ref="D171:E171"/>
    <mergeCell ref="D177:E177"/>
    <mergeCell ref="D180:E180"/>
    <mergeCell ref="B182:B192"/>
    <mergeCell ref="D182:E182"/>
    <mergeCell ref="D183:E183"/>
    <mergeCell ref="D188:E188"/>
    <mergeCell ref="D189:E189"/>
    <mergeCell ref="B155:B168"/>
    <mergeCell ref="D155:E155"/>
    <mergeCell ref="D156:E156"/>
    <mergeCell ref="D161:E161"/>
    <mergeCell ref="D163:E163"/>
    <mergeCell ref="D165:E165"/>
    <mergeCell ref="D168:E168"/>
    <mergeCell ref="B143:B153"/>
    <mergeCell ref="D143:E143"/>
    <mergeCell ref="D144:E144"/>
    <mergeCell ref="D149:E149"/>
    <mergeCell ref="D150:E150"/>
    <mergeCell ref="D151:E151"/>
    <mergeCell ref="D153:E153"/>
    <mergeCell ref="B121:B131"/>
    <mergeCell ref="D121:E121"/>
    <mergeCell ref="D122:E122"/>
    <mergeCell ref="D128:E128"/>
    <mergeCell ref="D131:E131"/>
    <mergeCell ref="B133:B141"/>
    <mergeCell ref="D133:E133"/>
    <mergeCell ref="D134:E134"/>
    <mergeCell ref="D139:E139"/>
    <mergeCell ref="D141:E141"/>
    <mergeCell ref="D98:E98"/>
    <mergeCell ref="B99:B102"/>
    <mergeCell ref="D102:E102"/>
    <mergeCell ref="B104:B108"/>
    <mergeCell ref="D108:E108"/>
    <mergeCell ref="B110:B119"/>
    <mergeCell ref="D119:E119"/>
    <mergeCell ref="B81:B88"/>
    <mergeCell ref="D87:E87"/>
    <mergeCell ref="D88:E88"/>
    <mergeCell ref="B90:B97"/>
    <mergeCell ref="D96:E96"/>
    <mergeCell ref="D97:E97"/>
    <mergeCell ref="D61:E61"/>
    <mergeCell ref="D62:E62"/>
    <mergeCell ref="B66:B71"/>
    <mergeCell ref="D71:E71"/>
    <mergeCell ref="B73:B79"/>
    <mergeCell ref="D79:E79"/>
    <mergeCell ref="B49:B53"/>
    <mergeCell ref="D49:E49"/>
    <mergeCell ref="D50:E50"/>
    <mergeCell ref="D51:E51"/>
    <mergeCell ref="B55:B64"/>
    <mergeCell ref="D55:E55"/>
    <mergeCell ref="D56:E56"/>
    <mergeCell ref="D57:E57"/>
    <mergeCell ref="D59:E59"/>
    <mergeCell ref="D60:E60"/>
    <mergeCell ref="B42:B47"/>
    <mergeCell ref="D42:E42"/>
    <mergeCell ref="D43:E43"/>
    <mergeCell ref="C44:C45"/>
    <mergeCell ref="D44:D45"/>
    <mergeCell ref="D47:E47"/>
    <mergeCell ref="B32:B40"/>
    <mergeCell ref="D32:E32"/>
    <mergeCell ref="D33:E33"/>
    <mergeCell ref="C34:C35"/>
    <mergeCell ref="D34:D35"/>
    <mergeCell ref="D40:E40"/>
    <mergeCell ref="D2:E2"/>
    <mergeCell ref="B3:B11"/>
    <mergeCell ref="D3:E3"/>
    <mergeCell ref="D4:E4"/>
    <mergeCell ref="C5:C6"/>
    <mergeCell ref="D5:D6"/>
    <mergeCell ref="D9:E9"/>
    <mergeCell ref="B23:B30"/>
    <mergeCell ref="D23:E23"/>
    <mergeCell ref="D24:E24"/>
    <mergeCell ref="C25:C26"/>
    <mergeCell ref="D25:D26"/>
    <mergeCell ref="D30:E30"/>
    <mergeCell ref="B13:B21"/>
    <mergeCell ref="D13:E13"/>
    <mergeCell ref="D14:E14"/>
    <mergeCell ref="C15:C16"/>
    <mergeCell ref="D15:D16"/>
    <mergeCell ref="D19:E19"/>
  </mergeCells>
  <phoneticPr fontId="1" type="noConversion"/>
  <pageMargins left="0.27559055118110237" right="0.15748031496062992" top="0.51181102362204722" bottom="0.15748031496062992" header="0.31496062992125984" footer="0.31496062992125984"/>
  <pageSetup paperSize="9" scale="77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85"/>
  <sheetViews>
    <sheetView workbookViewId="0">
      <pane ySplit="2" topLeftCell="A3" activePane="bottomLeft" state="frozen"/>
      <selection activeCell="E18" sqref="E18"/>
      <selection pane="bottomLeft" activeCell="E18" sqref="E18"/>
    </sheetView>
  </sheetViews>
  <sheetFormatPr defaultRowHeight="16.5"/>
  <cols>
    <col min="1" max="1" width="3.125" customWidth="1"/>
    <col min="2" max="2" width="18" customWidth="1"/>
    <col min="3" max="3" width="10" customWidth="1"/>
    <col min="4" max="4" width="25.25" customWidth="1"/>
    <col min="5" max="5" width="7.5" customWidth="1"/>
    <col min="6" max="6" width="60.25" customWidth="1"/>
    <col min="7" max="7" width="42.625" customWidth="1"/>
  </cols>
  <sheetData>
    <row r="1" spans="2:7" ht="17.25" thickBot="1">
      <c r="B1" s="25" t="s">
        <v>307</v>
      </c>
    </row>
    <row r="2" spans="2:7" ht="17.25" thickBot="1">
      <c r="B2" s="36" t="s">
        <v>308</v>
      </c>
      <c r="C2" s="26" t="s">
        <v>309</v>
      </c>
      <c r="D2" s="140" t="s">
        <v>310</v>
      </c>
      <c r="E2" s="141"/>
      <c r="F2" s="28" t="s">
        <v>311</v>
      </c>
      <c r="G2" s="37" t="s">
        <v>312</v>
      </c>
    </row>
    <row r="3" spans="2:7">
      <c r="B3" s="142" t="s">
        <v>313</v>
      </c>
      <c r="C3" s="38" t="s">
        <v>178</v>
      </c>
      <c r="D3" s="145" t="s">
        <v>314</v>
      </c>
      <c r="E3" s="145"/>
      <c r="F3" s="39" t="s">
        <v>315</v>
      </c>
    </row>
    <row r="4" spans="2:7">
      <c r="B4" s="143"/>
      <c r="C4" s="40" t="s">
        <v>136</v>
      </c>
      <c r="D4" s="146" t="s">
        <v>316</v>
      </c>
      <c r="E4" s="146"/>
      <c r="F4" s="41" t="s">
        <v>317</v>
      </c>
    </row>
    <row r="5" spans="2:7">
      <c r="B5" s="143"/>
      <c r="C5" s="40" t="s">
        <v>136</v>
      </c>
      <c r="D5" s="146" t="s">
        <v>318</v>
      </c>
      <c r="E5" s="146"/>
      <c r="F5" s="41" t="s">
        <v>319</v>
      </c>
    </row>
    <row r="6" spans="2:7">
      <c r="B6" s="143"/>
      <c r="C6" s="44" t="s">
        <v>320</v>
      </c>
      <c r="D6" s="32" t="s">
        <v>321</v>
      </c>
      <c r="E6" s="42" t="s">
        <v>322</v>
      </c>
      <c r="F6" s="41" t="s">
        <v>323</v>
      </c>
    </row>
    <row r="7" spans="2:7">
      <c r="B7" s="143"/>
      <c r="C7" s="44" t="s">
        <v>31</v>
      </c>
      <c r="D7" s="32" t="s">
        <v>63</v>
      </c>
      <c r="E7" s="42" t="s">
        <v>166</v>
      </c>
      <c r="F7" s="41" t="s">
        <v>324</v>
      </c>
    </row>
    <row r="8" spans="2:7">
      <c r="B8" s="143"/>
      <c r="C8" s="44" t="s">
        <v>31</v>
      </c>
      <c r="D8" s="32" t="s">
        <v>325</v>
      </c>
      <c r="E8" s="42" t="s">
        <v>166</v>
      </c>
      <c r="F8" s="45" t="s">
        <v>326</v>
      </c>
    </row>
    <row r="9" spans="2:7">
      <c r="B9" s="143"/>
      <c r="C9" s="44" t="s">
        <v>327</v>
      </c>
      <c r="D9" s="32" t="s">
        <v>328</v>
      </c>
      <c r="E9" s="43" t="s">
        <v>168</v>
      </c>
      <c r="F9" s="41" t="s">
        <v>329</v>
      </c>
    </row>
    <row r="10" spans="2:7">
      <c r="B10" s="143"/>
      <c r="C10" s="44" t="s">
        <v>330</v>
      </c>
      <c r="D10" s="32" t="s">
        <v>331</v>
      </c>
      <c r="E10" s="43" t="s">
        <v>332</v>
      </c>
      <c r="F10" s="41" t="s">
        <v>333</v>
      </c>
    </row>
    <row r="11" spans="2:7">
      <c r="B11" s="143"/>
      <c r="C11" s="44" t="s">
        <v>31</v>
      </c>
      <c r="D11" s="32" t="s">
        <v>65</v>
      </c>
      <c r="E11" s="42" t="s">
        <v>166</v>
      </c>
      <c r="F11" s="41" t="s">
        <v>65</v>
      </c>
    </row>
    <row r="12" spans="2:7">
      <c r="B12" s="143"/>
      <c r="C12" s="44" t="s">
        <v>327</v>
      </c>
      <c r="D12" s="32" t="s">
        <v>334</v>
      </c>
      <c r="E12" s="43" t="s">
        <v>335</v>
      </c>
      <c r="F12" s="41" t="s">
        <v>336</v>
      </c>
    </row>
    <row r="13" spans="2:7">
      <c r="B13" s="143"/>
      <c r="C13" s="44" t="s">
        <v>31</v>
      </c>
      <c r="D13" s="32" t="s">
        <v>337</v>
      </c>
      <c r="E13" s="42" t="s">
        <v>166</v>
      </c>
      <c r="F13" s="41" t="s">
        <v>338</v>
      </c>
    </row>
    <row r="14" spans="2:7" ht="17.25" thickBot="1">
      <c r="B14" s="144"/>
      <c r="C14" s="52" t="s">
        <v>136</v>
      </c>
      <c r="D14" s="148" t="s">
        <v>339</v>
      </c>
      <c r="E14" s="148"/>
      <c r="F14" s="50" t="s">
        <v>340</v>
      </c>
    </row>
    <row r="15" spans="2:7" ht="7.5" customHeight="1" thickBot="1"/>
    <row r="16" spans="2:7">
      <c r="B16" s="142" t="s">
        <v>313</v>
      </c>
      <c r="C16" s="38" t="s">
        <v>136</v>
      </c>
      <c r="D16" s="145" t="s">
        <v>341</v>
      </c>
      <c r="E16" s="145"/>
      <c r="F16" s="39" t="s">
        <v>342</v>
      </c>
    </row>
    <row r="17" spans="2:6">
      <c r="B17" s="143"/>
      <c r="C17" s="40" t="s">
        <v>136</v>
      </c>
      <c r="D17" s="146" t="s">
        <v>343</v>
      </c>
      <c r="E17" s="146"/>
      <c r="F17" s="41" t="s">
        <v>344</v>
      </c>
    </row>
    <row r="18" spans="2:6">
      <c r="B18" s="143"/>
      <c r="C18" s="44" t="s">
        <v>31</v>
      </c>
      <c r="D18" s="32" t="s">
        <v>321</v>
      </c>
      <c r="E18" s="42" t="s">
        <v>166</v>
      </c>
      <c r="F18" s="41" t="s">
        <v>323</v>
      </c>
    </row>
    <row r="19" spans="2:6">
      <c r="B19" s="143"/>
      <c r="C19" s="44" t="s">
        <v>345</v>
      </c>
      <c r="D19" s="32" t="s">
        <v>63</v>
      </c>
      <c r="E19" s="42" t="s">
        <v>166</v>
      </c>
      <c r="F19" s="41" t="s">
        <v>346</v>
      </c>
    </row>
    <row r="20" spans="2:6">
      <c r="B20" s="143"/>
      <c r="C20" s="44" t="s">
        <v>31</v>
      </c>
      <c r="D20" s="32" t="s">
        <v>328</v>
      </c>
      <c r="E20" s="42" t="s">
        <v>166</v>
      </c>
      <c r="F20" s="45" t="s">
        <v>347</v>
      </c>
    </row>
    <row r="21" spans="2:6">
      <c r="B21" s="143"/>
      <c r="C21" s="44" t="s">
        <v>31</v>
      </c>
      <c r="D21" s="32" t="s">
        <v>328</v>
      </c>
      <c r="E21" s="43" t="s">
        <v>168</v>
      </c>
      <c r="F21" s="41" t="s">
        <v>348</v>
      </c>
    </row>
    <row r="22" spans="2:6">
      <c r="B22" s="143"/>
      <c r="C22" s="44" t="s">
        <v>31</v>
      </c>
      <c r="D22" s="32" t="s">
        <v>349</v>
      </c>
      <c r="E22" s="43" t="s">
        <v>168</v>
      </c>
      <c r="F22" s="41" t="s">
        <v>350</v>
      </c>
    </row>
    <row r="23" spans="2:6">
      <c r="B23" s="143"/>
      <c r="C23" s="44" t="s">
        <v>31</v>
      </c>
      <c r="D23" s="32" t="s">
        <v>351</v>
      </c>
      <c r="E23" s="42" t="s">
        <v>166</v>
      </c>
      <c r="F23" s="41" t="s">
        <v>65</v>
      </c>
    </row>
    <row r="24" spans="2:6">
      <c r="B24" s="143"/>
      <c r="C24" s="44" t="s">
        <v>352</v>
      </c>
      <c r="D24" s="32" t="s">
        <v>65</v>
      </c>
      <c r="E24" s="43" t="s">
        <v>168</v>
      </c>
      <c r="F24" s="41" t="s">
        <v>65</v>
      </c>
    </row>
    <row r="25" spans="2:6">
      <c r="B25" s="143"/>
      <c r="C25" s="44" t="s">
        <v>31</v>
      </c>
      <c r="D25" s="32" t="s">
        <v>353</v>
      </c>
      <c r="E25" s="42" t="s">
        <v>166</v>
      </c>
      <c r="F25" s="41" t="s">
        <v>338</v>
      </c>
    </row>
    <row r="26" spans="2:6" ht="17.25" thickBot="1">
      <c r="B26" s="144"/>
      <c r="C26" s="52" t="s">
        <v>136</v>
      </c>
      <c r="D26" s="148" t="s">
        <v>354</v>
      </c>
      <c r="E26" s="148"/>
      <c r="F26" s="50" t="s">
        <v>340</v>
      </c>
    </row>
    <row r="27" spans="2:6" ht="7.5" customHeight="1" thickBot="1"/>
    <row r="28" spans="2:6">
      <c r="B28" s="142" t="s">
        <v>313</v>
      </c>
      <c r="C28" s="38" t="s">
        <v>355</v>
      </c>
      <c r="D28" s="145" t="s">
        <v>314</v>
      </c>
      <c r="E28" s="145"/>
      <c r="F28" s="39" t="s">
        <v>356</v>
      </c>
    </row>
    <row r="29" spans="2:6">
      <c r="B29" s="143"/>
      <c r="C29" s="40" t="s">
        <v>357</v>
      </c>
      <c r="D29" s="146" t="s">
        <v>316</v>
      </c>
      <c r="E29" s="146"/>
      <c r="F29" s="41" t="s">
        <v>317</v>
      </c>
    </row>
    <row r="30" spans="2:6">
      <c r="B30" s="143"/>
      <c r="C30" s="44" t="s">
        <v>31</v>
      </c>
      <c r="D30" s="32" t="s">
        <v>358</v>
      </c>
      <c r="E30" s="42" t="s">
        <v>166</v>
      </c>
      <c r="F30" s="41" t="s">
        <v>323</v>
      </c>
    </row>
    <row r="31" spans="2:6">
      <c r="B31" s="143"/>
      <c r="C31" s="44" t="s">
        <v>31</v>
      </c>
      <c r="D31" s="32" t="s">
        <v>63</v>
      </c>
      <c r="E31" s="42" t="s">
        <v>166</v>
      </c>
      <c r="F31" s="41" t="s">
        <v>359</v>
      </c>
    </row>
    <row r="32" spans="2:6">
      <c r="B32" s="143"/>
      <c r="C32" s="44" t="s">
        <v>327</v>
      </c>
      <c r="D32" s="32" t="s">
        <v>360</v>
      </c>
      <c r="E32" s="42" t="s">
        <v>322</v>
      </c>
      <c r="F32" s="45" t="s">
        <v>361</v>
      </c>
    </row>
    <row r="33" spans="2:6">
      <c r="B33" s="143"/>
      <c r="C33" s="44" t="s">
        <v>31</v>
      </c>
      <c r="D33" s="32" t="s">
        <v>362</v>
      </c>
      <c r="E33" s="43" t="s">
        <v>168</v>
      </c>
      <c r="F33" s="41" t="s">
        <v>363</v>
      </c>
    </row>
    <row r="34" spans="2:6">
      <c r="B34" s="143"/>
      <c r="C34" s="44" t="s">
        <v>31</v>
      </c>
      <c r="D34" s="32" t="s">
        <v>364</v>
      </c>
      <c r="E34" s="43" t="s">
        <v>168</v>
      </c>
      <c r="F34" s="41" t="s">
        <v>333</v>
      </c>
    </row>
    <row r="35" spans="2:6">
      <c r="B35" s="143"/>
      <c r="C35" s="44" t="s">
        <v>330</v>
      </c>
      <c r="D35" s="32" t="s">
        <v>351</v>
      </c>
      <c r="E35" s="42" t="s">
        <v>166</v>
      </c>
      <c r="F35" s="41" t="s">
        <v>334</v>
      </c>
    </row>
    <row r="36" spans="2:6">
      <c r="B36" s="143"/>
      <c r="C36" s="44" t="s">
        <v>31</v>
      </c>
      <c r="D36" s="32" t="s">
        <v>65</v>
      </c>
      <c r="E36" s="43" t="s">
        <v>168</v>
      </c>
      <c r="F36" s="41" t="s">
        <v>65</v>
      </c>
    </row>
    <row r="37" spans="2:6">
      <c r="B37" s="143"/>
      <c r="C37" s="44" t="s">
        <v>320</v>
      </c>
      <c r="D37" s="32" t="s">
        <v>337</v>
      </c>
      <c r="E37" s="42" t="s">
        <v>166</v>
      </c>
      <c r="F37" s="41" t="s">
        <v>338</v>
      </c>
    </row>
    <row r="38" spans="2:6" ht="17.25" thickBot="1">
      <c r="B38" s="144"/>
      <c r="C38" s="52" t="s">
        <v>136</v>
      </c>
      <c r="D38" s="148" t="s">
        <v>365</v>
      </c>
      <c r="E38" s="148"/>
      <c r="F38" s="50" t="s">
        <v>366</v>
      </c>
    </row>
    <row r="39" spans="2:6" ht="10.5" customHeight="1" thickBot="1"/>
    <row r="40" spans="2:6">
      <c r="B40" s="142" t="s">
        <v>313</v>
      </c>
      <c r="C40" s="38" t="s">
        <v>136</v>
      </c>
      <c r="D40" s="145" t="s">
        <v>367</v>
      </c>
      <c r="E40" s="145"/>
      <c r="F40" s="39" t="s">
        <v>368</v>
      </c>
    </row>
    <row r="41" spans="2:6">
      <c r="B41" s="143"/>
      <c r="C41" s="40" t="s">
        <v>136</v>
      </c>
      <c r="D41" s="146" t="s">
        <v>369</v>
      </c>
      <c r="E41" s="146"/>
      <c r="F41" s="41" t="s">
        <v>370</v>
      </c>
    </row>
    <row r="42" spans="2:6">
      <c r="B42" s="143"/>
      <c r="C42" s="44" t="s">
        <v>31</v>
      </c>
      <c r="D42" s="32" t="s">
        <v>321</v>
      </c>
      <c r="E42" s="42" t="s">
        <v>166</v>
      </c>
      <c r="F42" s="41" t="s">
        <v>323</v>
      </c>
    </row>
    <row r="43" spans="2:6">
      <c r="B43" s="143"/>
      <c r="C43" s="44" t="s">
        <v>327</v>
      </c>
      <c r="D43" s="32" t="s">
        <v>63</v>
      </c>
      <c r="E43" s="42" t="s">
        <v>166</v>
      </c>
      <c r="F43" s="41" t="s">
        <v>371</v>
      </c>
    </row>
    <row r="44" spans="2:6">
      <c r="B44" s="143"/>
      <c r="C44" s="44" t="s">
        <v>31</v>
      </c>
      <c r="D44" s="32" t="s">
        <v>372</v>
      </c>
      <c r="E44" s="42" t="s">
        <v>166</v>
      </c>
      <c r="F44" s="45" t="s">
        <v>373</v>
      </c>
    </row>
    <row r="45" spans="2:6">
      <c r="B45" s="143"/>
      <c r="C45" s="44" t="s">
        <v>31</v>
      </c>
      <c r="D45" s="32" t="s">
        <v>328</v>
      </c>
      <c r="E45" s="43" t="s">
        <v>168</v>
      </c>
      <c r="F45" s="41" t="s">
        <v>329</v>
      </c>
    </row>
    <row r="46" spans="2:6">
      <c r="B46" s="143"/>
      <c r="C46" s="44" t="s">
        <v>31</v>
      </c>
      <c r="D46" s="32" t="s">
        <v>349</v>
      </c>
      <c r="E46" s="43" t="s">
        <v>168</v>
      </c>
      <c r="F46" s="41" t="s">
        <v>333</v>
      </c>
    </row>
    <row r="47" spans="2:6">
      <c r="B47" s="143"/>
      <c r="C47" s="44" t="s">
        <v>345</v>
      </c>
      <c r="D47" s="32" t="s">
        <v>65</v>
      </c>
      <c r="E47" s="42" t="s">
        <v>166</v>
      </c>
      <c r="F47" s="41" t="s">
        <v>351</v>
      </c>
    </row>
    <row r="48" spans="2:6">
      <c r="B48" s="143"/>
      <c r="C48" s="44" t="s">
        <v>31</v>
      </c>
      <c r="D48" s="32" t="s">
        <v>374</v>
      </c>
      <c r="E48" s="43" t="s">
        <v>375</v>
      </c>
      <c r="F48" s="41" t="s">
        <v>65</v>
      </c>
    </row>
    <row r="49" spans="2:7">
      <c r="B49" s="143"/>
      <c r="C49" s="44" t="s">
        <v>330</v>
      </c>
      <c r="D49" s="32" t="s">
        <v>337</v>
      </c>
      <c r="E49" s="42" t="s">
        <v>166</v>
      </c>
      <c r="F49" s="41" t="s">
        <v>376</v>
      </c>
    </row>
    <row r="50" spans="2:7" ht="17.25" thickBot="1">
      <c r="B50" s="144"/>
      <c r="C50" s="52" t="s">
        <v>357</v>
      </c>
      <c r="D50" s="148" t="s">
        <v>377</v>
      </c>
      <c r="E50" s="148"/>
      <c r="F50" s="50" t="s">
        <v>378</v>
      </c>
    </row>
    <row r="51" spans="2:7" ht="9" customHeight="1" thickBot="1"/>
    <row r="52" spans="2:7">
      <c r="B52" s="142" t="s">
        <v>313</v>
      </c>
      <c r="C52" s="38" t="s">
        <v>181</v>
      </c>
      <c r="D52" s="145" t="s">
        <v>367</v>
      </c>
      <c r="E52" s="145"/>
      <c r="F52" s="39" t="s">
        <v>379</v>
      </c>
    </row>
    <row r="53" spans="2:7">
      <c r="B53" s="143"/>
      <c r="C53" s="40" t="s">
        <v>178</v>
      </c>
      <c r="D53" s="146" t="s">
        <v>380</v>
      </c>
      <c r="E53" s="146"/>
      <c r="F53" s="41" t="s">
        <v>317</v>
      </c>
    </row>
    <row r="54" spans="2:7">
      <c r="B54" s="143"/>
      <c r="C54" s="44" t="s">
        <v>31</v>
      </c>
      <c r="D54" s="32" t="s">
        <v>321</v>
      </c>
      <c r="E54" s="42" t="s">
        <v>381</v>
      </c>
      <c r="F54" s="41" t="s">
        <v>323</v>
      </c>
    </row>
    <row r="55" spans="2:7">
      <c r="B55" s="143"/>
      <c r="C55" s="44" t="s">
        <v>31</v>
      </c>
      <c r="D55" s="32" t="s">
        <v>63</v>
      </c>
      <c r="E55" s="42" t="s">
        <v>166</v>
      </c>
      <c r="F55" s="41" t="s">
        <v>382</v>
      </c>
    </row>
    <row r="56" spans="2:7">
      <c r="B56" s="143"/>
      <c r="C56" s="44" t="s">
        <v>31</v>
      </c>
      <c r="D56" s="32" t="s">
        <v>328</v>
      </c>
      <c r="E56" s="42" t="s">
        <v>166</v>
      </c>
      <c r="F56" s="45" t="s">
        <v>383</v>
      </c>
    </row>
    <row r="57" spans="2:7">
      <c r="B57" s="143"/>
      <c r="C57" s="44" t="s">
        <v>31</v>
      </c>
      <c r="D57" s="32" t="s">
        <v>328</v>
      </c>
      <c r="E57" s="43" t="s">
        <v>168</v>
      </c>
      <c r="F57" s="41" t="s">
        <v>384</v>
      </c>
    </row>
    <row r="58" spans="2:7">
      <c r="B58" s="143"/>
      <c r="C58" s="44" t="s">
        <v>385</v>
      </c>
      <c r="D58" s="32" t="s">
        <v>349</v>
      </c>
      <c r="E58" s="43" t="s">
        <v>168</v>
      </c>
      <c r="F58" s="41" t="s">
        <v>333</v>
      </c>
    </row>
    <row r="59" spans="2:7">
      <c r="B59" s="143"/>
      <c r="C59" s="44" t="s">
        <v>31</v>
      </c>
      <c r="D59" s="32" t="s">
        <v>65</v>
      </c>
      <c r="E59" s="42" t="s">
        <v>386</v>
      </c>
      <c r="F59" s="41" t="s">
        <v>65</v>
      </c>
    </row>
    <row r="60" spans="2:7">
      <c r="B60" s="143"/>
      <c r="C60" s="44" t="s">
        <v>352</v>
      </c>
      <c r="D60" s="32" t="s">
        <v>65</v>
      </c>
      <c r="E60" s="43" t="s">
        <v>168</v>
      </c>
      <c r="F60" s="41" t="s">
        <v>65</v>
      </c>
    </row>
    <row r="61" spans="2:7">
      <c r="B61" s="143"/>
      <c r="C61" s="44" t="s">
        <v>31</v>
      </c>
      <c r="D61" s="32" t="s">
        <v>353</v>
      </c>
      <c r="E61" s="42" t="s">
        <v>166</v>
      </c>
      <c r="F61" s="41" t="s">
        <v>338</v>
      </c>
    </row>
    <row r="62" spans="2:7">
      <c r="B62" s="143"/>
      <c r="C62" s="40" t="s">
        <v>136</v>
      </c>
      <c r="D62" s="146" t="s">
        <v>387</v>
      </c>
      <c r="E62" s="146"/>
      <c r="F62" s="41" t="s">
        <v>388</v>
      </c>
    </row>
    <row r="63" spans="2:7" ht="17.25" thickBot="1">
      <c r="B63" s="144"/>
      <c r="C63" s="52" t="s">
        <v>355</v>
      </c>
      <c r="D63" s="148" t="s">
        <v>224</v>
      </c>
      <c r="E63" s="148"/>
      <c r="F63" s="50" t="s">
        <v>389</v>
      </c>
      <c r="G63" t="s">
        <v>390</v>
      </c>
    </row>
    <row r="64" spans="2:7" ht="10.5" customHeight="1" thickBot="1"/>
    <row r="65" spans="2:7">
      <c r="B65" s="142" t="s">
        <v>391</v>
      </c>
      <c r="C65" s="38" t="s">
        <v>136</v>
      </c>
      <c r="D65" s="145" t="s">
        <v>367</v>
      </c>
      <c r="E65" s="145"/>
      <c r="F65" s="39" t="s">
        <v>392</v>
      </c>
    </row>
    <row r="66" spans="2:7">
      <c r="B66" s="143"/>
      <c r="C66" s="40" t="s">
        <v>355</v>
      </c>
      <c r="D66" s="146" t="s">
        <v>393</v>
      </c>
      <c r="E66" s="146"/>
      <c r="F66" s="58" t="s">
        <v>394</v>
      </c>
    </row>
    <row r="67" spans="2:7">
      <c r="B67" s="143"/>
      <c r="C67" s="44" t="s">
        <v>327</v>
      </c>
      <c r="D67" s="32" t="s">
        <v>395</v>
      </c>
      <c r="E67" s="42" t="s">
        <v>322</v>
      </c>
      <c r="F67" s="41" t="s">
        <v>396</v>
      </c>
    </row>
    <row r="68" spans="2:7">
      <c r="B68" s="143"/>
      <c r="C68" s="44" t="s">
        <v>31</v>
      </c>
      <c r="D68" s="32" t="s">
        <v>63</v>
      </c>
      <c r="E68" s="42" t="s">
        <v>166</v>
      </c>
      <c r="F68" s="41" t="s">
        <v>371</v>
      </c>
    </row>
    <row r="69" spans="2:7">
      <c r="B69" s="143"/>
      <c r="C69" s="44" t="s">
        <v>31</v>
      </c>
      <c r="D69" s="32" t="s">
        <v>328</v>
      </c>
      <c r="E69" s="42" t="s">
        <v>397</v>
      </c>
      <c r="F69" s="51" t="s">
        <v>373</v>
      </c>
    </row>
    <row r="70" spans="2:7">
      <c r="B70" s="143"/>
      <c r="C70" s="44" t="s">
        <v>31</v>
      </c>
      <c r="D70" s="32" t="s">
        <v>398</v>
      </c>
      <c r="E70" s="43" t="s">
        <v>335</v>
      </c>
      <c r="F70" s="41" t="s">
        <v>329</v>
      </c>
    </row>
    <row r="71" spans="2:7">
      <c r="B71" s="143"/>
      <c r="C71" s="44" t="s">
        <v>399</v>
      </c>
      <c r="D71" s="32" t="s">
        <v>349</v>
      </c>
      <c r="E71" s="43" t="s">
        <v>168</v>
      </c>
      <c r="F71" s="41" t="s">
        <v>333</v>
      </c>
    </row>
    <row r="72" spans="2:7">
      <c r="B72" s="143"/>
      <c r="C72" s="44" t="s">
        <v>31</v>
      </c>
      <c r="D72" s="32" t="s">
        <v>374</v>
      </c>
      <c r="E72" s="42" t="s">
        <v>166</v>
      </c>
      <c r="F72" s="41" t="s">
        <v>65</v>
      </c>
    </row>
    <row r="73" spans="2:7">
      <c r="B73" s="143"/>
      <c r="C73" s="44" t="s">
        <v>31</v>
      </c>
      <c r="D73" s="32" t="s">
        <v>65</v>
      </c>
      <c r="E73" s="43" t="s">
        <v>168</v>
      </c>
      <c r="F73" s="41" t="s">
        <v>65</v>
      </c>
    </row>
    <row r="74" spans="2:7">
      <c r="B74" s="143"/>
      <c r="C74" s="44" t="s">
        <v>31</v>
      </c>
      <c r="D74" s="32" t="s">
        <v>337</v>
      </c>
      <c r="E74" s="42" t="s">
        <v>166</v>
      </c>
      <c r="F74" s="41" t="s">
        <v>400</v>
      </c>
    </row>
    <row r="75" spans="2:7">
      <c r="B75" s="143"/>
      <c r="C75" s="40" t="s">
        <v>136</v>
      </c>
      <c r="D75" s="146" t="s">
        <v>367</v>
      </c>
      <c r="E75" s="146"/>
      <c r="F75" s="58" t="s">
        <v>401</v>
      </c>
    </row>
    <row r="76" spans="2:7" ht="17.25" thickBot="1">
      <c r="B76" s="144"/>
      <c r="C76" s="52" t="s">
        <v>357</v>
      </c>
      <c r="D76" s="148" t="s">
        <v>402</v>
      </c>
      <c r="E76" s="148"/>
      <c r="F76" s="50" t="s">
        <v>403</v>
      </c>
    </row>
    <row r="77" spans="2:7" ht="9.75" customHeight="1" thickBot="1"/>
    <row r="78" spans="2:7">
      <c r="B78" s="142" t="s">
        <v>404</v>
      </c>
      <c r="C78" s="38" t="s">
        <v>355</v>
      </c>
      <c r="D78" s="145" t="s">
        <v>405</v>
      </c>
      <c r="E78" s="145"/>
      <c r="F78" s="39" t="s">
        <v>406</v>
      </c>
    </row>
    <row r="79" spans="2:7">
      <c r="B79" s="143"/>
      <c r="C79" s="40" t="s">
        <v>136</v>
      </c>
      <c r="D79" s="146" t="s">
        <v>407</v>
      </c>
      <c r="E79" s="146"/>
      <c r="F79" s="58" t="s">
        <v>408</v>
      </c>
      <c r="G79" t="s">
        <v>409</v>
      </c>
    </row>
    <row r="80" spans="2:7">
      <c r="B80" s="143"/>
      <c r="C80" s="44" t="s">
        <v>352</v>
      </c>
      <c r="D80" s="32" t="s">
        <v>410</v>
      </c>
      <c r="E80" s="42" t="s">
        <v>322</v>
      </c>
      <c r="F80" s="41" t="s">
        <v>411</v>
      </c>
    </row>
    <row r="81" spans="2:6">
      <c r="B81" s="143"/>
      <c r="C81" s="44" t="s">
        <v>412</v>
      </c>
      <c r="D81" s="32" t="s">
        <v>337</v>
      </c>
      <c r="E81" s="42" t="s">
        <v>166</v>
      </c>
      <c r="F81" s="41" t="s">
        <v>413</v>
      </c>
    </row>
    <row r="82" spans="2:6">
      <c r="B82" s="143"/>
      <c r="C82" s="40" t="s">
        <v>136</v>
      </c>
      <c r="D82" s="146" t="s">
        <v>414</v>
      </c>
      <c r="E82" s="146"/>
      <c r="F82" s="58" t="s">
        <v>415</v>
      </c>
    </row>
    <row r="83" spans="2:6">
      <c r="B83" s="143"/>
      <c r="C83" s="44" t="s">
        <v>31</v>
      </c>
      <c r="D83" s="46" t="s">
        <v>151</v>
      </c>
      <c r="E83" s="43" t="s">
        <v>168</v>
      </c>
      <c r="F83" s="41" t="s">
        <v>416</v>
      </c>
    </row>
    <row r="84" spans="2:6">
      <c r="B84" s="143"/>
      <c r="C84" s="44" t="s">
        <v>31</v>
      </c>
      <c r="D84" s="32" t="s">
        <v>337</v>
      </c>
      <c r="E84" s="42" t="s">
        <v>166</v>
      </c>
      <c r="F84" s="41" t="s">
        <v>417</v>
      </c>
    </row>
    <row r="85" spans="2:6" ht="17.25" thickBot="1">
      <c r="B85" s="144"/>
      <c r="C85" s="52" t="s">
        <v>136</v>
      </c>
      <c r="D85" s="148" t="s">
        <v>224</v>
      </c>
      <c r="E85" s="148"/>
      <c r="F85" s="59" t="s">
        <v>418</v>
      </c>
    </row>
  </sheetData>
  <mergeCells count="33">
    <mergeCell ref="B65:B76"/>
    <mergeCell ref="D65:E65"/>
    <mergeCell ref="D66:E66"/>
    <mergeCell ref="D75:E75"/>
    <mergeCell ref="D76:E76"/>
    <mergeCell ref="B78:B85"/>
    <mergeCell ref="D78:E78"/>
    <mergeCell ref="D79:E79"/>
    <mergeCell ref="D82:E82"/>
    <mergeCell ref="D85:E85"/>
    <mergeCell ref="B40:B50"/>
    <mergeCell ref="D40:E40"/>
    <mergeCell ref="D41:E41"/>
    <mergeCell ref="D50:E50"/>
    <mergeCell ref="B52:B63"/>
    <mergeCell ref="D52:E52"/>
    <mergeCell ref="D53:E53"/>
    <mergeCell ref="D62:E62"/>
    <mergeCell ref="D63:E63"/>
    <mergeCell ref="B16:B26"/>
    <mergeCell ref="D16:E16"/>
    <mergeCell ref="D17:E17"/>
    <mergeCell ref="D26:E26"/>
    <mergeCell ref="B28:B38"/>
    <mergeCell ref="D28:E28"/>
    <mergeCell ref="D29:E29"/>
    <mergeCell ref="D38:E38"/>
    <mergeCell ref="D2:E2"/>
    <mergeCell ref="B3:B14"/>
    <mergeCell ref="D3:E3"/>
    <mergeCell ref="D4:E4"/>
    <mergeCell ref="D5:E5"/>
    <mergeCell ref="D14:E14"/>
  </mergeCells>
  <phoneticPr fontId="1" type="noConversion"/>
  <pageMargins left="0.3" right="0.17" top="0.74803149606299213" bottom="0.74803149606299213" header="0.31496062992125984" footer="0.31496062992125984"/>
  <pageSetup paperSize="9" scale="75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54"/>
  <sheetViews>
    <sheetView workbookViewId="0">
      <pane ySplit="2" topLeftCell="A39" activePane="bottomLeft" state="frozen"/>
      <selection activeCell="E18" sqref="E18"/>
      <selection pane="bottomLeft" activeCell="E18" sqref="E18"/>
    </sheetView>
  </sheetViews>
  <sheetFormatPr defaultRowHeight="16.5"/>
  <cols>
    <col min="1" max="1" width="2.375" customWidth="1"/>
    <col min="2" max="2" width="18" customWidth="1"/>
    <col min="3" max="3" width="13" customWidth="1"/>
    <col min="4" max="4" width="20.5" customWidth="1"/>
    <col min="5" max="5" width="13" customWidth="1"/>
    <col min="6" max="6" width="48.125" bestFit="1" customWidth="1"/>
    <col min="7" max="7" width="41" bestFit="1" customWidth="1"/>
  </cols>
  <sheetData>
    <row r="1" spans="2:7" ht="17.25" thickBot="1">
      <c r="B1" s="25" t="s">
        <v>419</v>
      </c>
    </row>
    <row r="2" spans="2:7" ht="17.25" thickBot="1">
      <c r="B2" s="36" t="s">
        <v>420</v>
      </c>
      <c r="C2" s="26" t="s">
        <v>421</v>
      </c>
      <c r="D2" s="140" t="s">
        <v>422</v>
      </c>
      <c r="E2" s="141"/>
      <c r="F2" s="28" t="s">
        <v>311</v>
      </c>
      <c r="G2" s="37" t="s">
        <v>312</v>
      </c>
    </row>
    <row r="3" spans="2:7">
      <c r="B3" s="143" t="s">
        <v>57</v>
      </c>
      <c r="C3" s="44" t="s">
        <v>327</v>
      </c>
      <c r="D3" s="32" t="s">
        <v>58</v>
      </c>
      <c r="E3" s="42" t="s">
        <v>166</v>
      </c>
      <c r="F3" s="41" t="s">
        <v>423</v>
      </c>
    </row>
    <row r="4" spans="2:7">
      <c r="B4" s="143"/>
      <c r="C4" s="44" t="s">
        <v>345</v>
      </c>
      <c r="D4" s="32" t="s">
        <v>424</v>
      </c>
      <c r="E4" s="42" t="s">
        <v>166</v>
      </c>
      <c r="F4" s="41" t="s">
        <v>425</v>
      </c>
    </row>
    <row r="5" spans="2:7">
      <c r="B5" s="143"/>
      <c r="C5" s="44" t="s">
        <v>31</v>
      </c>
      <c r="D5" s="32" t="s">
        <v>426</v>
      </c>
      <c r="E5" s="43" t="s">
        <v>168</v>
      </c>
      <c r="F5" s="41" t="s">
        <v>427</v>
      </c>
    </row>
    <row r="6" spans="2:7">
      <c r="B6" s="143"/>
      <c r="C6" s="44" t="s">
        <v>428</v>
      </c>
      <c r="D6" s="32" t="s">
        <v>60</v>
      </c>
      <c r="E6" s="42" t="s">
        <v>381</v>
      </c>
      <c r="F6" s="41" t="s">
        <v>429</v>
      </c>
    </row>
    <row r="7" spans="2:7">
      <c r="B7" s="143"/>
      <c r="C7" s="44" t="s">
        <v>428</v>
      </c>
      <c r="D7" s="32" t="s">
        <v>430</v>
      </c>
      <c r="E7" s="42" t="s">
        <v>166</v>
      </c>
      <c r="F7" s="41" t="s">
        <v>431</v>
      </c>
    </row>
    <row r="8" spans="2:7">
      <c r="B8" s="143"/>
      <c r="C8" s="44" t="s">
        <v>31</v>
      </c>
      <c r="D8" s="32" t="s">
        <v>337</v>
      </c>
      <c r="E8" s="42" t="s">
        <v>432</v>
      </c>
      <c r="F8" s="41" t="s">
        <v>433</v>
      </c>
    </row>
    <row r="9" spans="2:7">
      <c r="B9" s="143"/>
      <c r="C9" s="44" t="s">
        <v>31</v>
      </c>
      <c r="D9" s="32" t="s">
        <v>434</v>
      </c>
      <c r="E9" s="42" t="s">
        <v>166</v>
      </c>
      <c r="F9" s="41" t="s">
        <v>435</v>
      </c>
    </row>
    <row r="10" spans="2:7" ht="17.25" thickBot="1">
      <c r="B10" s="144"/>
      <c r="C10" s="52" t="s">
        <v>355</v>
      </c>
      <c r="D10" s="148" t="s">
        <v>436</v>
      </c>
      <c r="E10" s="148"/>
      <c r="F10" s="50" t="s">
        <v>437</v>
      </c>
    </row>
    <row r="11" spans="2:7" ht="9" customHeight="1" thickBot="1"/>
    <row r="12" spans="2:7">
      <c r="B12" s="142" t="s">
        <v>46</v>
      </c>
      <c r="C12" s="55" t="s">
        <v>412</v>
      </c>
      <c r="D12" s="30" t="s">
        <v>438</v>
      </c>
      <c r="E12" s="56" t="s">
        <v>439</v>
      </c>
      <c r="F12" s="39" t="s">
        <v>440</v>
      </c>
    </row>
    <row r="13" spans="2:7">
      <c r="B13" s="143"/>
      <c r="C13" s="44" t="s">
        <v>31</v>
      </c>
      <c r="D13" s="32" t="s">
        <v>337</v>
      </c>
      <c r="E13" s="42" t="s">
        <v>166</v>
      </c>
      <c r="F13" s="41" t="s">
        <v>441</v>
      </c>
    </row>
    <row r="14" spans="2:7">
      <c r="B14" s="143"/>
      <c r="C14" s="40" t="s">
        <v>136</v>
      </c>
      <c r="D14" s="146" t="s">
        <v>442</v>
      </c>
      <c r="E14" s="146"/>
      <c r="F14" s="41" t="s">
        <v>443</v>
      </c>
    </row>
    <row r="15" spans="2:7" ht="17.25" thickBot="1">
      <c r="B15" s="144"/>
      <c r="C15" s="52" t="s">
        <v>181</v>
      </c>
      <c r="D15" s="148" t="s">
        <v>61</v>
      </c>
      <c r="E15" s="148"/>
      <c r="F15" s="50" t="s">
        <v>444</v>
      </c>
    </row>
    <row r="16" spans="2:7" ht="8.25" customHeight="1" thickBot="1"/>
    <row r="17" spans="2:6">
      <c r="B17" s="142" t="s">
        <v>46</v>
      </c>
      <c r="C17" s="55" t="s">
        <v>320</v>
      </c>
      <c r="D17" s="30" t="s">
        <v>445</v>
      </c>
      <c r="E17" s="56" t="s">
        <v>212</v>
      </c>
      <c r="F17" s="39" t="s">
        <v>446</v>
      </c>
    </row>
    <row r="18" spans="2:6">
      <c r="B18" s="143"/>
      <c r="C18" s="44" t="s">
        <v>129</v>
      </c>
      <c r="D18" s="32" t="s">
        <v>217</v>
      </c>
      <c r="E18" s="42" t="s">
        <v>447</v>
      </c>
      <c r="F18" s="41" t="s">
        <v>338</v>
      </c>
    </row>
    <row r="19" spans="2:6" ht="17.25" thickBot="1">
      <c r="B19" s="144"/>
      <c r="C19" s="52" t="s">
        <v>355</v>
      </c>
      <c r="D19" s="148" t="s">
        <v>448</v>
      </c>
      <c r="E19" s="148"/>
      <c r="F19" s="50"/>
    </row>
    <row r="20" spans="2:6" ht="8.25" customHeight="1" thickBot="1"/>
    <row r="21" spans="2:6">
      <c r="B21" s="142" t="s">
        <v>449</v>
      </c>
      <c r="C21" s="55" t="s">
        <v>450</v>
      </c>
      <c r="D21" s="30" t="s">
        <v>451</v>
      </c>
      <c r="E21" s="56" t="s">
        <v>166</v>
      </c>
      <c r="F21" s="39" t="s">
        <v>452</v>
      </c>
    </row>
    <row r="22" spans="2:6">
      <c r="B22" s="143"/>
      <c r="C22" s="44" t="s">
        <v>428</v>
      </c>
      <c r="D22" s="32" t="s">
        <v>453</v>
      </c>
      <c r="E22" s="42" t="s">
        <v>166</v>
      </c>
      <c r="F22" s="41" t="s">
        <v>454</v>
      </c>
    </row>
    <row r="23" spans="2:6">
      <c r="B23" s="143"/>
      <c r="C23" s="44" t="s">
        <v>412</v>
      </c>
      <c r="D23" s="32" t="s">
        <v>455</v>
      </c>
      <c r="E23" s="42" t="s">
        <v>166</v>
      </c>
      <c r="F23" s="41" t="s">
        <v>456</v>
      </c>
    </row>
    <row r="24" spans="2:6">
      <c r="B24" s="143"/>
      <c r="C24" s="44" t="s">
        <v>31</v>
      </c>
      <c r="D24" s="32" t="s">
        <v>455</v>
      </c>
      <c r="E24" s="43" t="s">
        <v>457</v>
      </c>
      <c r="F24" s="41" t="s">
        <v>458</v>
      </c>
    </row>
    <row r="25" spans="2:6">
      <c r="B25" s="143"/>
      <c r="C25" s="44" t="s">
        <v>31</v>
      </c>
      <c r="D25" s="32" t="s">
        <v>453</v>
      </c>
      <c r="E25" s="42" t="s">
        <v>166</v>
      </c>
      <c r="F25" s="41" t="s">
        <v>459</v>
      </c>
    </row>
    <row r="26" spans="2:6">
      <c r="B26" s="143"/>
      <c r="C26" s="44" t="s">
        <v>31</v>
      </c>
      <c r="D26" s="32" t="s">
        <v>337</v>
      </c>
      <c r="E26" s="42" t="s">
        <v>460</v>
      </c>
      <c r="F26" s="41" t="s">
        <v>338</v>
      </c>
    </row>
    <row r="27" spans="2:6">
      <c r="B27" s="143"/>
      <c r="C27" s="44" t="s">
        <v>327</v>
      </c>
      <c r="D27" s="46" t="s">
        <v>461</v>
      </c>
      <c r="E27" s="42" t="s">
        <v>381</v>
      </c>
      <c r="F27" s="41" t="s">
        <v>462</v>
      </c>
    </row>
    <row r="28" spans="2:6">
      <c r="B28" s="143"/>
      <c r="C28" s="44" t="s">
        <v>129</v>
      </c>
      <c r="D28" s="46" t="s">
        <v>288</v>
      </c>
      <c r="E28" s="43" t="s">
        <v>168</v>
      </c>
      <c r="F28" s="41" t="s">
        <v>416</v>
      </c>
    </row>
    <row r="29" spans="2:6">
      <c r="B29" s="143"/>
      <c r="C29" s="40" t="s">
        <v>178</v>
      </c>
      <c r="D29" s="146" t="s">
        <v>463</v>
      </c>
      <c r="E29" s="146"/>
      <c r="F29" s="41" t="s">
        <v>443</v>
      </c>
    </row>
    <row r="30" spans="2:6" ht="17.25" thickBot="1">
      <c r="B30" s="144"/>
      <c r="C30" s="52" t="s">
        <v>178</v>
      </c>
      <c r="D30" s="148" t="s">
        <v>61</v>
      </c>
      <c r="E30" s="148"/>
      <c r="F30" s="50" t="s">
        <v>464</v>
      </c>
    </row>
    <row r="31" spans="2:6" ht="7.5" customHeight="1" thickBot="1"/>
    <row r="32" spans="2:6">
      <c r="B32" s="142" t="s">
        <v>465</v>
      </c>
      <c r="C32" s="55" t="s">
        <v>31</v>
      </c>
      <c r="D32" s="30" t="s">
        <v>451</v>
      </c>
      <c r="E32" s="56" t="s">
        <v>386</v>
      </c>
      <c r="F32" s="39" t="s">
        <v>452</v>
      </c>
    </row>
    <row r="33" spans="2:7">
      <c r="B33" s="143"/>
      <c r="C33" s="44" t="s">
        <v>31</v>
      </c>
      <c r="D33" s="32" t="s">
        <v>453</v>
      </c>
      <c r="E33" s="42" t="s">
        <v>166</v>
      </c>
      <c r="F33" s="41" t="s">
        <v>466</v>
      </c>
    </row>
    <row r="34" spans="2:7">
      <c r="B34" s="143"/>
      <c r="C34" s="44" t="s">
        <v>129</v>
      </c>
      <c r="D34" s="32" t="s">
        <v>467</v>
      </c>
      <c r="E34" s="42" t="s">
        <v>212</v>
      </c>
      <c r="F34" s="41" t="s">
        <v>468</v>
      </c>
    </row>
    <row r="35" spans="2:7">
      <c r="B35" s="143"/>
      <c r="C35" s="44" t="s">
        <v>129</v>
      </c>
      <c r="D35" s="32" t="s">
        <v>455</v>
      </c>
      <c r="E35" s="43" t="s">
        <v>168</v>
      </c>
      <c r="F35" s="41" t="s">
        <v>469</v>
      </c>
    </row>
    <row r="36" spans="2:7">
      <c r="B36" s="143"/>
      <c r="C36" s="44" t="s">
        <v>31</v>
      </c>
      <c r="D36" s="32" t="s">
        <v>453</v>
      </c>
      <c r="E36" s="42" t="s">
        <v>166</v>
      </c>
      <c r="F36" s="41" t="s">
        <v>470</v>
      </c>
      <c r="G36" t="s">
        <v>471</v>
      </c>
    </row>
    <row r="37" spans="2:7">
      <c r="B37" s="143"/>
      <c r="C37" s="44" t="s">
        <v>31</v>
      </c>
      <c r="D37" s="32" t="s">
        <v>472</v>
      </c>
      <c r="E37" s="42" t="s">
        <v>381</v>
      </c>
      <c r="F37" s="41" t="s">
        <v>338</v>
      </c>
    </row>
    <row r="38" spans="2:7">
      <c r="B38" s="143"/>
      <c r="C38" s="44" t="s">
        <v>31</v>
      </c>
      <c r="D38" s="46" t="s">
        <v>151</v>
      </c>
      <c r="E38" s="42" t="s">
        <v>166</v>
      </c>
      <c r="F38" s="41" t="s">
        <v>473</v>
      </c>
    </row>
    <row r="39" spans="2:7">
      <c r="B39" s="143"/>
      <c r="C39" s="44" t="s">
        <v>31</v>
      </c>
      <c r="D39" s="46" t="s">
        <v>474</v>
      </c>
      <c r="E39" s="43" t="s">
        <v>168</v>
      </c>
      <c r="F39" s="41" t="s">
        <v>475</v>
      </c>
    </row>
    <row r="40" spans="2:7">
      <c r="B40" s="143"/>
      <c r="C40" s="40" t="s">
        <v>136</v>
      </c>
      <c r="D40" s="146" t="s">
        <v>463</v>
      </c>
      <c r="E40" s="146"/>
      <c r="F40" s="41" t="s">
        <v>443</v>
      </c>
    </row>
    <row r="41" spans="2:7" ht="17.25" thickBot="1">
      <c r="B41" s="144"/>
      <c r="C41" s="52" t="s">
        <v>476</v>
      </c>
      <c r="D41" s="148" t="s">
        <v>277</v>
      </c>
      <c r="E41" s="148"/>
      <c r="F41" s="50" t="s">
        <v>444</v>
      </c>
    </row>
    <row r="42" spans="2:7" ht="9" customHeight="1" thickBot="1"/>
    <row r="43" spans="2:7">
      <c r="B43" s="142" t="s">
        <v>453</v>
      </c>
      <c r="C43" s="55" t="s">
        <v>327</v>
      </c>
      <c r="D43" s="30" t="s">
        <v>477</v>
      </c>
      <c r="E43" s="56" t="s">
        <v>478</v>
      </c>
      <c r="F43" s="39" t="s">
        <v>468</v>
      </c>
    </row>
    <row r="44" spans="2:7">
      <c r="B44" s="143"/>
      <c r="C44" s="44" t="s">
        <v>31</v>
      </c>
      <c r="D44" s="32" t="s">
        <v>479</v>
      </c>
      <c r="E44" s="43" t="s">
        <v>457</v>
      </c>
      <c r="F44" s="41" t="s">
        <v>480</v>
      </c>
    </row>
    <row r="45" spans="2:7">
      <c r="B45" s="143"/>
      <c r="C45" s="44" t="s">
        <v>450</v>
      </c>
      <c r="D45" s="32" t="s">
        <v>453</v>
      </c>
      <c r="E45" s="42" t="s">
        <v>166</v>
      </c>
      <c r="F45" s="41" t="s">
        <v>481</v>
      </c>
    </row>
    <row r="46" spans="2:7">
      <c r="B46" s="143"/>
      <c r="C46" s="44" t="s">
        <v>129</v>
      </c>
      <c r="D46" s="32" t="s">
        <v>217</v>
      </c>
      <c r="E46" s="42" t="s">
        <v>166</v>
      </c>
      <c r="F46" s="41" t="s">
        <v>338</v>
      </c>
    </row>
    <row r="47" spans="2:7">
      <c r="B47" s="143"/>
      <c r="C47" s="44" t="s">
        <v>345</v>
      </c>
      <c r="D47" s="46" t="s">
        <v>151</v>
      </c>
      <c r="E47" s="42" t="s">
        <v>166</v>
      </c>
      <c r="F47" s="41" t="s">
        <v>482</v>
      </c>
    </row>
    <row r="48" spans="2:7">
      <c r="B48" s="143"/>
      <c r="C48" s="44" t="s">
        <v>31</v>
      </c>
      <c r="D48" s="46" t="s">
        <v>483</v>
      </c>
      <c r="E48" s="43" t="s">
        <v>168</v>
      </c>
      <c r="F48" s="41" t="s">
        <v>484</v>
      </c>
    </row>
    <row r="49" spans="2:7">
      <c r="B49" s="143"/>
      <c r="C49" s="40" t="s">
        <v>485</v>
      </c>
      <c r="D49" s="146" t="s">
        <v>486</v>
      </c>
      <c r="E49" s="146"/>
      <c r="F49" s="41" t="s">
        <v>443</v>
      </c>
    </row>
    <row r="50" spans="2:7" ht="17.25" thickBot="1">
      <c r="B50" s="144"/>
      <c r="C50" s="52" t="s">
        <v>136</v>
      </c>
      <c r="D50" s="148" t="s">
        <v>487</v>
      </c>
      <c r="E50" s="148"/>
      <c r="F50" s="50" t="s">
        <v>444</v>
      </c>
    </row>
    <row r="51" spans="2:7" ht="7.5" customHeight="1" thickBot="1"/>
    <row r="52" spans="2:7">
      <c r="B52" s="142" t="s">
        <v>488</v>
      </c>
      <c r="C52" s="55" t="s">
        <v>489</v>
      </c>
      <c r="D52" s="30" t="s">
        <v>410</v>
      </c>
      <c r="E52" s="56" t="s">
        <v>166</v>
      </c>
      <c r="F52" s="39" t="s">
        <v>490</v>
      </c>
      <c r="G52" t="s">
        <v>491</v>
      </c>
    </row>
    <row r="53" spans="2:7">
      <c r="B53" s="143"/>
      <c r="C53" s="44" t="s">
        <v>450</v>
      </c>
      <c r="D53" s="32" t="s">
        <v>492</v>
      </c>
      <c r="E53" s="42" t="s">
        <v>447</v>
      </c>
      <c r="F53" s="41" t="s">
        <v>338</v>
      </c>
    </row>
    <row r="54" spans="2:7" ht="17.25" thickBot="1">
      <c r="B54" s="144"/>
      <c r="C54" s="52" t="s">
        <v>178</v>
      </c>
      <c r="D54" s="148" t="s">
        <v>61</v>
      </c>
      <c r="E54" s="148"/>
      <c r="F54" s="50" t="s">
        <v>493</v>
      </c>
    </row>
  </sheetData>
  <mergeCells count="19">
    <mergeCell ref="B43:B50"/>
    <mergeCell ref="D49:E49"/>
    <mergeCell ref="D50:E50"/>
    <mergeCell ref="B52:B54"/>
    <mergeCell ref="D54:E54"/>
    <mergeCell ref="B32:B41"/>
    <mergeCell ref="D40:E40"/>
    <mergeCell ref="D41:E41"/>
    <mergeCell ref="D2:E2"/>
    <mergeCell ref="B3:B10"/>
    <mergeCell ref="D10:E10"/>
    <mergeCell ref="B12:B15"/>
    <mergeCell ref="D14:E14"/>
    <mergeCell ref="D15:E15"/>
    <mergeCell ref="B17:B19"/>
    <mergeCell ref="D19:E19"/>
    <mergeCell ref="B21:B30"/>
    <mergeCell ref="D29:E29"/>
    <mergeCell ref="D30:E30"/>
  </mergeCells>
  <phoneticPr fontId="1" type="noConversion"/>
  <pageMargins left="0.26" right="0.17" top="0.74803149606299213" bottom="0.74803149606299213" header="0.31496062992125984" footer="0.31496062992125984"/>
  <pageSetup paperSize="9" scale="8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2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N7" sqref="N7"/>
    </sheetView>
  </sheetViews>
  <sheetFormatPr defaultColWidth="8.75" defaultRowHeight="16.5"/>
  <cols>
    <col min="1" max="1" width="9.875" style="19" customWidth="1"/>
    <col min="2" max="2" width="14.75" style="19" customWidth="1"/>
    <col min="3" max="3" width="19.5" style="17" customWidth="1"/>
    <col min="4" max="4" width="19.5" style="19" customWidth="1"/>
    <col min="5" max="8" width="8.625" style="17" customWidth="1"/>
    <col min="9" max="11" width="8.625" style="19" customWidth="1"/>
    <col min="12" max="16384" width="8.75" style="19"/>
  </cols>
  <sheetData>
    <row r="1" spans="1:11" ht="39.950000000000003" customHeight="1">
      <c r="A1" s="162" t="s">
        <v>18</v>
      </c>
      <c r="B1" s="162"/>
      <c r="C1" s="162"/>
      <c r="D1" s="162"/>
      <c r="H1" s="18"/>
    </row>
    <row r="2" spans="1:11" s="1" customFormat="1" ht="20.100000000000001" customHeight="1">
      <c r="A2" s="163" t="s">
        <v>19</v>
      </c>
      <c r="B2" s="163" t="s">
        <v>20</v>
      </c>
      <c r="C2" s="163" t="s">
        <v>21</v>
      </c>
      <c r="D2" s="163" t="s">
        <v>22</v>
      </c>
      <c r="E2" s="160" t="s">
        <v>23</v>
      </c>
      <c r="F2" s="161"/>
      <c r="G2" s="161"/>
      <c r="H2" s="161"/>
      <c r="I2" s="161"/>
      <c r="J2" s="161"/>
      <c r="K2" s="161"/>
    </row>
    <row r="3" spans="1:11" s="1" customFormat="1" ht="20.100000000000001" customHeight="1">
      <c r="A3" s="164"/>
      <c r="B3" s="164"/>
      <c r="C3" s="164"/>
      <c r="D3" s="164"/>
      <c r="E3" s="20" t="s">
        <v>24</v>
      </c>
      <c r="F3" s="20" t="s">
        <v>25</v>
      </c>
      <c r="G3" s="21" t="s">
        <v>26</v>
      </c>
      <c r="H3" s="21" t="s">
        <v>27</v>
      </c>
      <c r="I3" s="21" t="s">
        <v>28</v>
      </c>
      <c r="J3" s="21" t="s">
        <v>29</v>
      </c>
      <c r="K3" s="21" t="s">
        <v>30</v>
      </c>
    </row>
    <row r="4" spans="1:11" s="1" customFormat="1" ht="18" customHeight="1">
      <c r="A4" s="156" t="s">
        <v>31</v>
      </c>
      <c r="B4" s="158" t="s">
        <v>32</v>
      </c>
      <c r="C4" s="154" t="s">
        <v>33</v>
      </c>
      <c r="D4" s="22" t="s">
        <v>34</v>
      </c>
      <c r="E4" s="23" t="s">
        <v>35</v>
      </c>
      <c r="F4" s="23"/>
      <c r="G4" s="23" t="s">
        <v>35</v>
      </c>
      <c r="H4" s="23" t="s">
        <v>35</v>
      </c>
      <c r="I4" s="23"/>
      <c r="J4" s="23"/>
      <c r="K4" s="23"/>
    </row>
    <row r="5" spans="1:11" s="1" customFormat="1" ht="18" customHeight="1">
      <c r="A5" s="156"/>
      <c r="B5" s="159"/>
      <c r="C5" s="155"/>
      <c r="D5" s="22" t="s">
        <v>36</v>
      </c>
      <c r="E5" s="23" t="s">
        <v>35</v>
      </c>
      <c r="F5" s="23"/>
      <c r="G5" s="23"/>
      <c r="H5" s="23" t="s">
        <v>35</v>
      </c>
      <c r="I5" s="23"/>
      <c r="J5" s="23"/>
      <c r="K5" s="23"/>
    </row>
    <row r="6" spans="1:11" s="1" customFormat="1" ht="18" customHeight="1">
      <c r="A6" s="156"/>
      <c r="B6" s="159"/>
      <c r="C6" s="157"/>
      <c r="D6" s="22" t="s">
        <v>37</v>
      </c>
      <c r="E6" s="23" t="s">
        <v>35</v>
      </c>
      <c r="F6" s="23"/>
      <c r="G6" s="23" t="s">
        <v>35</v>
      </c>
      <c r="H6" s="23" t="s">
        <v>35</v>
      </c>
      <c r="I6" s="23" t="s">
        <v>38</v>
      </c>
      <c r="J6" s="23" t="s">
        <v>35</v>
      </c>
      <c r="K6" s="23" t="s">
        <v>35</v>
      </c>
    </row>
    <row r="7" spans="1:11" s="1" customFormat="1" ht="18" customHeight="1">
      <c r="A7" s="156"/>
      <c r="B7" s="159"/>
      <c r="C7" s="156" t="s">
        <v>39</v>
      </c>
      <c r="D7" s="22" t="s">
        <v>40</v>
      </c>
      <c r="E7" s="23" t="s">
        <v>35</v>
      </c>
      <c r="F7" s="23"/>
      <c r="G7" s="23" t="s">
        <v>38</v>
      </c>
      <c r="H7" s="23" t="s">
        <v>35</v>
      </c>
      <c r="I7" s="23"/>
      <c r="J7" s="23"/>
      <c r="K7" s="23"/>
    </row>
    <row r="8" spans="1:11" s="1" customFormat="1" ht="18" customHeight="1">
      <c r="A8" s="156"/>
      <c r="B8" s="159"/>
      <c r="C8" s="156"/>
      <c r="D8" s="22" t="s">
        <v>41</v>
      </c>
      <c r="E8" s="23" t="s">
        <v>35</v>
      </c>
      <c r="F8" s="23"/>
      <c r="G8" s="23"/>
      <c r="H8" s="23" t="s">
        <v>35</v>
      </c>
      <c r="I8" s="23"/>
      <c r="J8" s="23"/>
      <c r="K8" s="23"/>
    </row>
    <row r="9" spans="1:11" s="1" customFormat="1" ht="18" customHeight="1">
      <c r="A9" s="156"/>
      <c r="B9" s="159"/>
      <c r="C9" s="154" t="s">
        <v>42</v>
      </c>
      <c r="D9" s="22" t="s">
        <v>43</v>
      </c>
      <c r="E9" s="23" t="s">
        <v>35</v>
      </c>
      <c r="F9" s="23"/>
      <c r="G9" s="23" t="s">
        <v>38</v>
      </c>
      <c r="H9" s="23" t="s">
        <v>35</v>
      </c>
      <c r="I9" s="23"/>
      <c r="J9" s="23"/>
      <c r="K9" s="23"/>
    </row>
    <row r="10" spans="1:11" s="1" customFormat="1" ht="18" customHeight="1">
      <c r="A10" s="156"/>
      <c r="B10" s="159"/>
      <c r="C10" s="155"/>
      <c r="D10" s="22" t="s">
        <v>44</v>
      </c>
      <c r="E10" s="23" t="s">
        <v>35</v>
      </c>
      <c r="F10" s="23"/>
      <c r="G10" s="23"/>
      <c r="H10" s="23" t="s">
        <v>35</v>
      </c>
      <c r="I10" s="23"/>
      <c r="J10" s="23"/>
      <c r="K10" s="23"/>
    </row>
    <row r="11" spans="1:11" s="1" customFormat="1" ht="18" customHeight="1">
      <c r="A11" s="156"/>
      <c r="B11" s="159"/>
      <c r="C11" s="155"/>
      <c r="D11" s="22" t="s">
        <v>45</v>
      </c>
      <c r="E11" s="23" t="s">
        <v>35</v>
      </c>
      <c r="F11" s="23"/>
      <c r="G11" s="23" t="s">
        <v>35</v>
      </c>
      <c r="H11" s="23" t="s">
        <v>35</v>
      </c>
      <c r="I11" s="23"/>
      <c r="J11" s="23"/>
      <c r="K11" s="23"/>
    </row>
    <row r="12" spans="1:11" s="1" customFormat="1" ht="18" customHeight="1">
      <c r="A12" s="156"/>
      <c r="B12" s="159"/>
      <c r="C12" s="155"/>
      <c r="D12" s="22" t="s">
        <v>46</v>
      </c>
      <c r="E12" s="23" t="s">
        <v>35</v>
      </c>
      <c r="F12" s="23"/>
      <c r="G12" s="23"/>
      <c r="H12" s="23" t="s">
        <v>38</v>
      </c>
      <c r="I12" s="23"/>
      <c r="J12" s="23"/>
      <c r="K12" s="23"/>
    </row>
    <row r="13" spans="1:11" s="1" customFormat="1" ht="18" customHeight="1">
      <c r="A13" s="156"/>
      <c r="B13" s="159"/>
      <c r="C13" s="155"/>
      <c r="D13" s="22" t="s">
        <v>47</v>
      </c>
      <c r="E13" s="23" t="s">
        <v>35</v>
      </c>
      <c r="F13" s="23"/>
      <c r="G13" s="23"/>
      <c r="H13" s="23" t="s">
        <v>38</v>
      </c>
      <c r="I13" s="23"/>
      <c r="J13" s="23"/>
      <c r="K13" s="23"/>
    </row>
    <row r="14" spans="1:11" s="1" customFormat="1" ht="18" customHeight="1">
      <c r="A14" s="156"/>
      <c r="B14" s="159"/>
      <c r="C14" s="154" t="s">
        <v>48</v>
      </c>
      <c r="D14" s="22" t="s">
        <v>49</v>
      </c>
      <c r="E14" s="23" t="s">
        <v>38</v>
      </c>
      <c r="F14" s="23" t="s">
        <v>35</v>
      </c>
      <c r="G14" s="23" t="s">
        <v>35</v>
      </c>
      <c r="H14" s="23" t="s">
        <v>35</v>
      </c>
      <c r="I14" s="23"/>
      <c r="J14" s="23"/>
      <c r="K14" s="23"/>
    </row>
    <row r="15" spans="1:11" s="1" customFormat="1" ht="18" customHeight="1">
      <c r="A15" s="156"/>
      <c r="B15" s="159"/>
      <c r="C15" s="155"/>
      <c r="D15" s="22" t="s">
        <v>50</v>
      </c>
      <c r="E15" s="23" t="s">
        <v>38</v>
      </c>
      <c r="F15" s="23" t="s">
        <v>35</v>
      </c>
      <c r="G15" s="23" t="s">
        <v>35</v>
      </c>
      <c r="H15" s="23" t="s">
        <v>35</v>
      </c>
      <c r="I15" s="23"/>
      <c r="J15" s="23"/>
      <c r="K15" s="23"/>
    </row>
    <row r="16" spans="1:11" s="1" customFormat="1" ht="18" customHeight="1">
      <c r="A16" s="156"/>
      <c r="B16" s="159"/>
      <c r="C16" s="155"/>
      <c r="D16" s="22" t="s">
        <v>51</v>
      </c>
      <c r="E16" s="23" t="s">
        <v>35</v>
      </c>
      <c r="F16" s="23"/>
      <c r="G16" s="23" t="s">
        <v>35</v>
      </c>
      <c r="H16" s="23" t="s">
        <v>38</v>
      </c>
      <c r="I16" s="23"/>
      <c r="J16" s="23" t="s">
        <v>35</v>
      </c>
      <c r="K16" s="23" t="s">
        <v>35</v>
      </c>
    </row>
    <row r="17" spans="1:11" s="1" customFormat="1" ht="18" customHeight="1">
      <c r="A17" s="156"/>
      <c r="B17" s="159"/>
      <c r="C17" s="155"/>
      <c r="D17" s="22" t="s">
        <v>52</v>
      </c>
      <c r="E17" s="23" t="s">
        <v>35</v>
      </c>
      <c r="F17" s="23" t="s">
        <v>38</v>
      </c>
      <c r="G17" s="23" t="s">
        <v>35</v>
      </c>
      <c r="H17" s="23" t="s">
        <v>35</v>
      </c>
      <c r="I17" s="23"/>
      <c r="J17" s="23"/>
      <c r="K17" s="23"/>
    </row>
    <row r="18" spans="1:11" s="1" customFormat="1" ht="18" customHeight="1">
      <c r="A18" s="156"/>
      <c r="B18" s="159"/>
      <c r="C18" s="155"/>
      <c r="D18" s="22" t="s">
        <v>53</v>
      </c>
      <c r="E18" s="23" t="s">
        <v>35</v>
      </c>
      <c r="F18" s="23" t="s">
        <v>35</v>
      </c>
      <c r="G18" s="23" t="s">
        <v>35</v>
      </c>
      <c r="H18" s="23" t="s">
        <v>38</v>
      </c>
      <c r="I18" s="23"/>
      <c r="J18" s="23"/>
      <c r="K18" s="23"/>
    </row>
    <row r="19" spans="1:11" s="1" customFormat="1" ht="18" customHeight="1">
      <c r="A19" s="156"/>
      <c r="B19" s="159"/>
      <c r="C19" s="155"/>
      <c r="D19" s="22" t="s">
        <v>54</v>
      </c>
      <c r="E19" s="23" t="s">
        <v>35</v>
      </c>
      <c r="F19" s="23" t="s">
        <v>38</v>
      </c>
      <c r="G19" s="23" t="s">
        <v>38</v>
      </c>
      <c r="H19" s="23" t="s">
        <v>35</v>
      </c>
      <c r="I19" s="23"/>
      <c r="J19" s="23"/>
      <c r="K19" s="23"/>
    </row>
    <row r="20" spans="1:11" s="1" customFormat="1" ht="18" customHeight="1">
      <c r="A20" s="156"/>
      <c r="B20" s="159"/>
      <c r="C20" s="155"/>
      <c r="D20" s="22" t="s">
        <v>55</v>
      </c>
      <c r="E20" s="23" t="s">
        <v>38</v>
      </c>
      <c r="F20" s="23"/>
      <c r="G20" s="23"/>
      <c r="H20" s="23" t="s">
        <v>38</v>
      </c>
      <c r="I20" s="23"/>
      <c r="J20" s="23"/>
      <c r="K20" s="23"/>
    </row>
    <row r="21" spans="1:11" s="1" customFormat="1" ht="18" customHeight="1">
      <c r="A21" s="156"/>
      <c r="B21" s="159"/>
      <c r="C21" s="155"/>
      <c r="D21" s="22" t="s">
        <v>56</v>
      </c>
      <c r="E21" s="23" t="s">
        <v>35</v>
      </c>
      <c r="F21" s="23"/>
      <c r="G21" s="23" t="s">
        <v>38</v>
      </c>
      <c r="H21" s="23" t="s">
        <v>38</v>
      </c>
      <c r="I21" s="23"/>
      <c r="J21" s="23"/>
      <c r="K21" s="23"/>
    </row>
    <row r="22" spans="1:11" s="1" customFormat="1" ht="18" customHeight="1">
      <c r="A22" s="156"/>
      <c r="B22" s="159"/>
      <c r="C22" s="156" t="s">
        <v>57</v>
      </c>
      <c r="D22" s="22" t="s">
        <v>58</v>
      </c>
      <c r="E22" s="23" t="s">
        <v>35</v>
      </c>
      <c r="F22" s="23"/>
      <c r="G22" s="23"/>
      <c r="H22" s="23" t="s">
        <v>38</v>
      </c>
      <c r="I22" s="23"/>
      <c r="J22" s="23"/>
      <c r="K22" s="23"/>
    </row>
    <row r="23" spans="1:11" s="1" customFormat="1" ht="18" customHeight="1">
      <c r="A23" s="156"/>
      <c r="B23" s="159"/>
      <c r="C23" s="156"/>
      <c r="D23" s="22" t="s">
        <v>59</v>
      </c>
      <c r="E23" s="23" t="s">
        <v>38</v>
      </c>
      <c r="F23" s="23"/>
      <c r="G23" s="23"/>
      <c r="H23" s="23" t="s">
        <v>35</v>
      </c>
      <c r="I23" s="23"/>
      <c r="J23" s="23"/>
      <c r="K23" s="23"/>
    </row>
    <row r="24" spans="1:11" s="1" customFormat="1" ht="18" customHeight="1">
      <c r="A24" s="156"/>
      <c r="B24" s="159"/>
      <c r="C24" s="156"/>
      <c r="D24" s="22" t="s">
        <v>60</v>
      </c>
      <c r="E24" s="23" t="s">
        <v>35</v>
      </c>
      <c r="F24" s="23"/>
      <c r="G24" s="23" t="s">
        <v>38</v>
      </c>
      <c r="H24" s="23" t="s">
        <v>38</v>
      </c>
      <c r="I24" s="23"/>
      <c r="J24" s="23"/>
      <c r="K24" s="23"/>
    </row>
    <row r="25" spans="1:11" s="1" customFormat="1" ht="18" customHeight="1">
      <c r="A25" s="156"/>
      <c r="B25" s="159"/>
      <c r="C25" s="154" t="s">
        <v>61</v>
      </c>
      <c r="D25" s="24" t="s">
        <v>62</v>
      </c>
      <c r="E25" s="23" t="s">
        <v>38</v>
      </c>
      <c r="F25" s="23"/>
      <c r="G25" s="23" t="s">
        <v>38</v>
      </c>
      <c r="H25" s="23" t="s">
        <v>38</v>
      </c>
      <c r="I25" s="23"/>
      <c r="J25" s="23"/>
      <c r="K25" s="23"/>
    </row>
    <row r="26" spans="1:11" s="1" customFormat="1" ht="18" customHeight="1">
      <c r="A26" s="156"/>
      <c r="B26" s="159"/>
      <c r="C26" s="155"/>
      <c r="D26" s="24" t="s">
        <v>63</v>
      </c>
      <c r="E26" s="23" t="s">
        <v>38</v>
      </c>
      <c r="F26" s="23"/>
      <c r="G26" s="23"/>
      <c r="H26" s="23" t="s">
        <v>38</v>
      </c>
      <c r="I26" s="23"/>
      <c r="J26" s="23"/>
      <c r="K26" s="23"/>
    </row>
    <row r="27" spans="1:11" s="1" customFormat="1" ht="18" customHeight="1">
      <c r="A27" s="156"/>
      <c r="B27" s="159"/>
      <c r="C27" s="155"/>
      <c r="D27" s="22" t="s">
        <v>64</v>
      </c>
      <c r="E27" s="23" t="s">
        <v>38</v>
      </c>
      <c r="F27" s="23"/>
      <c r="G27" s="23"/>
      <c r="H27" s="23" t="s">
        <v>38</v>
      </c>
      <c r="I27" s="23"/>
      <c r="J27" s="23"/>
      <c r="K27" s="23"/>
    </row>
    <row r="28" spans="1:11" s="1" customFormat="1" ht="18" customHeight="1">
      <c r="A28" s="156"/>
      <c r="B28" s="159"/>
      <c r="C28" s="155"/>
      <c r="D28" s="22" t="s">
        <v>65</v>
      </c>
      <c r="E28" s="23" t="s">
        <v>38</v>
      </c>
      <c r="F28" s="23"/>
      <c r="G28" s="23"/>
      <c r="H28" s="23" t="s">
        <v>38</v>
      </c>
      <c r="I28" s="23"/>
      <c r="J28" s="23"/>
      <c r="K28" s="23"/>
    </row>
    <row r="29" spans="1:11" s="1" customFormat="1" ht="18" customHeight="1">
      <c r="A29" s="156"/>
      <c r="B29" s="159"/>
      <c r="C29" s="154" t="s">
        <v>66</v>
      </c>
      <c r="D29" s="22" t="s">
        <v>67</v>
      </c>
      <c r="E29" s="23" t="s">
        <v>38</v>
      </c>
      <c r="F29" s="23"/>
      <c r="G29" s="23"/>
      <c r="H29" s="23"/>
      <c r="I29" s="23"/>
      <c r="J29" s="23"/>
      <c r="K29" s="23"/>
    </row>
    <row r="30" spans="1:11" s="1" customFormat="1" ht="18" customHeight="1">
      <c r="A30" s="156"/>
      <c r="B30" s="159"/>
      <c r="C30" s="155"/>
      <c r="D30" s="22" t="s">
        <v>68</v>
      </c>
      <c r="E30" s="23" t="s">
        <v>38</v>
      </c>
      <c r="F30" s="23"/>
      <c r="G30" s="23"/>
      <c r="H30" s="23"/>
      <c r="I30" s="23"/>
      <c r="J30" s="23"/>
      <c r="K30" s="23"/>
    </row>
    <row r="31" spans="1:11" s="1" customFormat="1" ht="18" customHeight="1">
      <c r="A31" s="156"/>
      <c r="B31" s="159"/>
      <c r="C31" s="155"/>
      <c r="D31" s="22" t="s">
        <v>14</v>
      </c>
      <c r="E31" s="23" t="s">
        <v>35</v>
      </c>
      <c r="F31" s="23" t="s">
        <v>38</v>
      </c>
      <c r="G31" s="23" t="s">
        <v>38</v>
      </c>
      <c r="H31" s="23" t="s">
        <v>38</v>
      </c>
      <c r="I31" s="23" t="s">
        <v>38</v>
      </c>
      <c r="J31" s="23"/>
      <c r="K31" s="23"/>
    </row>
    <row r="32" spans="1:11" s="1" customFormat="1" ht="18" customHeight="1">
      <c r="A32" s="156"/>
      <c r="B32" s="159"/>
      <c r="C32" s="155"/>
      <c r="D32" s="22" t="s">
        <v>69</v>
      </c>
      <c r="E32" s="23" t="s">
        <v>38</v>
      </c>
      <c r="F32" s="23"/>
      <c r="G32" s="23"/>
      <c r="H32" s="23"/>
      <c r="I32" s="23"/>
      <c r="J32" s="23"/>
      <c r="K32" s="23"/>
    </row>
    <row r="33" spans="1:11" s="1" customFormat="1" ht="18" customHeight="1">
      <c r="A33" s="156"/>
      <c r="B33" s="159"/>
      <c r="C33" s="155"/>
      <c r="D33" s="22" t="s">
        <v>70</v>
      </c>
      <c r="E33" s="23" t="s">
        <v>38</v>
      </c>
      <c r="F33" s="23"/>
      <c r="G33" s="23"/>
      <c r="H33" s="23" t="s">
        <v>38</v>
      </c>
      <c r="I33" s="23"/>
      <c r="J33" s="23"/>
      <c r="K33" s="23"/>
    </row>
    <row r="34" spans="1:11" s="1" customFormat="1" ht="18" customHeight="1">
      <c r="A34" s="156"/>
      <c r="B34" s="159"/>
      <c r="C34" s="155"/>
      <c r="D34" s="22" t="s">
        <v>71</v>
      </c>
      <c r="E34" s="23" t="s">
        <v>38</v>
      </c>
      <c r="F34" s="23"/>
      <c r="G34" s="23"/>
      <c r="H34" s="23" t="s">
        <v>35</v>
      </c>
      <c r="I34" s="23"/>
      <c r="J34" s="23"/>
      <c r="K34" s="23"/>
    </row>
    <row r="35" spans="1:11" s="1" customFormat="1" ht="18" customHeight="1">
      <c r="A35" s="156"/>
      <c r="B35" s="159"/>
      <c r="C35" s="155"/>
      <c r="D35" s="22" t="s">
        <v>72</v>
      </c>
      <c r="E35" s="23" t="s">
        <v>35</v>
      </c>
      <c r="F35" s="23"/>
      <c r="G35" s="23"/>
      <c r="H35" s="23" t="s">
        <v>35</v>
      </c>
      <c r="I35" s="23"/>
      <c r="J35" s="23"/>
      <c r="K35" s="23"/>
    </row>
    <row r="36" spans="1:11" s="1" customFormat="1" ht="18" customHeight="1">
      <c r="A36" s="156"/>
      <c r="B36" s="159"/>
      <c r="C36" s="157"/>
      <c r="D36" s="22" t="s">
        <v>15</v>
      </c>
      <c r="E36" s="23" t="s">
        <v>35</v>
      </c>
      <c r="F36" s="23"/>
      <c r="G36" s="23" t="s">
        <v>38</v>
      </c>
      <c r="H36" s="23" t="s">
        <v>38</v>
      </c>
      <c r="I36" s="23"/>
      <c r="J36" s="23"/>
      <c r="K36" s="23"/>
    </row>
    <row r="37" spans="1:11" s="1" customFormat="1" ht="18" customHeight="1">
      <c r="A37" s="156"/>
      <c r="B37" s="159"/>
      <c r="C37" s="154" t="s">
        <v>73</v>
      </c>
      <c r="D37" s="22" t="s">
        <v>74</v>
      </c>
      <c r="E37" s="23" t="s">
        <v>35</v>
      </c>
      <c r="F37" s="23"/>
      <c r="G37" s="23"/>
      <c r="H37" s="23"/>
      <c r="I37" s="23"/>
      <c r="J37" s="23"/>
      <c r="K37" s="23"/>
    </row>
    <row r="38" spans="1:11" s="1" customFormat="1" ht="18" customHeight="1">
      <c r="A38" s="156"/>
      <c r="B38" s="159"/>
      <c r="C38" s="155"/>
      <c r="D38" s="22" t="s">
        <v>75</v>
      </c>
      <c r="E38" s="23" t="s">
        <v>38</v>
      </c>
      <c r="F38" s="23"/>
      <c r="G38" s="23"/>
      <c r="H38" s="23" t="s">
        <v>38</v>
      </c>
      <c r="I38" s="23"/>
      <c r="J38" s="23"/>
      <c r="K38" s="23"/>
    </row>
    <row r="39" spans="1:11" s="1" customFormat="1" ht="18" customHeight="1">
      <c r="A39" s="156"/>
      <c r="B39" s="159"/>
      <c r="C39" s="155"/>
      <c r="D39" s="22" t="s">
        <v>76</v>
      </c>
      <c r="E39" s="23" t="s">
        <v>38</v>
      </c>
      <c r="F39" s="23"/>
      <c r="G39" s="23"/>
      <c r="H39" s="23"/>
      <c r="I39" s="23"/>
      <c r="J39" s="23"/>
      <c r="K39" s="23"/>
    </row>
    <row r="40" spans="1:11" s="1" customFormat="1" ht="18" customHeight="1">
      <c r="A40" s="156"/>
      <c r="B40" s="159"/>
      <c r="C40" s="155"/>
      <c r="D40" s="22" t="s">
        <v>77</v>
      </c>
      <c r="E40" s="23" t="s">
        <v>38</v>
      </c>
      <c r="F40" s="23"/>
      <c r="G40" s="23"/>
      <c r="H40" s="23"/>
      <c r="I40" s="23"/>
      <c r="J40" s="23"/>
      <c r="K40" s="23"/>
    </row>
    <row r="41" spans="1:11" s="1" customFormat="1" ht="18" customHeight="1">
      <c r="A41" s="156"/>
      <c r="B41" s="159"/>
      <c r="C41" s="155"/>
      <c r="D41" s="22" t="s">
        <v>78</v>
      </c>
      <c r="E41" s="23" t="s">
        <v>38</v>
      </c>
      <c r="F41" s="23"/>
      <c r="G41" s="23"/>
      <c r="H41" s="23"/>
      <c r="I41" s="23"/>
      <c r="J41" s="23"/>
      <c r="K41" s="23"/>
    </row>
    <row r="42" spans="1:11" s="1" customFormat="1" ht="18" customHeight="1">
      <c r="A42" s="156"/>
      <c r="B42" s="154" t="s">
        <v>79</v>
      </c>
      <c r="C42" s="156" t="s">
        <v>16</v>
      </c>
      <c r="D42" s="22" t="s">
        <v>80</v>
      </c>
      <c r="E42" s="23" t="s">
        <v>38</v>
      </c>
      <c r="F42" s="23"/>
      <c r="G42" s="23"/>
      <c r="H42" s="23" t="s">
        <v>38</v>
      </c>
      <c r="I42" s="23" t="s">
        <v>38</v>
      </c>
      <c r="J42" s="23"/>
      <c r="K42" s="23"/>
    </row>
    <row r="43" spans="1:11" s="1" customFormat="1" ht="18" customHeight="1">
      <c r="A43" s="156"/>
      <c r="B43" s="155"/>
      <c r="C43" s="156"/>
      <c r="D43" s="22" t="s">
        <v>81</v>
      </c>
      <c r="E43" s="23" t="s">
        <v>35</v>
      </c>
      <c r="F43" s="23"/>
      <c r="G43" s="23"/>
      <c r="H43" s="23" t="s">
        <v>35</v>
      </c>
      <c r="I43" s="23" t="s">
        <v>38</v>
      </c>
      <c r="J43" s="23"/>
      <c r="K43" s="23"/>
    </row>
    <row r="44" spans="1:11" s="1" customFormat="1" ht="18" customHeight="1">
      <c r="A44" s="156"/>
      <c r="B44" s="155"/>
      <c r="C44" s="156" t="s">
        <v>82</v>
      </c>
      <c r="D44" s="22" t="s">
        <v>82</v>
      </c>
      <c r="E44" s="23" t="s">
        <v>38</v>
      </c>
      <c r="F44" s="23"/>
      <c r="G44" s="23"/>
      <c r="H44" s="23" t="s">
        <v>35</v>
      </c>
      <c r="I44" s="23" t="s">
        <v>38</v>
      </c>
      <c r="J44" s="23"/>
      <c r="K44" s="23"/>
    </row>
    <row r="45" spans="1:11" s="1" customFormat="1" ht="18" customHeight="1">
      <c r="A45" s="156"/>
      <c r="B45" s="155"/>
      <c r="C45" s="156"/>
      <c r="D45" s="22" t="s">
        <v>83</v>
      </c>
      <c r="E45" s="23" t="s">
        <v>38</v>
      </c>
      <c r="F45" s="23"/>
      <c r="G45" s="23"/>
      <c r="H45" s="23" t="s">
        <v>38</v>
      </c>
      <c r="I45" s="23" t="s">
        <v>38</v>
      </c>
      <c r="J45" s="23"/>
      <c r="K45" s="23"/>
    </row>
    <row r="46" spans="1:11" s="1" customFormat="1" ht="18" customHeight="1">
      <c r="A46" s="156"/>
      <c r="B46" s="155"/>
      <c r="C46" s="156"/>
      <c r="D46" s="22" t="s">
        <v>84</v>
      </c>
      <c r="E46" s="23" t="s">
        <v>38</v>
      </c>
      <c r="F46" s="23"/>
      <c r="G46" s="23"/>
      <c r="H46" s="23" t="s">
        <v>38</v>
      </c>
      <c r="I46" s="23" t="s">
        <v>38</v>
      </c>
      <c r="J46" s="23"/>
      <c r="K46" s="23"/>
    </row>
    <row r="47" spans="1:11" s="1" customFormat="1" ht="18" customHeight="1">
      <c r="A47" s="156"/>
      <c r="B47" s="155"/>
      <c r="C47" s="156"/>
      <c r="D47" s="22" t="s">
        <v>85</v>
      </c>
      <c r="E47" s="23" t="s">
        <v>38</v>
      </c>
      <c r="F47" s="23"/>
      <c r="G47" s="23"/>
      <c r="H47" s="23" t="s">
        <v>38</v>
      </c>
      <c r="I47" s="23" t="s">
        <v>38</v>
      </c>
      <c r="J47" s="23"/>
      <c r="K47" s="23"/>
    </row>
    <row r="48" spans="1:11" s="1" customFormat="1" ht="18" customHeight="1">
      <c r="A48" s="156"/>
      <c r="B48" s="155"/>
      <c r="C48" s="154" t="s">
        <v>17</v>
      </c>
      <c r="D48" s="22" t="s">
        <v>48</v>
      </c>
      <c r="E48" s="23" t="s">
        <v>35</v>
      </c>
      <c r="F48" s="23"/>
      <c r="G48" s="23"/>
      <c r="H48" s="23" t="s">
        <v>38</v>
      </c>
      <c r="I48" s="23" t="s">
        <v>35</v>
      </c>
      <c r="J48" s="23"/>
      <c r="K48" s="23"/>
    </row>
    <row r="49" spans="1:11" s="1" customFormat="1" ht="18" customHeight="1">
      <c r="A49" s="156"/>
      <c r="B49" s="155"/>
      <c r="C49" s="155"/>
      <c r="D49" s="22" t="s">
        <v>86</v>
      </c>
      <c r="E49" s="23" t="s">
        <v>38</v>
      </c>
      <c r="F49" s="23"/>
      <c r="G49" s="23"/>
      <c r="H49" s="23" t="s">
        <v>38</v>
      </c>
      <c r="I49" s="23" t="s">
        <v>38</v>
      </c>
      <c r="J49" s="23"/>
      <c r="K49" s="23"/>
    </row>
    <row r="50" spans="1:11" s="1" customFormat="1" ht="18" customHeight="1">
      <c r="A50" s="156"/>
      <c r="B50" s="155"/>
      <c r="C50" s="157"/>
      <c r="D50" s="22" t="s">
        <v>87</v>
      </c>
      <c r="E50" s="23" t="s">
        <v>38</v>
      </c>
      <c r="F50" s="23"/>
      <c r="G50" s="23"/>
      <c r="H50" s="23" t="s">
        <v>38</v>
      </c>
      <c r="I50" s="23" t="s">
        <v>38</v>
      </c>
      <c r="J50" s="23"/>
      <c r="K50" s="23"/>
    </row>
    <row r="51" spans="1:11" s="1" customFormat="1" ht="18" customHeight="1">
      <c r="A51" s="156"/>
      <c r="B51" s="155"/>
      <c r="C51" s="23" t="s">
        <v>88</v>
      </c>
      <c r="D51" s="22" t="s">
        <v>57</v>
      </c>
      <c r="E51" s="23" t="s">
        <v>38</v>
      </c>
      <c r="F51" s="23"/>
      <c r="G51" s="23"/>
      <c r="H51" s="23" t="s">
        <v>38</v>
      </c>
      <c r="I51" s="23" t="s">
        <v>38</v>
      </c>
      <c r="J51" s="23"/>
      <c r="K51" s="23"/>
    </row>
    <row r="52" spans="1:11" s="1" customFormat="1" ht="18" customHeight="1">
      <c r="A52" s="16">
        <f t="shared" ref="A52:K52" si="0">COUNTA(A4:A51)</f>
        <v>1</v>
      </c>
      <c r="B52" s="16">
        <f t="shared" si="0"/>
        <v>2</v>
      </c>
      <c r="C52" s="16">
        <f t="shared" si="0"/>
        <v>12</v>
      </c>
      <c r="D52" s="16">
        <f t="shared" si="0"/>
        <v>48</v>
      </c>
      <c r="E52" s="16">
        <f t="shared" si="0"/>
        <v>48</v>
      </c>
      <c r="F52" s="16">
        <f t="shared" si="0"/>
        <v>6</v>
      </c>
      <c r="G52" s="16">
        <f t="shared" si="0"/>
        <v>16</v>
      </c>
      <c r="H52" s="16">
        <f t="shared" si="0"/>
        <v>41</v>
      </c>
      <c r="I52" s="16">
        <f t="shared" si="0"/>
        <v>12</v>
      </c>
      <c r="J52" s="16">
        <f t="shared" si="0"/>
        <v>2</v>
      </c>
      <c r="K52" s="16">
        <f t="shared" si="0"/>
        <v>2</v>
      </c>
    </row>
  </sheetData>
  <mergeCells count="20">
    <mergeCell ref="E2:K2"/>
    <mergeCell ref="A1:D1"/>
    <mergeCell ref="A2:A3"/>
    <mergeCell ref="B2:B3"/>
    <mergeCell ref="C2:C3"/>
    <mergeCell ref="D2:D3"/>
    <mergeCell ref="B42:B51"/>
    <mergeCell ref="C42:C43"/>
    <mergeCell ref="C44:C47"/>
    <mergeCell ref="C48:C50"/>
    <mergeCell ref="A4:A51"/>
    <mergeCell ref="B4:B41"/>
    <mergeCell ref="C4:C6"/>
    <mergeCell ref="C7:C8"/>
    <mergeCell ref="C9:C13"/>
    <mergeCell ref="C14:C21"/>
    <mergeCell ref="C22:C24"/>
    <mergeCell ref="C25:C28"/>
    <mergeCell ref="C29:C36"/>
    <mergeCell ref="C37:C41"/>
  </mergeCells>
  <phoneticPr fontId="1" type="noConversion"/>
  <pageMargins left="0.7" right="0.7" top="0.75" bottom="0.75" header="0.3" footer="0.3"/>
  <pageSetup paperSize="9" scale="6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이름이 지정된 범위</vt:lpstr>
      </vt:variant>
      <vt:variant>
        <vt:i4>7</vt:i4>
      </vt:variant>
    </vt:vector>
  </HeadingPairs>
  <TitlesOfParts>
    <vt:vector size="16" baseType="lpstr">
      <vt:lpstr>표지</vt:lpstr>
      <vt:lpstr>개정이력</vt:lpstr>
      <vt:lpstr>통합테스트 수행보고서</vt:lpstr>
      <vt:lpstr>통합테스트 수정 및 요청사항</vt:lpstr>
      <vt:lpstr>통합테스트 일정</vt:lpstr>
      <vt:lpstr>입고</vt:lpstr>
      <vt:lpstr>출고</vt:lpstr>
      <vt:lpstr>재고</vt:lpstr>
      <vt:lpstr>메뉴그룹</vt:lpstr>
      <vt:lpstr>입고!Print_Area</vt:lpstr>
      <vt:lpstr>재고!Print_Area</vt:lpstr>
      <vt:lpstr>출고!Print_Area</vt:lpstr>
      <vt:lpstr>표지!Print_Area</vt:lpstr>
      <vt:lpstr>입고!Print_Titles</vt:lpstr>
      <vt:lpstr>재고!Print_Titles</vt:lpstr>
      <vt:lpstr>출고!Print_Titles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ZIN-USER</cp:lastModifiedBy>
  <dcterms:created xsi:type="dcterms:W3CDTF">2018-04-12T07:15:19Z</dcterms:created>
  <dcterms:modified xsi:type="dcterms:W3CDTF">2024-12-10T04:34:57Z</dcterms:modified>
</cp:coreProperties>
</file>