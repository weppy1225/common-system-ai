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82109\Desktop\작업폴더\P250908080 반다이남코\01 프로젝트시작(PS)\"/>
    </mc:Choice>
  </mc:AlternateContent>
  <bookViews>
    <workbookView xWindow="0" yWindow="0" windowWidth="38400" windowHeight="12135" tabRatio="636" activeTab="1"/>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8"/>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Schedule!$D$1:$JZ$71</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Calendar!$B$5:$B$159</definedName>
    <definedName name="TOTAL_WORKLOAD">Progress!$B$6</definedName>
    <definedName name="UD_CAL1">Calendar!$E$5:$E$159</definedName>
    <definedName name="UD_CAL2">Calendar!$H$5:$H$159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B5" i="31" l="1"/>
  <c r="JP5" i="31"/>
  <c r="AR6" i="31"/>
  <c r="AG7" i="31"/>
  <c r="AR8" i="31"/>
  <c r="GL9" i="31"/>
  <c r="JL9" i="31"/>
  <c r="AN10" i="31"/>
  <c r="EQ11" i="31"/>
  <c r="JK12" i="31"/>
  <c r="JJ13" i="31"/>
  <c r="JJ14" i="31"/>
  <c r="JO15" i="31"/>
  <c r="CL16" i="31"/>
  <c r="BX17" i="31"/>
  <c r="AU18" i="31"/>
  <c r="BX19" i="31"/>
  <c r="CL20" i="31"/>
  <c r="CL21" i="31"/>
  <c r="GO22" i="31"/>
  <c r="GO23" i="31"/>
  <c r="DN24" i="31"/>
  <c r="GO25" i="31"/>
  <c r="FM26" i="31"/>
  <c r="DQ27" i="31"/>
  <c r="DQ28" i="31"/>
  <c r="DQ29" i="31"/>
  <c r="HC30" i="31"/>
  <c r="GP31" i="31"/>
  <c r="DQ32" i="31"/>
  <c r="DQ33" i="31"/>
  <c r="FN34" i="31"/>
  <c r="EC35" i="31"/>
  <c r="ES36" i="31"/>
  <c r="EL37" i="31"/>
  <c r="EJ38" i="31"/>
  <c r="ES39" i="31"/>
  <c r="FN40" i="31"/>
  <c r="FY41" i="31"/>
  <c r="FY42" i="31"/>
  <c r="EQ43" i="31"/>
  <c r="FY44" i="31"/>
  <c r="GP45" i="31"/>
  <c r="GP46" i="31"/>
  <c r="GF47" i="31"/>
  <c r="GB48" i="31"/>
  <c r="HB49" i="31"/>
  <c r="HA50" i="31"/>
  <c r="GU51" i="31"/>
  <c r="GZ52" i="31"/>
  <c r="GZ53" i="31"/>
  <c r="HO54" i="31"/>
  <c r="IF54" i="31"/>
  <c r="HO55" i="31"/>
  <c r="IF55" i="31"/>
  <c r="HO56" i="31"/>
  <c r="HT57" i="31"/>
  <c r="IA58" i="31"/>
  <c r="HF59" i="31"/>
  <c r="JP59" i="31"/>
  <c r="HF60" i="31"/>
  <c r="HF61" i="31"/>
  <c r="IA62" i="31"/>
  <c r="JP62" i="31"/>
  <c r="IA63" i="31"/>
  <c r="IA64" i="31"/>
  <c r="IA65" i="31"/>
  <c r="IA66" i="31"/>
  <c r="IH67" i="31"/>
  <c r="IJ68" i="31"/>
  <c r="IK69" i="31"/>
  <c r="IK70" i="31"/>
  <c r="JP70" i="31"/>
  <c r="IK71" i="31"/>
  <c r="JP71" i="31"/>
  <c r="I79" i="5" l="1"/>
  <c r="F79" i="5"/>
  <c r="C79" i="5"/>
  <c r="I78" i="5"/>
  <c r="F78" i="5"/>
  <c r="C78" i="5"/>
  <c r="I77" i="5"/>
  <c r="F77" i="5"/>
  <c r="C77" i="5"/>
  <c r="I76" i="5"/>
  <c r="F76" i="5"/>
  <c r="C76" i="5"/>
  <c r="I75" i="5"/>
  <c r="F75" i="5"/>
  <c r="C75" i="5"/>
  <c r="I74" i="5"/>
  <c r="F74" i="5"/>
  <c r="C74" i="5"/>
  <c r="I73" i="5"/>
  <c r="F73" i="5"/>
  <c r="C73" i="5"/>
  <c r="I72" i="5"/>
  <c r="F72" i="5"/>
  <c r="C72" i="5"/>
  <c r="I64" i="5"/>
  <c r="F64" i="5"/>
  <c r="C64" i="5"/>
  <c r="I63" i="5"/>
  <c r="F63" i="5"/>
  <c r="C63" i="5"/>
  <c r="I62" i="5"/>
  <c r="F62" i="5"/>
  <c r="C62" i="5"/>
  <c r="I61" i="5"/>
  <c r="F61" i="5"/>
  <c r="C61" i="5"/>
  <c r="I60" i="5"/>
  <c r="F60" i="5"/>
  <c r="C60" i="5"/>
  <c r="I59" i="5"/>
  <c r="F59" i="5"/>
  <c r="C59" i="5"/>
  <c r="I70" i="5"/>
  <c r="F70" i="5"/>
  <c r="C70" i="5"/>
  <c r="I69" i="5"/>
  <c r="F69" i="5"/>
  <c r="C69" i="5"/>
  <c r="I68" i="5"/>
  <c r="F68" i="5"/>
  <c r="C68" i="5"/>
  <c r="I67" i="5"/>
  <c r="F67" i="5"/>
  <c r="C67" i="5"/>
  <c r="I66" i="5"/>
  <c r="F66" i="5"/>
  <c r="C66" i="5"/>
  <c r="I65" i="5"/>
  <c r="F65" i="5"/>
  <c r="C65" i="5"/>
  <c r="I81" i="5"/>
  <c r="F81" i="5"/>
  <c r="C81" i="5"/>
  <c r="I80" i="5"/>
  <c r="F80" i="5"/>
  <c r="C80" i="5"/>
  <c r="I71" i="5"/>
  <c r="F71" i="5"/>
  <c r="C71" i="5"/>
  <c r="I54" i="5"/>
  <c r="F54" i="5"/>
  <c r="C54" i="5"/>
  <c r="I53" i="5"/>
  <c r="F53" i="5"/>
  <c r="C53" i="5"/>
  <c r="I52" i="5"/>
  <c r="F52" i="5"/>
  <c r="C52" i="5"/>
  <c r="I51" i="5"/>
  <c r="F51" i="5"/>
  <c r="C51" i="5"/>
  <c r="I50" i="5"/>
  <c r="F50" i="5"/>
  <c r="C50" i="5"/>
  <c r="I49" i="5"/>
  <c r="F49" i="5"/>
  <c r="C49" i="5"/>
  <c r="I48" i="5"/>
  <c r="F48" i="5"/>
  <c r="C48" i="5"/>
  <c r="I47" i="5"/>
  <c r="F47" i="5"/>
  <c r="C47" i="5"/>
  <c r="C55" i="5"/>
  <c r="F55" i="5"/>
  <c r="I55" i="5"/>
  <c r="C56" i="5"/>
  <c r="F56" i="5"/>
  <c r="I56" i="5"/>
  <c r="C57" i="5"/>
  <c r="F57" i="5"/>
  <c r="I57" i="5"/>
  <c r="C58" i="5"/>
  <c r="F58" i="5"/>
  <c r="I58" i="5"/>
  <c r="C82" i="5"/>
  <c r="F82" i="5"/>
  <c r="I82" i="5"/>
  <c r="C83" i="5"/>
  <c r="F83" i="5"/>
  <c r="I83" i="5"/>
  <c r="C84" i="5"/>
  <c r="F84" i="5"/>
  <c r="I84" i="5"/>
  <c r="C27" i="5"/>
  <c r="C28" i="5"/>
  <c r="C29" i="5"/>
  <c r="C30" i="5"/>
  <c r="C31" i="5"/>
  <c r="C32" i="5"/>
  <c r="C33" i="5"/>
  <c r="C34" i="5"/>
  <c r="C35" i="5"/>
  <c r="C36" i="5"/>
  <c r="I17" i="5"/>
  <c r="F17" i="5"/>
  <c r="C17" i="5"/>
  <c r="I14" i="5"/>
  <c r="F14" i="5"/>
  <c r="C14" i="5"/>
  <c r="I11" i="5"/>
  <c r="F11" i="5"/>
  <c r="C11" i="5"/>
  <c r="I8" i="5"/>
  <c r="F8" i="5"/>
  <c r="C8" i="5"/>
  <c r="I7" i="5"/>
  <c r="F7" i="5"/>
  <c r="C7" i="5"/>
  <c r="I9" i="5"/>
  <c r="F9" i="5"/>
  <c r="C9" i="5"/>
  <c r="AE1" i="31"/>
  <c r="L152" i="4" l="1"/>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O154" i="4"/>
  <c r="I154" i="4"/>
  <c r="H154" i="4"/>
  <c r="G154" i="4"/>
  <c r="O153" i="4"/>
  <c r="I153" i="4"/>
  <c r="H153" i="4"/>
  <c r="G153" i="4"/>
  <c r="K154" i="4" l="1"/>
  <c r="L154" i="4" s="1"/>
  <c r="J154" i="4"/>
  <c r="J153" i="4"/>
  <c r="L153" i="4" s="1"/>
  <c r="K153" i="4"/>
  <c r="C46" i="5"/>
  <c r="C45" i="5"/>
  <c r="C44" i="5"/>
  <c r="C43" i="5"/>
  <c r="C42" i="5"/>
  <c r="C41" i="5"/>
  <c r="C40" i="5"/>
  <c r="C39" i="5"/>
  <c r="C38" i="5"/>
  <c r="C37" i="5"/>
  <c r="C26" i="5"/>
  <c r="C25" i="5"/>
  <c r="C24" i="5"/>
  <c r="C23" i="5"/>
  <c r="C22" i="5"/>
  <c r="C21" i="5"/>
  <c r="C20" i="5"/>
  <c r="C19" i="5"/>
  <c r="C18" i="5"/>
  <c r="C16" i="5"/>
  <c r="C15" i="5"/>
  <c r="C13" i="5"/>
  <c r="C12" i="5"/>
  <c r="C10" i="5"/>
  <c r="C6" i="5"/>
  <c r="C5" i="5"/>
  <c r="C85" i="5" l="1"/>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F5" i="5"/>
  <c r="F6" i="5"/>
  <c r="F10" i="5"/>
  <c r="F12" i="5"/>
  <c r="F13" i="5"/>
  <c r="F15" i="5"/>
  <c r="F16"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I5" i="5"/>
  <c r="I6" i="5"/>
  <c r="I10" i="5"/>
  <c r="I12" i="5"/>
  <c r="I13" i="5"/>
  <c r="I15" i="5"/>
  <c r="I16"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AE2" i="31" a="1"/>
  <c r="D1" i="31" a="1"/>
  <c r="AE2" i="31" l="1"/>
  <c r="D1" i="31"/>
  <c r="B24" i="3" l="1"/>
</calcChain>
</file>

<file path=xl/sharedStrings.xml><?xml version="1.0" encoding="utf-8"?>
<sst xmlns="http://schemas.openxmlformats.org/spreadsheetml/2006/main" count="4733" uniqueCount="2064">
  <si>
    <t>Man/Day</t>
    <phoneticPr fontId="4" type="noConversion"/>
  </si>
  <si>
    <t>Man-Day</t>
  </si>
  <si>
    <t>Man-Month</t>
  </si>
  <si>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</si>
  <si>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</si>
  <si>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</si>
  <si>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</si>
  <si>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</si>
  <si>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</si>
  <si>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</si>
  <si>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</si>
  <si>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</si>
  <si>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</si>
  <si>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</si>
  <si>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</si>
  <si>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RELEASE_DATE</t>
    <phoneticPr fontId="4" type="noConversion"/>
  </si>
  <si>
    <t>LICENSE</t>
    <phoneticPr fontId="4" type="noConversion"/>
  </si>
  <si>
    <t>Freeware</t>
    <phoneticPr fontId="4"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</si>
  <si>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</si>
  <si>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</si>
  <si>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</si>
  <si>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</si>
  <si>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</si>
  <si>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</si>
  <si>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</si>
  <si>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</si>
  <si>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</si>
  <si>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</si>
  <si>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</si>
  <si>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</si>
  <si>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</si>
  <si>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</si>
  <si>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</si>
  <si>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</si>
  <si>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</si>
  <si>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</si>
  <si>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</si>
  <si>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</si>
  <si>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</si>
  <si>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</si>
  <si>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</si>
  <si>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</si>
  <si>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</si>
  <si>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</si>
  <si>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</si>
  <si>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</si>
  <si>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</si>
  <si>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</si>
  <si>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</si>
  <si>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</si>
  <si>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</si>
  <si>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</si>
  <si>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</si>
  <si>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</si>
  <si>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</si>
  <si>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</si>
  <si>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</si>
  <si>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</si>
  <si>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</si>
  <si>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</si>
  <si>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</si>
  <si>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</si>
  <si>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</si>
  <si>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</si>
  <si>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</si>
  <si>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</si>
  <si>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</si>
  <si>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</si>
  <si>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</si>
  <si>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</si>
  <si>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</si>
  <si>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</si>
  <si>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</si>
  <si>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</si>
  <si>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</si>
  <si>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</si>
  <si>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</si>
  <si>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</si>
  <si>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</si>
  <si>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</si>
  <si>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</si>
  <si>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</si>
  <si>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</si>
  <si>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</si>
  <si>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</si>
  <si>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</si>
  <si>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</si>
  <si>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</si>
  <si>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</si>
  <si>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</si>
  <si>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</si>
  <si>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</si>
  <si>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</si>
  <si>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</si>
  <si>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</si>
  <si>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</si>
  <si>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</si>
  <si>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</si>
  <si>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</si>
  <si>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</si>
  <si>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</si>
  <si>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</si>
  <si>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</si>
  <si>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</si>
  <si>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</si>
  <si>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</si>
  <si>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</si>
  <si>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</si>
  <si>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</si>
  <si>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</si>
  <si>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</si>
  <si>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</si>
  <si>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</si>
  <si>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</si>
  <si>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</si>
  <si>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</si>
  <si>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</si>
  <si>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</si>
  <si>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</si>
  <si>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</si>
  <si>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</si>
  <si>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</si>
  <si>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</si>
  <si>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</si>
  <si>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</si>
  <si>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</si>
  <si>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</si>
  <si>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</si>
  <si>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</si>
  <si>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</si>
  <si>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</si>
  <si>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</si>
  <si>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</si>
  <si>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</si>
  <si>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</si>
  <si>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</si>
  <si>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</si>
  <si>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</si>
  <si>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</si>
  <si>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</si>
  <si>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</si>
  <si>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</si>
  <si>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</si>
  <si>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</si>
  <si>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</si>
  <si>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</si>
  <si>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</si>
  <si>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</si>
  <si>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</si>
  <si>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</si>
  <si>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</si>
  <si>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</si>
  <si>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</si>
  <si>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</si>
  <si>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</si>
  <si>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</si>
  <si>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</si>
  <si>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</si>
  <si>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</si>
  <si>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</si>
  <si>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</si>
  <si>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</si>
  <si>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</si>
  <si>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</si>
  <si>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</si>
  <si>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</si>
  <si>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</si>
  <si>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</si>
  <si>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</si>
  <si>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</si>
  <si>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</si>
  <si>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</si>
  <si>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</si>
  <si>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</si>
  <si>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</si>
  <si>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</si>
  <si>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</si>
  <si>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</si>
  <si>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</si>
  <si>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</si>
  <si>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</si>
  <si>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</si>
  <si>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</si>
  <si>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</si>
  <si>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</si>
  <si>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</si>
  <si>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</si>
  <si>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</si>
  <si>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</si>
  <si>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</si>
  <si>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</si>
  <si>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</si>
  <si>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</si>
  <si>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</si>
  <si>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</si>
  <si>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</si>
  <si>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</si>
  <si>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</si>
  <si>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</si>
  <si>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</si>
  <si>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</si>
  <si>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</si>
  <si>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</si>
  <si>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</si>
  <si>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</si>
  <si>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</si>
  <si>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</si>
  <si>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</si>
  <si>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</si>
  <si>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</si>
  <si>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</si>
  <si>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</si>
  <si>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</si>
  <si>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</si>
  <si>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</si>
  <si>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</si>
  <si>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</si>
  <si>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</si>
  <si>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</si>
  <si>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</si>
  <si>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</si>
  <si>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</si>
  <si>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</si>
  <si>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</si>
  <si>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</si>
  <si>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</si>
  <si>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</si>
  <si>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</si>
  <si>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</si>
  <si>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</si>
  <si>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</si>
  <si>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</si>
  <si>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</si>
  <si>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</si>
  <si>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</si>
  <si>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</si>
  <si>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</si>
  <si>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</si>
  <si>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</si>
  <si>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</si>
  <si>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</si>
  <si>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</si>
  <si>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</si>
  <si>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</si>
  <si>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</si>
  <si>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</si>
  <si>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</si>
  <si>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</si>
  <si>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</si>
  <si>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</si>
  <si>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</si>
  <si>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</si>
  <si>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</si>
  <si>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</si>
  <si>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</si>
  <si>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</si>
  <si>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</si>
  <si>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</si>
  <si>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</si>
  <si>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</si>
  <si>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</si>
  <si>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</si>
  <si>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</si>
  <si>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</si>
  <si>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</si>
  <si>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</si>
  <si>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</si>
  <si>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</si>
  <si>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</si>
  <si>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</si>
  <si>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</si>
  <si>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</si>
  <si>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</si>
  <si>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</si>
  <si>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</si>
  <si>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</si>
  <si>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</si>
  <si>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</si>
  <si>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</si>
  <si>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</si>
  <si>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</si>
  <si>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</si>
  <si>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</si>
  <si>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</si>
  <si>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</si>
  <si>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</si>
  <si>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</si>
  <si>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</si>
  <si>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</si>
  <si>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</si>
  <si>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</si>
  <si>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</si>
  <si>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</si>
  <si>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</si>
  <si>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</si>
  <si>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</si>
  <si>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</si>
  <si>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</si>
  <si>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</si>
  <si>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</si>
  <si>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</si>
  <si>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</si>
  <si>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</si>
  <si>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</si>
  <si>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</si>
  <si>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</si>
  <si>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</si>
  <si>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</si>
  <si>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</si>
  <si>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</si>
  <si>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</si>
  <si>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</si>
  <si>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</si>
  <si>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</si>
  <si>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</si>
  <si>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</si>
  <si>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</si>
  <si>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</si>
  <si>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</si>
  <si>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</si>
  <si>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</si>
  <si>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</si>
  <si>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</si>
  <si>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</si>
  <si>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</si>
  <si>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</si>
  <si>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</si>
  <si>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</si>
  <si>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</si>
  <si>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</si>
  <si>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</si>
  <si>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</si>
  <si>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</si>
  <si>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</si>
  <si>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</si>
  <si>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</si>
  <si>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</si>
  <si>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</si>
  <si>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</si>
  <si>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</si>
  <si>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</si>
  <si>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</si>
  <si>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</si>
  <si>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</si>
  <si>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</si>
  <si>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</si>
  <si>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</si>
  <si>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</si>
  <si>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</si>
  <si>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</si>
  <si>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</si>
  <si>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</si>
  <si>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</si>
  <si>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</si>
  <si>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</si>
  <si>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</si>
  <si>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</si>
  <si>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</si>
  <si>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</si>
  <si>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</si>
  <si>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</si>
  <si>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</si>
  <si>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</si>
  <si>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</si>
  <si>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</si>
  <si>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</si>
  <si>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</si>
  <si>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</si>
  <si>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</si>
  <si>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</si>
  <si>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</si>
  <si>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</si>
  <si>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</si>
  <si>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</si>
  <si>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</si>
  <si>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</si>
  <si>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</si>
  <si>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</si>
  <si>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</si>
  <si>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</si>
  <si>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</si>
  <si>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</si>
  <si>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</si>
  <si>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</si>
  <si>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</si>
  <si>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</si>
  <si>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</si>
  <si>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</si>
  <si>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</si>
  <si>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</si>
  <si>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</si>
  <si>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</si>
  <si>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</si>
  <si>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</si>
  <si>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</si>
  <si>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</si>
  <si>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</si>
  <si>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</si>
  <si>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</si>
  <si>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</si>
  <si>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</si>
  <si>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</si>
  <si>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</si>
  <si>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</si>
  <si>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</si>
  <si>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</si>
  <si>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</si>
  <si>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</si>
  <si>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</si>
  <si>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</si>
  <si>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</si>
  <si>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</si>
  <si>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</si>
  <si>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</si>
  <si>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</si>
  <si>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</si>
  <si>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</si>
  <si>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</si>
  <si>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</si>
  <si>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</si>
  <si>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</si>
  <si>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</si>
  <si>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</si>
  <si>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</si>
  <si>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</si>
  <si>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</si>
  <si>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</si>
  <si>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</si>
  <si>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</si>
  <si>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</si>
  <si>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</si>
  <si>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</si>
  <si>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</si>
  <si>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</si>
  <si>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</si>
  <si>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</si>
  <si>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</si>
  <si>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</si>
  <si>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</si>
  <si>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</si>
  <si>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</si>
  <si>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</si>
  <si>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</si>
  <si>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</si>
  <si>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</si>
  <si>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</si>
  <si>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</si>
  <si>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</si>
  <si>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Group rows</t>
    <phoneticPr fontId="2" type="noConversion"/>
  </si>
  <si>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</si>
  <si>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</si>
  <si>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</si>
  <si>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</si>
  <si>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</si>
  <si>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</si>
  <si>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Manual</t>
    <phoneticPr fontId="2" type="noConversion"/>
  </si>
  <si>
    <t>Automatic</t>
    <phoneticPr fontId="2" type="noConversion"/>
  </si>
  <si>
    <t>Automatic Except for Data Tables</t>
    <phoneticPr fontId="2" type="noConversion"/>
  </si>
  <si>
    <t>Calculation Options</t>
    <phoneticPr fontId="2" type="noConversion"/>
  </si>
  <si>
    <t>Total Work</t>
  </si>
  <si>
    <t>Planned Work</t>
  </si>
  <si>
    <t>Total Duration</t>
  </si>
  <si>
    <t>Planned Duration</t>
  </si>
  <si>
    <t>Actual Total Work</t>
  </si>
  <si>
    <t>Actual Total Duration</t>
  </si>
  <si>
    <t>Planned %Work Complete</t>
  </si>
  <si>
    <t>for importOnStartup</t>
    <phoneticPr fontId="2" type="noConversion"/>
  </si>
  <si>
    <t>Invalid field name!</t>
    <phoneticPr fontId="2" type="noConversion"/>
  </si>
  <si>
    <t>Import file format Error! Range A1 should contain "xlgantt_reserved" string.</t>
    <phoneticPr fontId="2" type="noConversion"/>
  </si>
  <si>
    <t>Import file format Error! Range A2 should contain the import result.</t>
    <phoneticPr fontId="2" type="noConversion"/>
  </si>
  <si>
    <t>Successfully imported.</t>
    <phoneticPr fontId="2" type="noConversion"/>
  </si>
  <si>
    <t>Recalculate WBS area after import</t>
    <phoneticPr fontId="2" type="noConversion"/>
  </si>
  <si>
    <t>Do not recalculate WBS area after import</t>
    <phoneticPr fontId="2" type="noConversion"/>
  </si>
  <si>
    <t>Number of "Task" columns(Max 20)</t>
    <phoneticPr fontId="2" type="noConversion"/>
  </si>
  <si>
    <t>Import from Server</t>
    <phoneticPr fontId="2" type="noConversion"/>
  </si>
  <si>
    <t>Choose what to do after Importing Server Data</t>
    <phoneticPr fontId="2" type="noConversion"/>
  </si>
  <si>
    <t xml:space="preserve">Import  Data of "ServerData" sheet on Startup </t>
    <phoneticPr fontId="2" type="noConversion"/>
  </si>
  <si>
    <t>Import has already been completed.</t>
    <phoneticPr fontId="2" type="noConversion"/>
  </si>
  <si>
    <t>No data to import.</t>
    <phoneticPr fontId="2" type="noConversion"/>
  </si>
  <si>
    <t>The number of task columns is not 10. Please retry after changing the sheet to its previous state.</t>
    <phoneticPr fontId="2" type="noConversion"/>
  </si>
  <si>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</si>
  <si>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</si>
  <si>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</si>
  <si>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</si>
  <si>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for Week Number</t>
    <phoneticPr fontId="2" type="noConversion"/>
  </si>
  <si>
    <t>None</t>
    <phoneticPr fontId="2" type="noConversion"/>
  </si>
  <si>
    <t>Week Numbers Display</t>
    <phoneticPr fontId="2" type="noConversion"/>
  </si>
  <si>
    <t>Group rows(Max 8 Levels)</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</si>
  <si>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</si>
  <si>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</si>
  <si>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</si>
  <si>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</si>
  <si>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</si>
  <si>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</si>
  <si>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</si>
  <si>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</si>
  <si>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</si>
  <si>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Actual Man-Day</t>
    <phoneticPr fontId="2" type="noConversion"/>
  </si>
  <si>
    <t>Actual Progress</t>
    <phoneticPr fontId="2" type="noConversion"/>
  </si>
  <si>
    <t>Project Progresses by Weeks</t>
    <phoneticPr fontId="2" type="noConversion"/>
  </si>
  <si>
    <t>* This sheet shows you project progresses by weeks.</t>
    <phoneticPr fontId="2" type="noConversion"/>
  </si>
  <si>
    <t>timebucketStart</t>
  </si>
  <si>
    <t>timebucketFinish</t>
  </si>
  <si>
    <t>actualStart</t>
  </si>
  <si>
    <t>actualFinish</t>
  </si>
  <si>
    <t>Planned Workload(Man-Day)</t>
    <phoneticPr fontId="2" type="noConversion"/>
  </si>
  <si>
    <t>Planned Workload Accumulated(Man-Day)</t>
    <phoneticPr fontId="2" type="noConversion"/>
  </si>
  <si>
    <t>Actual Workload(Man-Day)</t>
    <phoneticPr fontId="2" type="noConversion"/>
  </si>
  <si>
    <t>Actual Workload Progress</t>
    <phoneticPr fontId="2" type="noConversion"/>
  </si>
  <si>
    <t>Planned Workload Progress</t>
    <phoneticPr fontId="2" type="noConversion"/>
  </si>
  <si>
    <t>Actual Workload Accumulated(Man-Day)</t>
    <phoneticPr fontId="2" type="noConversion"/>
  </si>
  <si>
    <t>Progress by Weeks</t>
    <phoneticPr fontId="2" type="noConversion"/>
  </si>
  <si>
    <t>Progress by Months</t>
    <phoneticPr fontId="2" type="noConversion"/>
  </si>
  <si>
    <t>Project Progresses by Months</t>
    <phoneticPr fontId="2" type="noConversion"/>
  </si>
  <si>
    <t>* This sheet shows you project progresses by months.</t>
    <phoneticPr fontId="2" type="noConversion"/>
  </si>
  <si>
    <t>* You need to click the "Progress by Weeks" button to update the contents.</t>
    <phoneticPr fontId="2" type="noConversion"/>
  </si>
  <si>
    <t>* You need to click the "Progress by Months" button to update the contents.</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</si>
  <si>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</si>
  <si>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</si>
  <si>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</si>
  <si>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</si>
  <si>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</si>
  <si>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earnedValue</t>
  </si>
  <si>
    <t>Earned Value(C)\nMan-day</t>
    <phoneticPr fontId="2" type="noConversion"/>
  </si>
  <si>
    <t>wbsLevel01</t>
  </si>
  <si>
    <t>wbsLevel02</t>
  </si>
  <si>
    <t>wbsLevel03</t>
  </si>
  <si>
    <t>wbsLevel04</t>
  </si>
  <si>
    <t>wbsLevel05</t>
  </si>
  <si>
    <t>wbsLevel06</t>
  </si>
  <si>
    <t>wbsLevel07</t>
  </si>
  <si>
    <t>wbsLevel08</t>
  </si>
  <si>
    <t>wbsLevel09</t>
  </si>
  <si>
    <t>wbsLevel10</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</si>
  <si>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</si>
  <si>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</si>
  <si>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</si>
  <si>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</si>
  <si>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</si>
  <si>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</si>
  <si>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Create Workload Data by Months</t>
  </si>
  <si>
    <t>1.1</t>
  </si>
  <si>
    <t>Earned value on planned schedule(Total Duration x %Work Complete)</t>
    <phoneticPr fontId="2" type="noConversion"/>
  </si>
  <si>
    <t>for help sheet</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</si>
  <si>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</si>
  <si>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</si>
  <si>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</si>
  <si>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</si>
  <si>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</si>
  <si>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</si>
  <si>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</si>
  <si>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</si>
  <si>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</si>
  <si>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</si>
  <si>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</si>
  <si>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</si>
  <si>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</si>
  <si>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</si>
  <si>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</si>
  <si>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</si>
  <si>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</si>
  <si>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</si>
  <si>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</si>
  <si>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</si>
  <si>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</si>
  <si>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</si>
  <si>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</si>
  <si>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</si>
  <si>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</si>
  <si>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You can click the "Options" button on the ribbon to customize a Gantt chart style.</t>
    <phoneticPr fontId="2" type="noConversion"/>
  </si>
  <si>
    <t>You can use %work complete to keep track of the progress of the project.</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</si>
  <si>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</si>
  <si>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</si>
  <si>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</si>
  <si>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</si>
  <si>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</si>
  <si>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You can include the formulas and functions of the Excel in XLGantt.</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</si>
  <si>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</si>
  <si>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</si>
  <si>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</si>
  <si>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</si>
  <si>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https://xlworks.net/xlgantt-howto-13-server-data/</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</si>
  <si>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</si>
  <si>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</si>
  <si>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</si>
  <si>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</si>
  <si>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</si>
  <si>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</si>
  <si>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</si>
  <si>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</si>
  <si>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</si>
  <si>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</si>
  <si>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</si>
  <si>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</si>
  <si>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</si>
  <si>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</si>
  <si>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Workload Calculation</t>
    <phoneticPr fontId="2" type="noConversion"/>
  </si>
  <si>
    <t>by Weight</t>
    <phoneticPr fontId="2" type="noConversion"/>
  </si>
  <si>
    <t>Default</t>
    <phoneticPr fontId="2" type="noConversion"/>
  </si>
  <si>
    <t>Purple</t>
    <phoneticPr fontId="2" type="noConversion"/>
  </si>
  <si>
    <t>Green</t>
    <phoneticPr fontId="2" type="noConversion"/>
  </si>
  <si>
    <t>Custom</t>
    <phoneticPr fontId="2" type="noConversion"/>
  </si>
  <si>
    <t>resourceAssignRate</t>
  </si>
  <si>
    <t>(Resources unspecified)</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</si>
  <si>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</si>
  <si>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</si>
  <si>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</si>
  <si>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The resource field should be entered in the following format.</t>
    <phoneticPr fontId="2" type="noConversion"/>
  </si>
  <si>
    <t>Elsa,John[50%]</t>
    <phoneticPr fontId="2" type="noConversion"/>
  </si>
  <si>
    <t>Mark task as milestone</t>
    <phoneticPr fontId="2" type="noConversion"/>
  </si>
  <si>
    <t>Title above WBS</t>
    <phoneticPr fontId="2" type="noConversion"/>
  </si>
  <si>
    <t>projectWeekNumber</t>
  </si>
  <si>
    <t>Title above Gantt chart</t>
    <phoneticPr fontId="2" type="noConversion"/>
  </si>
  <si>
    <t>Black &amp; White</t>
    <phoneticPr fontId="2" type="noConversion"/>
  </si>
  <si>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</si>
  <si>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</si>
  <si>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</si>
  <si>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Ahead of schedule</t>
    <phoneticPr fontId="2" type="noConversion"/>
  </si>
  <si>
    <t>On schedule</t>
    <phoneticPr fontId="2" type="noConversion"/>
  </si>
  <si>
    <t>Behind schedule</t>
    <phoneticPr fontId="2" type="noConversion"/>
  </si>
  <si>
    <t>Custom</t>
  </si>
  <si>
    <t>Gantt chart progress line</t>
    <phoneticPr fontId="2" type="noConversion"/>
  </si>
  <si>
    <t>Schedule variance</t>
    <phoneticPr fontId="2" type="noConversion"/>
  </si>
  <si>
    <t>Started earlier than planned</t>
    <phoneticPr fontId="2" type="noConversion"/>
  </si>
  <si>
    <t>Started later than planned</t>
    <phoneticPr fontId="2" type="noConversion"/>
  </si>
  <si>
    <t>Started as planned</t>
    <phoneticPr fontId="2" type="noConversion"/>
  </si>
  <si>
    <t>Star(*) marks-required fields</t>
    <phoneticPr fontId="2" type="noConversion"/>
  </si>
  <si>
    <t>12/1/2018</t>
    <phoneticPr fontId="2" type="noConversion"/>
  </si>
  <si>
    <t>&lt;&lt; Unmap</t>
    <phoneticPr fontId="2" type="noConversion"/>
  </si>
  <si>
    <t>&lt;&lt; Remove</t>
    <phoneticPr fontId="2" type="noConversion"/>
  </si>
  <si>
    <t>https://xlworks.net/xlgantt-easy-tip/</t>
    <phoneticPr fontId="2" type="noConversion"/>
  </si>
  <si>
    <t>https://xlworks.net/xlgantt-howto-02-task/</t>
    <phoneticPr fontId="2" type="noConversion"/>
  </si>
  <si>
    <t>https://xlworks.net/xlgantt-howto-03-gantt-chart/</t>
    <phoneticPr fontId="2" type="noConversion"/>
  </si>
  <si>
    <t>https://xlworks.net/xlgantt-howto-04-project-progress/</t>
    <phoneticPr fontId="2" type="noConversion"/>
  </si>
  <si>
    <t>Help</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</si>
  <si>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</si>
  <si>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</si>
  <si>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</si>
  <si>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</si>
  <si>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</si>
  <si>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</si>
  <si>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</si>
  <si>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Display date or day on the timescale</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</si>
  <si>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</si>
  <si>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</si>
  <si>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</si>
  <si>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</si>
  <si>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</si>
  <si>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Align WBS Column</t>
    <phoneticPr fontId="2" type="noConversion"/>
  </si>
  <si>
    <t>Date</t>
    <phoneticPr fontId="2" type="noConversion"/>
  </si>
  <si>
    <t>Day</t>
    <phoneticPr fontId="2" type="noConversion"/>
  </si>
  <si>
    <t>The same field name exists.</t>
    <phoneticPr fontId="2" type="noConversion"/>
  </si>
  <si>
    <t>Enter tasks, Update schedule</t>
    <phoneticPr fontId="2" type="noConversion"/>
  </si>
  <si>
    <t>Displayed in %Work complete column</t>
    <phoneticPr fontId="2" type="noConversion"/>
  </si>
  <si>
    <t>CM</t>
  </si>
  <si>
    <t>ITEM</t>
  </si>
  <si>
    <t>VALUE1</t>
  </si>
  <si>
    <t>VALUE2</t>
  </si>
  <si>
    <t>ITEM_GROUP</t>
    <phoneticPr fontId="2" type="noConversion"/>
  </si>
  <si>
    <t>DESCRIPTION</t>
    <phoneticPr fontId="4"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</si>
  <si>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</si>
  <si>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</si>
  <si>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</si>
  <si>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</si>
  <si>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</si>
  <si>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</si>
  <si>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</si>
  <si>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</si>
  <si>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</si>
  <si>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</si>
  <si>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</si>
  <si>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</si>
  <si>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</si>
  <si>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</si>
  <si>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</si>
  <si>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</si>
  <si>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</si>
  <si>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</si>
  <si>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</si>
  <si>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</si>
  <si>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</si>
  <si>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</si>
  <si>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</si>
  <si>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</si>
  <si>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</si>
  <si>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</si>
  <si>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</si>
  <si>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</si>
  <si>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</si>
  <si>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</si>
  <si>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</si>
  <si>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</si>
  <si>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</si>
  <si>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</si>
  <si>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</si>
  <si>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</si>
  <si>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</si>
  <si>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</si>
  <si>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</si>
  <si>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</si>
  <si>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</si>
  <si>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</si>
  <si>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</si>
  <si>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</si>
  <si>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2"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</si>
  <si>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</si>
  <si>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</si>
  <si>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</si>
  <si>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</si>
  <si>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</si>
  <si>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</si>
  <si>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</si>
  <si>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</si>
  <si>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</si>
  <si>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</si>
  <si>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</si>
  <si>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</si>
  <si>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</si>
  <si>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</si>
  <si>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</si>
  <si>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</si>
  <si>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2" type="noConversion"/>
  </si>
  <si>
    <t>OL</t>
    <phoneticPr fontId="2" type="noConversion"/>
  </si>
  <si>
    <t>Select Formula Cells</t>
    <phoneticPr fontId="2" type="noConversion"/>
  </si>
  <si>
    <t>5.0.0</t>
    <phoneticPr fontId="2" type="noConversion"/>
  </si>
  <si>
    <t xml:space="preserve">XLGantt 5.0.0 ©XLWorks </t>
    <phoneticPr fontId="4" type="noConversion"/>
  </si>
  <si>
    <t>W1</t>
  </si>
  <si>
    <t>Average number of working days per month</t>
    <phoneticPr fontId="2" type="noConversion"/>
  </si>
  <si>
    <t>Free space in the print area</t>
    <phoneticPr fontId="2" type="noConversion"/>
  </si>
  <si>
    <t>Automatically adjust height of Schedule sheet rows 1-4</t>
    <phoneticPr fontId="2" type="noConversion"/>
  </si>
  <si>
    <t>Program error has occurred.</t>
    <phoneticPr fontId="2" type="noConversion"/>
  </si>
  <si>
    <t>Program error has occurred, this error can occur because of the following:\n\n1. An incorrect value was entered in the Schedule sheet (eg, a value beginning with an equal sign (=) was entered except in the date field).\n\n2. {1}</t>
    <phoneticPr fontId="2" type="noConversion"/>
  </si>
  <si>
    <t>Program error has occurred.\n\n{1}\nError code:{2}\n\nIf this program file is stored in a cloud storage such as Microsoft OneDrive, move it to a local drive on your PC and use it.</t>
    <phoneticPr fontId="2" type="noConversion"/>
  </si>
  <si>
    <t>Program error has occurred.\n\n{1}\nError code:{2}</t>
    <phoneticPr fontId="2" type="noConversion"/>
  </si>
  <si>
    <t>DO NOT UPDATE, DO NOT MOVE ROW 8 TO ANOTHER ROW</t>
    <phoneticPr fontId="4"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</si>
  <si>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</si>
  <si>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</si>
  <si>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</si>
  <si>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</si>
  <si>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</si>
  <si>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</si>
  <si>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</si>
  <si>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</si>
  <si>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</si>
  <si>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</si>
  <si>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</si>
  <si>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</si>
  <si>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</si>
  <si>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</si>
  <si>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</si>
  <si>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</si>
  <si>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</si>
  <si>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</si>
  <si>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</si>
  <si>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</si>
  <si>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</si>
  <si>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</si>
  <si>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</si>
  <si>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</si>
  <si>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</si>
  <si>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</si>
  <si>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</si>
  <si>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</si>
  <si>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</si>
  <si>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</si>
  <si>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</si>
  <si>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</si>
  <si>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</si>
  <si>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</si>
  <si>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</si>
  <si>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</si>
  <si>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</si>
  <si>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</si>
  <si>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</si>
  <si>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</si>
  <si>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2" type="noConversion"/>
  </si>
  <si>
    <t>OW</t>
    <phoneticPr fontId="2" type="noConversion"/>
  </si>
  <si>
    <t>OD</t>
    <phoneticPr fontId="2" type="noConversion"/>
  </si>
  <si>
    <t>OP</t>
    <phoneticPr fontId="2" type="noConversion"/>
  </si>
  <si>
    <t>https://xlworks.io/xlgantt-project-scheduler/</t>
  </si>
  <si>
    <t>https://xlworks.io/xlgantt-project-scheduler/</t>
    <phoneticPr fontId="4"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</si>
  <si>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</si>
  <si>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</si>
  <si>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</si>
  <si>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</si>
  <si>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</si>
  <si>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</si>
  <si>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</si>
  <si>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</si>
  <si>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</si>
  <si>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</si>
  <si>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</si>
  <si>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</si>
  <si>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</si>
  <si>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2" type="noConversion"/>
  </si>
  <si>
    <t>https://xlworks.net/</t>
    <phoneticPr fontId="2"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</si>
  <si>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</si>
  <si>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2"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</si>
  <si>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</si>
  <si>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</si>
  <si>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</si>
  <si>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</si>
  <si>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2"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</si>
  <si>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</si>
  <si>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2"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</si>
  <si>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2"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</si>
  <si>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</si>
  <si>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2"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</si>
  <si>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2"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</si>
  <si>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2"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</si>
  <si>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</si>
  <si>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</si>
  <si>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</si>
  <si>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</si>
  <si>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</si>
  <si>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</si>
  <si>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</si>
  <si>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</si>
  <si>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</si>
  <si>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</si>
  <si>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</si>
  <si>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</si>
  <si>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</si>
  <si>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2"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</si>
  <si>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</si>
  <si>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</si>
  <si>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</si>
  <si>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2"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</si>
  <si>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2"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</si>
  <si>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</si>
  <si>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</si>
  <si>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</si>
  <si>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</si>
  <si>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2"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</si>
  <si>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2"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</si>
  <si>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</si>
  <si>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</si>
  <si>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</si>
  <si>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</si>
  <si>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</si>
  <si>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</si>
  <si>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</si>
  <si>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</si>
  <si>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</si>
  <si>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2"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</si>
  <si>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</si>
  <si>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</si>
  <si>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2"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</si>
  <si>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</si>
  <si>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</si>
  <si>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</si>
  <si>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</si>
  <si>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</si>
  <si>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2" type="noConversion"/>
  </si>
  <si>
    <r>
      <rPr>
        <sz val="9"/>
        <color theme="1"/>
        <rFont val="맑은 고딕"/>
        <family val="3"/>
        <charset val="129"/>
      </rPr>
      <t>실제진척율</t>
    </r>
    <phoneticPr fontId="2"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</si>
  <si>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</si>
  <si>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</si>
  <si>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</si>
  <si>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</si>
  <si>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</si>
  <si>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</si>
  <si>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</si>
  <si>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</si>
  <si>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</si>
  <si>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4"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</si>
  <si>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</si>
  <si>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4"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</si>
  <si>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2"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</si>
  <si>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2" type="noConversion"/>
  </si>
  <si>
    <r>
      <rPr>
        <sz val="9"/>
        <color theme="1"/>
        <rFont val="맑은 고딕"/>
        <family val="3"/>
        <charset val="129"/>
      </rPr>
      <t>실제작업량</t>
    </r>
    <r>
      <rPr>
        <sz val="9"/>
        <color theme="1"/>
        <rFont val="Calibri"/>
        <family val="2"/>
      </rPr>
      <t>(Man-Day)</t>
    </r>
    <phoneticPr fontId="2"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</si>
  <si>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4"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</si>
  <si>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4"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</si>
  <si>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4"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</si>
  <si>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4"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</si>
  <si>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2"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</si>
  <si>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2"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</si>
  <si>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2"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</si>
  <si>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2"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</si>
  <si>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</si>
  <si>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2"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</si>
  <si>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</si>
  <si>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</si>
  <si>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</si>
  <si>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</si>
  <si>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</si>
  <si>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</si>
  <si>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</si>
  <si>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</si>
  <si>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</si>
  <si>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2"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</si>
  <si>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</si>
  <si>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</si>
  <si>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</si>
  <si>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</si>
  <si>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</si>
  <si>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</si>
  <si>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2" type="noConversion"/>
  </si>
  <si>
    <r>
      <rPr>
        <sz val="9"/>
        <color theme="1"/>
        <rFont val="맑은 고딕"/>
        <family val="3"/>
        <charset val="129"/>
      </rPr>
      <t>자동</t>
    </r>
    <phoneticPr fontId="2"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</si>
  <si>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2"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</si>
  <si>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</si>
  <si>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</si>
  <si>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</si>
  <si>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</si>
  <si>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</si>
  <si>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2" type="noConversion"/>
  </si>
  <si>
    <r>
      <rPr>
        <sz val="9"/>
        <color theme="1"/>
        <rFont val="맑은 고딕"/>
        <family val="3"/>
        <charset val="129"/>
      </rPr>
      <t>흑백</t>
    </r>
    <phoneticPr fontId="2"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</si>
  <si>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</si>
  <si>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</si>
  <si>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2"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</si>
  <si>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2"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</si>
  <si>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2"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</si>
  <si>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</si>
  <si>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</si>
  <si>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</si>
  <si>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2"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</si>
  <si>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</si>
  <si>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</si>
  <si>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2"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</si>
  <si>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</si>
  <si>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</si>
  <si>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</si>
  <si>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</si>
  <si>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</si>
  <si>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</si>
  <si>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</si>
  <si>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</si>
  <si>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</si>
  <si>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2"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</si>
  <si>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</si>
  <si>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2"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</si>
  <si>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</si>
  <si>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</si>
  <si>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</si>
  <si>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2"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</si>
  <si>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</si>
  <si>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2"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</si>
  <si>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</si>
  <si>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</si>
  <si>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</si>
  <si>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</si>
  <si>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2"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</si>
  <si>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</si>
  <si>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</si>
  <si>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</si>
  <si>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</si>
  <si>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</si>
  <si>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2"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</si>
  <si>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</si>
  <si>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</si>
  <si>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</si>
  <si>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2"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</si>
  <si>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</si>
  <si>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</si>
  <si>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</si>
  <si>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</si>
  <si>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2"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</si>
  <si>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2"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</si>
  <si>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</si>
  <si>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2"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</si>
  <si>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</si>
  <si>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</si>
  <si>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</si>
  <si>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</si>
  <si>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2" type="noConversion"/>
  </si>
  <si>
    <r>
      <rPr>
        <sz val="9"/>
        <color theme="1"/>
        <rFont val="맑은 고딕"/>
        <family val="3"/>
        <charset val="129"/>
      </rPr>
      <t>실적기성</t>
    </r>
    <phoneticPr fontId="2"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</si>
  <si>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2"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</si>
  <si>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2"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</si>
  <si>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2" type="noConversion"/>
  </si>
  <si>
    <r>
      <rPr>
        <sz val="9"/>
        <color theme="1"/>
        <rFont val="맑은 고딕"/>
        <family val="3"/>
        <charset val="129"/>
      </rPr>
      <t>실적기성</t>
    </r>
    <r>
      <rPr>
        <sz val="9"/>
        <color theme="1"/>
        <rFont val="Calibri"/>
        <family val="2"/>
      </rPr>
      <t>( C )\nMan-day</t>
    </r>
    <phoneticPr fontId="2" type="noConversion"/>
  </si>
  <si>
    <r>
      <rPr>
        <sz val="9"/>
        <color theme="1"/>
        <rFont val="맑은 고딕"/>
        <family val="3"/>
        <charset val="129"/>
      </rPr>
      <t>실적기성</t>
    </r>
    <r>
      <rPr>
        <sz val="9"/>
        <color theme="1"/>
        <rFont val="Calibri"/>
        <family val="2"/>
      </rPr>
      <t>(Man-Day)</t>
    </r>
    <phoneticPr fontId="2"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</si>
  <si>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</si>
  <si>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2"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</si>
  <si>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</si>
  <si>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</si>
  <si>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</si>
  <si>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</si>
  <si>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</si>
  <si>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2"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</si>
  <si>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</si>
  <si>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</si>
  <si>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</si>
  <si>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</si>
  <si>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</si>
  <si>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</si>
  <si>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</si>
  <si>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</si>
  <si>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</si>
  <si>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</si>
  <si>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</si>
  <si>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</si>
  <si>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</si>
  <si>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</si>
  <si>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</si>
  <si>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</si>
  <si>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2"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</si>
  <si>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2"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</si>
  <si>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2"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</si>
  <si>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2"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</si>
  <si>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</si>
  <si>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2" type="noConversion"/>
  </si>
  <si>
    <r>
      <rPr>
        <sz val="9"/>
        <color theme="1"/>
        <rFont val="맑은 고딕"/>
        <family val="3"/>
        <charset val="129"/>
      </rPr>
      <t>일반</t>
    </r>
    <phoneticPr fontId="2"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</si>
  <si>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</si>
  <si>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2"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</si>
  <si>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2"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</si>
  <si>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2" type="noConversion"/>
  </si>
  <si>
    <r>
      <rPr>
        <sz val="9"/>
        <color theme="1"/>
        <rFont val="맑은 고딕"/>
        <family val="3"/>
        <charset val="129"/>
      </rPr>
      <t>도움말</t>
    </r>
    <phoneticPr fontId="2"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</si>
  <si>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2" type="noConversion"/>
  </si>
  <si>
    <r>
      <rPr>
        <sz val="9"/>
        <color theme="1"/>
        <rFont val="맑은 고딕"/>
        <family val="3"/>
        <charset val="129"/>
      </rPr>
      <t>사용법</t>
    </r>
    <phoneticPr fontId="2"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</si>
  <si>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</si>
  <si>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</si>
  <si>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</si>
  <si>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</si>
  <si>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</si>
  <si>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2"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</si>
  <si>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</si>
  <si>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</si>
  <si>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</si>
  <si>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2"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</si>
  <si>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2"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</si>
  <si>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</si>
  <si>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2"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</si>
  <si>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2"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</si>
  <si>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</si>
  <si>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</si>
  <si>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</si>
  <si>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</si>
  <si>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</si>
  <si>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</si>
  <si>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</si>
  <si>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</si>
  <si>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</si>
  <si>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</si>
  <si>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</si>
  <si>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</si>
  <si>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</si>
  <si>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2"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</si>
  <si>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2"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</si>
  <si>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</si>
  <si>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</si>
  <si>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</si>
  <si>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</si>
  <si>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</si>
  <si>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2"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</si>
  <si>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</si>
  <si>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</si>
  <si>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2"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</si>
  <si>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</si>
  <si>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</si>
  <si>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2"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</si>
  <si>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2"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</si>
  <si>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</si>
  <si>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</si>
  <si>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</si>
  <si>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</si>
  <si>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</si>
  <si>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</si>
  <si>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</si>
  <si>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</si>
  <si>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2"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</si>
  <si>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</si>
  <si>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2"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</si>
  <si>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2"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</si>
  <si>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</si>
  <si>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</si>
  <si>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</si>
  <si>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</si>
  <si>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</si>
  <si>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2"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</si>
  <si>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</si>
  <si>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2"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</si>
  <si>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</si>
  <si>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2"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</si>
  <si>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2"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</si>
  <si>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</si>
  <si>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</si>
  <si>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</si>
  <si>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</si>
  <si>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</si>
  <si>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</si>
  <si>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</si>
  <si>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2" type="noConversion"/>
  </si>
  <si>
    <r>
      <rPr>
        <sz val="9"/>
        <color theme="1"/>
        <rFont val="맑은 고딕"/>
        <family val="3"/>
        <charset val="129"/>
      </rPr>
      <t>계획진척율</t>
    </r>
    <phoneticPr fontId="2"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</si>
  <si>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2"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</si>
  <si>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</si>
  <si>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</si>
  <si>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</si>
  <si>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</si>
  <si>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</si>
  <si>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</si>
  <si>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</si>
  <si>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</si>
  <si>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</si>
  <si>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2"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</si>
  <si>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</si>
  <si>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2" type="noConversion"/>
  </si>
  <si>
    <r>
      <rPr>
        <sz val="9"/>
        <color theme="1"/>
        <rFont val="맑은 고딕"/>
        <family val="3"/>
        <charset val="129"/>
      </rPr>
      <t>계획작업량</t>
    </r>
    <r>
      <rPr>
        <sz val="9"/>
        <color theme="1"/>
        <rFont val="Calibri"/>
        <family val="2"/>
      </rPr>
      <t>(Man-Day)</t>
    </r>
    <phoneticPr fontId="2"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</si>
  <si>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</si>
  <si>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4"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</si>
  <si>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4"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</si>
  <si>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</si>
  <si>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</si>
  <si>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</si>
  <si>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</si>
  <si>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</si>
  <si>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</si>
  <si>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</si>
  <si>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</si>
  <si>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</si>
  <si>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</si>
  <si>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</si>
  <si>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</si>
  <si>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</si>
  <si>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2"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</si>
  <si>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2"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</si>
  <si>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2"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</si>
  <si>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</si>
  <si>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</si>
  <si>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</si>
  <si>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2"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</si>
  <si>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2"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</si>
  <si>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2"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</si>
  <si>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2"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</si>
  <si>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2" type="noConversion"/>
  </si>
  <si>
    <r>
      <rPr>
        <sz val="9"/>
        <color theme="1"/>
        <rFont val="맑은 고딕"/>
        <family val="3"/>
        <charset val="129"/>
      </rPr>
      <t>퍼플</t>
    </r>
    <phoneticPr fontId="2"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</si>
  <si>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2"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</si>
  <si>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2"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</si>
  <si>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</si>
  <si>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</si>
  <si>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2"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</si>
  <si>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</si>
  <si>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</si>
  <si>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</si>
  <si>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2"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</si>
  <si>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</si>
  <si>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</si>
  <si>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</si>
  <si>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</si>
  <si>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2"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</si>
  <si>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</si>
  <si>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</si>
  <si>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</si>
  <si>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</si>
  <si>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</si>
  <si>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</si>
  <si>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</si>
  <si>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</si>
  <si>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</si>
  <si>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2"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</si>
  <si>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</si>
  <si>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</si>
  <si>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</si>
  <si>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</si>
  <si>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</si>
  <si>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</si>
  <si>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2"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</si>
  <si>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</si>
  <si>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</si>
  <si>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</si>
  <si>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</si>
  <si>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</si>
  <si>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2"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</si>
  <si>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2"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</si>
  <si>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2"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</si>
  <si>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</si>
  <si>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2"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</si>
  <si>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</si>
  <si>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2"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</si>
  <si>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</si>
  <si>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2"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</si>
  <si>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</si>
  <si>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</si>
  <si>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</si>
  <si>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</si>
  <si>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</si>
  <si>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</si>
  <si>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</si>
  <si>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</si>
  <si>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</si>
  <si>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</si>
  <si>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</si>
  <si>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</si>
  <si>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</si>
  <si>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</si>
  <si>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</si>
  <si>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</si>
  <si>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</si>
  <si>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</si>
  <si>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</si>
  <si>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</si>
  <si>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</si>
  <si>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</si>
  <si>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</si>
  <si>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</si>
  <si>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</si>
  <si>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</si>
  <si>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</si>
  <si>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</si>
  <si>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</si>
  <si>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</si>
  <si>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</si>
  <si>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</si>
  <si>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</si>
  <si>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</si>
  <si>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</si>
  <si>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</si>
  <si>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</si>
  <si>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</si>
  <si>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</si>
  <si>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</si>
  <si>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</si>
  <si>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</si>
  <si>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</si>
  <si>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</si>
  <si>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</si>
  <si>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</si>
  <si>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</si>
  <si>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</si>
  <si>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4"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</si>
  <si>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</si>
  <si>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</si>
  <si>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</si>
  <si>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</si>
  <si>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2"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</si>
  <si>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</si>
  <si>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</si>
  <si>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</si>
  <si>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</si>
  <si>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2"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</si>
  <si>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</si>
  <si>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</si>
  <si>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</si>
  <si>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</si>
  <si>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</si>
  <si>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</si>
  <si>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2"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</si>
  <si>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2"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</si>
  <si>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</si>
  <si>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</si>
  <si>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</si>
  <si>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</si>
  <si>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</si>
  <si>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</si>
  <si>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</si>
  <si>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</si>
  <si>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</si>
  <si>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</si>
  <si>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</si>
  <si>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</si>
  <si>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</si>
  <si>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</si>
  <si>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</si>
  <si>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2"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</si>
  <si>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2"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</si>
  <si>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</si>
  <si>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</si>
  <si>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</si>
  <si>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</si>
  <si>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</si>
  <si>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</si>
  <si>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</si>
  <si>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</si>
  <si>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</si>
  <si>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</si>
  <si>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4"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</si>
  <si>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4"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</si>
  <si>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</si>
  <si>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</si>
  <si>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</si>
  <si>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</si>
  <si>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</si>
  <si>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</si>
  <si>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2"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</si>
  <si>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</si>
  <si>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</si>
  <si>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</si>
  <si>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</si>
  <si>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</si>
  <si>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</si>
  <si>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</si>
  <si>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2"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</si>
  <si>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2"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</si>
  <si>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</si>
  <si>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2"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</si>
  <si>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</si>
  <si>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</si>
  <si>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</si>
  <si>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</si>
  <si>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</si>
  <si>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2"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</si>
  <si>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2"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</si>
  <si>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2"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</si>
  <si>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</si>
  <si>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</si>
  <si>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2"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</si>
  <si>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</si>
  <si>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</si>
  <si>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</si>
  <si>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</si>
  <si>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4"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</si>
  <si>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2" type="noConversion"/>
  </si>
  <si>
    <r>
      <t xml:space="preserve">XLGantt Version {} </t>
    </r>
    <r>
      <rPr>
        <sz val="9"/>
        <color theme="1"/>
        <rFont val="맑은 고딕"/>
        <family val="3"/>
        <charset val="129"/>
      </rPr>
      <t>사용조건</t>
    </r>
    <phoneticPr fontId="2"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</si>
  <si>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</si>
  <si>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</si>
  <si>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</si>
  <si>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</si>
  <si>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</si>
  <si>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</si>
  <si>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</si>
  <si>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</si>
  <si>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</si>
  <si>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</si>
  <si>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</si>
  <si>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</si>
  <si>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</si>
  <si>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</si>
  <si>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</si>
  <si>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</si>
  <si>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</si>
  <si>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</si>
  <si>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</si>
  <si>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</si>
  <si>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</si>
  <si>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</si>
  <si>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</si>
  <si>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</si>
  <si>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</si>
  <si>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</si>
  <si>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2" type="noConversion"/>
  </si>
  <si>
    <r>
      <rPr>
        <sz val="9"/>
        <color theme="1"/>
        <rFont val="맑은 고딕"/>
        <family val="3"/>
        <charset val="129"/>
      </rPr>
      <t>요일</t>
    </r>
    <phoneticPr fontId="2"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</si>
  <si>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2"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</si>
  <si>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2" type="noConversion"/>
  </si>
  <si>
    <r>
      <rPr>
        <sz val="9"/>
        <color theme="1"/>
        <rFont val="맑은 고딕"/>
        <family val="3"/>
        <charset val="129"/>
      </rPr>
      <t>왼쪽</t>
    </r>
    <phoneticPr fontId="2" type="noConversion"/>
  </si>
  <si>
    <r>
      <rPr>
        <sz val="9"/>
        <color theme="1"/>
        <rFont val="맑은 고딕"/>
        <family val="3"/>
        <charset val="129"/>
      </rPr>
      <t>가운데</t>
    </r>
    <phoneticPr fontId="2" type="noConversion"/>
  </si>
  <si>
    <r>
      <rPr>
        <sz val="9"/>
        <color theme="1"/>
        <rFont val="맑은 고딕"/>
        <family val="3"/>
        <charset val="129"/>
      </rPr>
      <t>오른쪽</t>
    </r>
    <phoneticPr fontId="2"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</si>
  <si>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2"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</si>
  <si>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2"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</si>
  <si>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2"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</si>
  <si>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2"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</si>
  <si>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</si>
  <si>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2"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</si>
  <si>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</si>
  <si>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2" type="noConversion"/>
  </si>
  <si>
    <t>You can select the workload calculation method.</t>
    <phoneticPr fontId="2" type="noConversion"/>
  </si>
  <si>
    <t>You can set the appearance and color of the XLGantt.</t>
    <phoneticPr fontId="2" type="noConversion"/>
  </si>
  <si>
    <t>작업량 계산 방식을 선택할 수 있다.</t>
    <phoneticPr fontId="2" type="noConversion"/>
  </si>
  <si>
    <t>엑셀간트의 모양과 색상을 지정할 수 있다.</t>
    <phoneticPr fontId="2"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</si>
  <si>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2" type="noConversion"/>
  </si>
  <si>
    <t>https://xlworks.io/xlgantt-howto-14-workloads/</t>
    <phoneticPr fontId="2" type="noConversion"/>
  </si>
  <si>
    <t>https://xlworks.io/xlgantt-howto-15-color-theme/</t>
    <phoneticPr fontId="2" type="noConversion"/>
  </si>
  <si>
    <t>https://xlworks.net/xlgantt-howto-14-workloads/</t>
    <phoneticPr fontId="2" type="noConversion"/>
  </si>
  <si>
    <t>https://xlworks.net/xlgantt-howto-15-color-theme/</t>
    <phoneticPr fontId="2" type="noConversion"/>
  </si>
  <si>
    <t>OG</t>
  </si>
  <si>
    <t>XLGanttFileCalcMode</t>
  </si>
  <si>
    <t>pdf</t>
    <phoneticPr fontId="2" type="noConversion"/>
  </si>
  <si>
    <t>C:\Program Files\Adobe\Acrobat DC\Acrobat\acrobat.exe</t>
    <phoneticPr fontId="2" type="noConversion"/>
  </si>
  <si>
    <t>Setting Task Dependencies</t>
    <phoneticPr fontId="2" type="noConversion"/>
  </si>
  <si>
    <t>작업 의존관계 설정</t>
    <phoneticPr fontId="2" type="noConversion"/>
  </si>
  <si>
    <t>You can set the Task Dependencies(FS,SS,FF,SF).</t>
    <phoneticPr fontId="2" type="noConversion"/>
  </si>
  <si>
    <t>https://xlworks.io/xlgantt-howto-16-task-dependencies/</t>
    <phoneticPr fontId="2" type="noConversion"/>
  </si>
  <si>
    <t>https://xlworks.net/xlgantt-howto-16-task-dependencies/</t>
    <phoneticPr fontId="2" type="noConversion"/>
  </si>
  <si>
    <t>작업 의존관계(FS,SS,FF,SF)를 설정할 수 있다.</t>
    <phoneticPr fontId="2" type="noConversion"/>
  </si>
  <si>
    <t>엑셀</t>
    <phoneticPr fontId="2" type="noConversion"/>
  </si>
  <si>
    <t>엑셀간트(XLGantt) - 엑셀 일정관리</t>
    <phoneticPr fontId="16"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</si>
  <si>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</si>
  <si>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6" type="noConversion"/>
  </si>
  <si>
    <t>시트 구성</t>
    <phoneticPr fontId="16" type="noConversion"/>
  </si>
  <si>
    <t>작업과 일정을 입력하면 진척율이 계산되며 작업의 일정을 간트차트로 표시해 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</si>
  <si>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</si>
  <si>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</si>
  <si>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</si>
  <si>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Workload data를 주별/월별로 만들어 준다. 피벗 등의 기능으로 사용자가 원하는대로 분석을 할 수 있다.</t>
    <phoneticPr fontId="2" type="noConversion"/>
  </si>
  <si>
    <t>(숨겨진 시트) 언어별 번역이 들어 있다.</t>
    <phoneticPr fontId="2" type="noConversion"/>
  </si>
  <si>
    <t>사용법</t>
    <phoneticPr fontId="16"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</si>
  <si>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</si>
  <si>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</si>
  <si>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</si>
  <si>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</si>
  <si>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</si>
  <si>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</si>
  <si>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</si>
  <si>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</si>
  <si>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</si>
  <si>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</si>
  <si>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작업량 계산</t>
    <phoneticPr fontId="2" type="noConversion"/>
  </si>
  <si>
    <t>WBS영역, 컬러테마 설정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</si>
  <si>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</si>
  <si>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</si>
  <si>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</si>
  <si>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</si>
  <si>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</si>
  <si>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</si>
  <si>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</si>
  <si>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</si>
  <si>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</si>
  <si>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</si>
  <si>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한주의 시작요일 지정, 휴무일 설정, 주차표시 기능을 제공한다.
리본메뉴 &gt; XLGantt – Project Scheduler &gt; 옵션 &gt; “Calendar” 탭에서 설정할 수 있다.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</si>
  <si>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</si>
  <si>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도움말</t>
    <phoneticPr fontId="2" type="noConversion"/>
  </si>
  <si>
    <t>XLGantt Version 5.0.0 사용조건</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</si>
  <si>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</si>
  <si>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</si>
  <si>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</si>
  <si>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</si>
  <si>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</si>
  <si>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</si>
  <si>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</si>
  <si>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</si>
  <si>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</si>
  <si>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</si>
  <si>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</si>
  <si>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</si>
  <si>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</si>
  <si>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</si>
  <si>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</si>
  <si>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시작일</t>
  </si>
  <si>
    <t>완료일</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</si>
  <si>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</si>
  <si>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</si>
  <si>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</si>
  <si>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</si>
  <si>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</si>
  <si>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</si>
  <si>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</si>
  <si>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</si>
  <si>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</si>
  <si>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분석</t>
  </si>
  <si>
    <t>1.1.1</t>
  </si>
  <si>
    <t>1.1.2</t>
  </si>
  <si>
    <t>설계</t>
  </si>
  <si>
    <t>1.2.1</t>
  </si>
  <si>
    <t>1.2.2</t>
  </si>
  <si>
    <t>개발</t>
  </si>
  <si>
    <t>1.3.1</t>
  </si>
  <si>
    <t>1.3.2</t>
  </si>
  <si>
    <t>W13</t>
  </si>
  <si>
    <t>1.2</t>
  </si>
  <si>
    <t>1.3</t>
  </si>
  <si>
    <t>프로젝트 관리</t>
  </si>
  <si>
    <t>프로젝트 착수 및 계획수립</t>
  </si>
  <si>
    <t>프로젝트 착수</t>
  </si>
  <si>
    <t>2.1</t>
  </si>
  <si>
    <t>2.1.1</t>
  </si>
  <si>
    <t>2.1.2</t>
  </si>
  <si>
    <t>2.1.2.1</t>
  </si>
  <si>
    <t>2.1.2.2</t>
  </si>
  <si>
    <t>1.1.2.1</t>
  </si>
  <si>
    <t>1.1.2.2</t>
  </si>
  <si>
    <t>중간보고</t>
  </si>
  <si>
    <t>프로젝트 종료</t>
  </si>
  <si>
    <t>종료계획수립</t>
  </si>
  <si>
    <t>1.3.3</t>
  </si>
  <si>
    <t>종료보고</t>
  </si>
  <si>
    <t>2.2.1</t>
  </si>
  <si>
    <t>UI 설계</t>
  </si>
  <si>
    <t>2.2.2</t>
  </si>
  <si>
    <t>시스템 설계</t>
  </si>
  <si>
    <t>2.2.2.1</t>
  </si>
  <si>
    <t>2.2.2.2</t>
  </si>
  <si>
    <t>데이터베이스설계</t>
  </si>
  <si>
    <t>2.2.2.3</t>
  </si>
  <si>
    <t>프로그램설계</t>
  </si>
  <si>
    <t>2.2.3</t>
  </si>
  <si>
    <t>2.3.1</t>
  </si>
  <si>
    <t>2.3.1.1</t>
  </si>
  <si>
    <t>2.3.1.2</t>
  </si>
  <si>
    <t>2.3.2</t>
  </si>
  <si>
    <t>2.3.2.1</t>
  </si>
  <si>
    <t>2.3.2.2</t>
  </si>
  <si>
    <t>2.4.1</t>
  </si>
  <si>
    <t>구현준비</t>
  </si>
  <si>
    <t>2.4.1.1</t>
  </si>
  <si>
    <t>2.4.2</t>
  </si>
  <si>
    <t>Conversion 및 Release</t>
  </si>
  <si>
    <t>2.4.2.1</t>
  </si>
  <si>
    <t>시스템오픈</t>
  </si>
  <si>
    <t>2.2</t>
  </si>
  <si>
    <t>2.3</t>
  </si>
  <si>
    <t>2.4</t>
  </si>
  <si>
    <t>W5</t>
  </si>
  <si>
    <t>W9</t>
  </si>
  <si>
    <t>W17</t>
  </si>
  <si>
    <t>W21</t>
  </si>
  <si>
    <t>DEFINED</t>
    <phoneticPr fontId="2" type="noConversion"/>
  </si>
  <si>
    <t>5</t>
  </si>
  <si>
    <t>파워포인트</t>
    <phoneticPr fontId="2" type="noConversion"/>
  </si>
  <si>
    <t>자동지정</t>
    <phoneticPr fontId="2" type="noConversion"/>
  </si>
  <si>
    <t>워드</t>
    <phoneticPr fontId="2" type="noConversion"/>
  </si>
  <si>
    <t>C:\Program Files\Autodesk\AutoCAD 2019\acad.exe</t>
    <phoneticPr fontId="2" type="noConversion"/>
  </si>
  <si>
    <t>C:\Program Files\Notepad++\notepad++.exe</t>
    <phoneticPr fontId="2" type="noConversion"/>
  </si>
  <si>
    <t>txt</t>
    <phoneticPr fontId="2" type="noConversion"/>
  </si>
  <si>
    <t>C:\WINDOWS\system32\notepad.exe</t>
    <phoneticPr fontId="2" type="noConversion"/>
  </si>
  <si>
    <t>PDF</t>
    <phoneticPr fontId="2" type="noConversion"/>
  </si>
  <si>
    <t>W25</t>
  </si>
  <si>
    <t>doc*</t>
    <phoneticPr fontId="2" type="noConversion"/>
  </si>
  <si>
    <t>xls*</t>
    <phoneticPr fontId="2" type="noConversion"/>
  </si>
  <si>
    <t>AutoCAD</t>
    <phoneticPr fontId="2" type="noConversion"/>
  </si>
  <si>
    <t>dwg</t>
    <phoneticPr fontId="2" type="noConversion"/>
  </si>
  <si>
    <t>Notepad++</t>
    <phoneticPr fontId="2" type="noConversion"/>
  </si>
  <si>
    <t>html</t>
    <phoneticPr fontId="2" type="noConversion"/>
  </si>
  <si>
    <t>메모장</t>
    <phoneticPr fontId="2" type="noConversion"/>
  </si>
  <si>
    <t>1.2.1.2</t>
  </si>
  <si>
    <t>C:\Temp</t>
    <phoneticPr fontId="2" type="noConversion"/>
  </si>
  <si>
    <t>ppt*</t>
    <phoneticPr fontId="2" type="noConversion"/>
  </si>
  <si>
    <t>WBS 정의</t>
  </si>
  <si>
    <t>1.1.3</t>
  </si>
  <si>
    <t>프로젝트 계획수립</t>
  </si>
  <si>
    <t>1.1.3.1</t>
  </si>
  <si>
    <t>1.1.3.2</t>
  </si>
  <si>
    <t>일정 계획</t>
  </si>
  <si>
    <t>수행 조직</t>
  </si>
  <si>
    <t>1.1.3.3</t>
  </si>
  <si>
    <t>업무 범위 정의</t>
  </si>
  <si>
    <t>1.1.1.1</t>
  </si>
  <si>
    <t>1.1.1.2</t>
  </si>
  <si>
    <t>1.1.1.1.1</t>
  </si>
  <si>
    <t>G/W &amp; N/W</t>
  </si>
  <si>
    <t>1.1.1.2.1</t>
  </si>
  <si>
    <t>WAS/APP</t>
  </si>
  <si>
    <t>DataBase</t>
  </si>
  <si>
    <t>1.1.1.2.2</t>
  </si>
  <si>
    <t>1주차 주간진척</t>
  </si>
  <si>
    <t>1.2.1.1.1</t>
  </si>
  <si>
    <t>1.2.1.1.2</t>
  </si>
  <si>
    <t>1.2.1.1.3</t>
  </si>
  <si>
    <t>1.2.1.1.4</t>
  </si>
  <si>
    <t>2주차 주간진척</t>
  </si>
  <si>
    <t>3주차 주간진척</t>
  </si>
  <si>
    <t>4주차 주간진척</t>
  </si>
  <si>
    <t>1.2.1.2.1</t>
  </si>
  <si>
    <t>1.2.2.1</t>
  </si>
  <si>
    <t>1.2.2.1.1</t>
  </si>
  <si>
    <t>단계 승인</t>
  </si>
  <si>
    <t>1.2.2.1.2</t>
  </si>
  <si>
    <t>1.2.2.2</t>
  </si>
  <si>
    <t>1.2.2.2.1</t>
  </si>
  <si>
    <t>1.2.2.2.2</t>
  </si>
  <si>
    <t>설계 산출물 검토</t>
  </si>
  <si>
    <t>분석 산출물 검토</t>
  </si>
  <si>
    <t>단위테스트</t>
  </si>
  <si>
    <t>1.3.3.1</t>
  </si>
  <si>
    <t>검수요청</t>
  </si>
  <si>
    <t>검수획득</t>
  </si>
  <si>
    <t>1.3.3.2</t>
  </si>
  <si>
    <t>1.3.3.3</t>
  </si>
  <si>
    <t>1.3.2.1</t>
  </si>
  <si>
    <t>1.3.2.2</t>
  </si>
  <si>
    <t>인수인계 계획</t>
  </si>
  <si>
    <t>인수인계 실행</t>
  </si>
  <si>
    <t>1.1.1.1.2</t>
  </si>
  <si>
    <t>1.2.1.1</t>
  </si>
  <si>
    <t>1.2.1.2.2</t>
  </si>
  <si>
    <t>2.1.1.2</t>
  </si>
  <si>
    <t>2.1.2.3</t>
  </si>
  <si>
    <t>2.2.2.4</t>
  </si>
  <si>
    <t>2.1.1.3</t>
  </si>
  <si>
    <t>1.2.1.1.5</t>
  </si>
  <si>
    <t>1.2.1.1.6</t>
  </si>
  <si>
    <t>1.2.1.1.7</t>
  </si>
  <si>
    <t>1.2.1.1.8</t>
  </si>
  <si>
    <t>1.2.1.1.9</t>
  </si>
  <si>
    <t>1.2.1.1.10</t>
  </si>
  <si>
    <t>1.2.1.1.11</t>
  </si>
  <si>
    <t>1.2.1.1.12</t>
  </si>
  <si>
    <t>1.2.1.1.13</t>
  </si>
  <si>
    <t>1.2.1.1.14</t>
  </si>
  <si>
    <t>1.2.1.1.15</t>
  </si>
  <si>
    <t>1.2.1.1.16</t>
  </si>
  <si>
    <t>1.2.1.1.17</t>
  </si>
  <si>
    <t>1.2.1.1.18</t>
  </si>
  <si>
    <t>1.2.1.1.19</t>
  </si>
  <si>
    <t>1.2.1.1.20</t>
  </si>
  <si>
    <t>1.2.1.1.21</t>
  </si>
  <si>
    <t>1.2.1.1.22</t>
  </si>
  <si>
    <t>1.2.1.1.23</t>
  </si>
  <si>
    <t>1.2.1.1.24</t>
  </si>
  <si>
    <t>1.2.1.1.25</t>
  </si>
  <si>
    <t>5주차 주간진척</t>
  </si>
  <si>
    <t>6주차 주간진척</t>
  </si>
  <si>
    <t>7주차 주간진척</t>
  </si>
  <si>
    <t>8주차 주간진척</t>
  </si>
  <si>
    <t>9주차 주간진척</t>
  </si>
  <si>
    <t>10주차 주간진척</t>
  </si>
  <si>
    <t>11주차 주간진척</t>
  </si>
  <si>
    <t>12주차 주간진척</t>
  </si>
  <si>
    <t>13주차 주간진척</t>
  </si>
  <si>
    <t>14주차 주간진척</t>
  </si>
  <si>
    <t>15주차 주간진척</t>
  </si>
  <si>
    <t>16주차 주간진척</t>
  </si>
  <si>
    <t>17주차 주간진척</t>
  </si>
  <si>
    <t>18주차 주간진척</t>
  </si>
  <si>
    <t>19주차 주간진척</t>
  </si>
  <si>
    <t>20주차 주간진척</t>
  </si>
  <si>
    <t>21주차 주간진척</t>
  </si>
  <si>
    <t>22주차 주간진척</t>
  </si>
  <si>
    <t>23주차 주간진척</t>
  </si>
  <si>
    <t>24주차 주간진척</t>
  </si>
  <si>
    <t>25주차 주간진척</t>
  </si>
  <si>
    <t>주말</t>
    <phoneticPr fontId="2" type="noConversion"/>
  </si>
  <si>
    <t>요구사항 분석</t>
  </si>
  <si>
    <t>요구분석 계획</t>
  </si>
  <si>
    <t>요구분석 항목 정의</t>
  </si>
  <si>
    <t>요구사항 정의</t>
  </si>
  <si>
    <t>요구사항 정의서 작성</t>
  </si>
  <si>
    <t>요구사항 정의서 리뷰</t>
  </si>
  <si>
    <t>요구사항 정의서 확정</t>
  </si>
  <si>
    <t>인터페이스</t>
  </si>
  <si>
    <t>2.1.1.1</t>
  </si>
  <si>
    <t>W2</t>
  </si>
  <si>
    <t>W3</t>
  </si>
  <si>
    <t>W4</t>
  </si>
  <si>
    <t>W6</t>
  </si>
  <si>
    <t>W7</t>
  </si>
  <si>
    <t>W8</t>
  </si>
  <si>
    <t>W10</t>
  </si>
  <si>
    <t>W11</t>
  </si>
  <si>
    <t>W12</t>
  </si>
  <si>
    <t>W14</t>
  </si>
  <si>
    <t>W15</t>
  </si>
  <si>
    <t>W16</t>
  </si>
  <si>
    <t>W18</t>
  </si>
  <si>
    <t>W19</t>
  </si>
  <si>
    <t>W20</t>
  </si>
  <si>
    <t>W22</t>
  </si>
  <si>
    <t>W23</t>
  </si>
  <si>
    <t>W24</t>
  </si>
  <si>
    <t>1.2.1.2.3</t>
  </si>
  <si>
    <t>오픈보고</t>
  </si>
  <si>
    <t>2.5.1</t>
  </si>
  <si>
    <t>2.5.2</t>
  </si>
  <si>
    <t>2.5.2.1</t>
  </si>
  <si>
    <t>2.5.2.2</t>
  </si>
  <si>
    <t>2.5.2.3</t>
  </si>
  <si>
    <t>2.5.2.4</t>
  </si>
  <si>
    <t>테스트</t>
  </si>
  <si>
    <t>2.5</t>
  </si>
  <si>
    <t>2.4.1.2</t>
  </si>
  <si>
    <t>2.4.1.3</t>
  </si>
  <si>
    <t>2.4.1.4</t>
  </si>
  <si>
    <t>WMS(Web)</t>
  </si>
  <si>
    <t>재고조회</t>
  </si>
  <si>
    <t>시스템</t>
  </si>
  <si>
    <t>2.3.1.3</t>
  </si>
  <si>
    <t>2.3.1.3.1</t>
  </si>
  <si>
    <t>2.3.1.3.2</t>
  </si>
  <si>
    <t>2.3.1.3.3</t>
  </si>
  <si>
    <t>WCS</t>
  </si>
  <si>
    <t>OMS/택배</t>
  </si>
  <si>
    <t>프로그램  구현 및 개발자 테스트</t>
  </si>
  <si>
    <t>단위테스트 항목 정의</t>
  </si>
  <si>
    <t>단위테스트 실행</t>
  </si>
  <si>
    <t>단위테스트 결과 리뷰</t>
  </si>
  <si>
    <t>결함 시정 조치</t>
  </si>
  <si>
    <t>2.4.2.2</t>
  </si>
  <si>
    <t>2.4.2.3</t>
  </si>
  <si>
    <t>2.4.2.4</t>
  </si>
  <si>
    <t>2.4.3</t>
  </si>
  <si>
    <t>2.4.3.1</t>
  </si>
  <si>
    <t>연동테스트 항목 정의</t>
  </si>
  <si>
    <t>연동테스트 실행</t>
  </si>
  <si>
    <t>연동테스트 결과 리뷰</t>
  </si>
  <si>
    <t>2.4.3.2</t>
  </si>
  <si>
    <t>2.4.3.3</t>
  </si>
  <si>
    <t>통합테스트 시나리오</t>
  </si>
  <si>
    <t>통합테스트 시나리오 검토/확정</t>
  </si>
  <si>
    <t>1차 통합테스트 수행</t>
  </si>
  <si>
    <t>1차 통합테스트 결과 리뷰</t>
  </si>
  <si>
    <t>1차 통합테스트 결함 조치</t>
  </si>
  <si>
    <t>2.4.3.3.1</t>
  </si>
  <si>
    <t>2.4.3.3.2</t>
  </si>
  <si>
    <t>2.4.3.3.3</t>
  </si>
  <si>
    <t>2.4.3.3.4</t>
  </si>
  <si>
    <t>1차 통합테스트 Data Set-Up</t>
  </si>
  <si>
    <t>2.4.3.3.5</t>
  </si>
  <si>
    <t>2.4.3.3.6</t>
  </si>
  <si>
    <t>2.4.3.3.7</t>
  </si>
  <si>
    <t>2.4.3.3.8</t>
  </si>
  <si>
    <t>2차 통합테스트 Data Set-Up</t>
  </si>
  <si>
    <t>2차 통합테스트 수행</t>
  </si>
  <si>
    <t>2차 통합테스트 결과 리뷰</t>
  </si>
  <si>
    <t>2차 통합테스트 결함 조치</t>
  </si>
  <si>
    <t>SAP</t>
  </si>
  <si>
    <t>2.5.2.1.1</t>
  </si>
  <si>
    <t>2.5.2.1.2</t>
  </si>
  <si>
    <t>2.5.2.1.3</t>
  </si>
  <si>
    <t>2.5.2.2.1</t>
  </si>
  <si>
    <t>2.5.2.2.2</t>
  </si>
  <si>
    <t>2.5.2.2.3</t>
  </si>
  <si>
    <t>2.5.1.2</t>
  </si>
  <si>
    <t>2.5.1.2.1</t>
  </si>
  <si>
    <t>2.5.1.2.2</t>
  </si>
  <si>
    <t>사용자</t>
  </si>
  <si>
    <t>현장 작업자</t>
  </si>
  <si>
    <t>2.5.2.3.1</t>
  </si>
  <si>
    <t>WAS 및 App 설치</t>
  </si>
  <si>
    <t>App 가동 확인</t>
  </si>
  <si>
    <t>DB Cleansing</t>
  </si>
  <si>
    <t>기준 및 설정 정보 확인</t>
  </si>
  <si>
    <t>무선 환경(PDA)</t>
  </si>
  <si>
    <t>2.5.2.4.1</t>
  </si>
  <si>
    <t>2.5.2.3.2</t>
  </si>
  <si>
    <t>2.5.2.3.3</t>
  </si>
  <si>
    <t>재고 실사 방안 수립</t>
  </si>
  <si>
    <t>재고 실사 및 결과 확인</t>
  </si>
  <si>
    <t>시스템 재고 반영</t>
  </si>
  <si>
    <t>2.5.2.4.2</t>
  </si>
  <si>
    <t>2.5.2.4.3</t>
  </si>
  <si>
    <t>2.5.2.5</t>
  </si>
  <si>
    <t>2.5.2.6</t>
  </si>
  <si>
    <t>안정화</t>
  </si>
  <si>
    <t>매뉴얼 작성</t>
  </si>
  <si>
    <t>WMS(Mobile)</t>
  </si>
  <si>
    <t>운영전환</t>
  </si>
  <si>
    <t>2.5.2.3.4</t>
  </si>
  <si>
    <t>환경 가동 점검</t>
  </si>
  <si>
    <t>Project Room</t>
  </si>
  <si>
    <t>의사 소통</t>
  </si>
  <si>
    <t>운영자</t>
  </si>
  <si>
    <t>인터페이스(OMS/택배) 수신</t>
  </si>
  <si>
    <t>인터페이스(OMS/택배) 송신</t>
  </si>
  <si>
    <t>인터페이스(ERP) 수신</t>
  </si>
  <si>
    <t>인터페이스(ERP) 송신</t>
  </si>
  <si>
    <t>인터페이스(WCS) 수신</t>
  </si>
  <si>
    <t>인터페이스(WCS) 송신</t>
  </si>
  <si>
    <t>2.2.2.5</t>
  </si>
  <si>
    <t>2.2.2.6</t>
  </si>
  <si>
    <t>2.2.2.7</t>
  </si>
  <si>
    <t>사업장/부서/사용자</t>
  </si>
  <si>
    <t>거래처/창고/위치</t>
  </si>
  <si>
    <t>품목</t>
  </si>
  <si>
    <t>입고예정</t>
  </si>
  <si>
    <t>입고처리</t>
  </si>
  <si>
    <t>반품처리</t>
  </si>
  <si>
    <t>출고예정</t>
  </si>
  <si>
    <t>피킹지시</t>
  </si>
  <si>
    <t>피킹처리</t>
  </si>
  <si>
    <t>출고처리</t>
  </si>
  <si>
    <t>운송장출력</t>
  </si>
  <si>
    <t>재고이동</t>
  </si>
  <si>
    <t>재고조정</t>
  </si>
  <si>
    <t>예외출고</t>
  </si>
  <si>
    <t>보충처리</t>
  </si>
  <si>
    <t>재고조회(품목별)</t>
  </si>
  <si>
    <t>재고조회(창고별)</t>
  </si>
  <si>
    <t>재고조회(기간별)</t>
  </si>
  <si>
    <t>수불조회</t>
  </si>
  <si>
    <t>재고마감</t>
  </si>
  <si>
    <t>SKU생성이력</t>
  </si>
  <si>
    <t>재고실사</t>
  </si>
  <si>
    <t>실사일정등록</t>
  </si>
  <si>
    <t>실사재고등록</t>
  </si>
  <si>
    <t>재고실사비교</t>
  </si>
  <si>
    <t>입고</t>
  </si>
  <si>
    <t>피킹</t>
  </si>
  <si>
    <t>출고</t>
  </si>
  <si>
    <t>바코드조회</t>
  </si>
  <si>
    <t>보충</t>
  </si>
  <si>
    <t>재고</t>
  </si>
  <si>
    <t>개발환경세팅</t>
  </si>
  <si>
    <t>개발자회의</t>
  </si>
  <si>
    <t>2.3.1.3.1.1</t>
  </si>
  <si>
    <t>2.3.1.3.1.2</t>
  </si>
  <si>
    <t>2.3.1.3.1.3</t>
  </si>
  <si>
    <t>2.3.1.3.2.1</t>
  </si>
  <si>
    <t>2.3.1.3.2.2</t>
  </si>
  <si>
    <t>2.3.1.3.2.3</t>
  </si>
  <si>
    <t>2.3.1.3.3.1</t>
  </si>
  <si>
    <t>2.3.1.3.3.2</t>
  </si>
  <si>
    <t>2.3.1.3.3.3</t>
  </si>
  <si>
    <t>2.3.1.3.3.4</t>
  </si>
  <si>
    <t>2.3.1.3.3.5</t>
  </si>
  <si>
    <t>2.3.1.3.4</t>
  </si>
  <si>
    <t>2.3.1.3.4.1</t>
  </si>
  <si>
    <t>2.3.1.3.4.2</t>
  </si>
  <si>
    <t>2.3.1.3.4.3</t>
  </si>
  <si>
    <t>2.3.1.3.4.4</t>
  </si>
  <si>
    <t>2.3.1.3.5</t>
  </si>
  <si>
    <t>2.3.1.3.5.1</t>
  </si>
  <si>
    <t>2.3.1.3.5.2</t>
  </si>
  <si>
    <t>2.3.1.3.5.3</t>
  </si>
  <si>
    <t>2.3.1.3.5.4</t>
  </si>
  <si>
    <t>2.3.1.3.5.5</t>
  </si>
  <si>
    <t>2.3.1.3.5.6</t>
  </si>
  <si>
    <t>2.3.1.3.6</t>
  </si>
  <si>
    <t>2.3.1.3.6.1</t>
  </si>
  <si>
    <t>2.3.1.3.6.2</t>
  </si>
  <si>
    <t>2.3.1.3.6.3</t>
  </si>
  <si>
    <t>2.3.1.4</t>
  </si>
  <si>
    <t>2.3.1.4.1</t>
  </si>
  <si>
    <t>2.3.1.4.2</t>
  </si>
  <si>
    <t>2.3.1.4.3</t>
  </si>
  <si>
    <t>2.3.1.4.3.1</t>
  </si>
  <si>
    <t>2.3.1.4.3.2</t>
  </si>
  <si>
    <t>2.3.1.4.4</t>
  </si>
  <si>
    <t>2.3.1.4.4.1</t>
  </si>
  <si>
    <t>2.3.1.4.4.2</t>
  </si>
  <si>
    <t>2.3.1.4.4.3</t>
  </si>
  <si>
    <t>2.3.1.4.5</t>
  </si>
  <si>
    <t>2.3.1.5</t>
  </si>
  <si>
    <t>2.3.1.5.1</t>
  </si>
  <si>
    <t>2.3.1.5.3</t>
  </si>
  <si>
    <t>2.3.1.5.4</t>
  </si>
  <si>
    <t>발생이슈대응</t>
  </si>
  <si>
    <t>2.5.2.6.1</t>
  </si>
  <si>
    <t>2.1.1.4</t>
  </si>
  <si>
    <t>2.3.1.3.7.2</t>
  </si>
  <si>
    <t>2.3.1.3.7.3</t>
  </si>
  <si>
    <t>인터뷰(담당영업팀)</t>
  </si>
  <si>
    <t>인터뷰(물류팀)</t>
  </si>
  <si>
    <t>주문처리현황</t>
  </si>
  <si>
    <t>출고진행현황</t>
  </si>
  <si>
    <t>재고현황</t>
  </si>
  <si>
    <t>2.3.1.3.7</t>
  </si>
  <si>
    <t>2.3.1.3.7.1</t>
  </si>
  <si>
    <t>4</t>
  </si>
  <si>
    <t>3</t>
  </si>
  <si>
    <t>6</t>
  </si>
  <si>
    <t>WAS(JEUS)설치</t>
  </si>
  <si>
    <t>DataBase (SQL Server)</t>
  </si>
  <si>
    <t>응용시스템 설치</t>
  </si>
  <si>
    <t>DB Setting( Table 등)</t>
  </si>
  <si>
    <t>2.5.2.1.4</t>
  </si>
  <si>
    <t>2.5.2.1.5</t>
  </si>
  <si>
    <t>무선 환경(PDA) 점검</t>
  </si>
  <si>
    <t>시스템 모니터링</t>
  </si>
  <si>
    <t>2.2.3.1</t>
  </si>
  <si>
    <t>2.2.3.2</t>
  </si>
  <si>
    <t>데이터 코드</t>
  </si>
  <si>
    <t>테이블 정의</t>
  </si>
  <si>
    <t>초기 정보 설정</t>
  </si>
  <si>
    <t>환경 점검</t>
  </si>
  <si>
    <t>회의록</t>
  </si>
  <si>
    <t>인터뷰(SAP)</t>
  </si>
  <si>
    <t>인터뷰(OMS)</t>
  </si>
  <si>
    <t>2.1.1.5</t>
  </si>
  <si>
    <t>2.1.1.6</t>
  </si>
  <si>
    <t>가중치</t>
  </si>
  <si>
    <t>담당</t>
  </si>
  <si>
    <t>일정관리 계획</t>
  </si>
  <si>
    <t>1.2.2.3.1</t>
  </si>
  <si>
    <t>1.2.2.3.2</t>
  </si>
  <si>
    <t>단계 산출물 검토</t>
  </si>
  <si>
    <t>1.2.3.1.1</t>
  </si>
  <si>
    <t>1.2.3.1.2</t>
  </si>
  <si>
    <t>이행</t>
  </si>
  <si>
    <t>이행 계획</t>
  </si>
  <si>
    <t>1.2.3.1.3</t>
  </si>
  <si>
    <t>연동테스트 계획</t>
  </si>
  <si>
    <t>통합테스트 계획</t>
  </si>
  <si>
    <t>2.3.2.3</t>
  </si>
  <si>
    <t>2.3.2.4</t>
  </si>
  <si>
    <t>2.3.3.1</t>
  </si>
  <si>
    <t>2.3.3.2</t>
  </si>
  <si>
    <t>2.4.2.3.1</t>
  </si>
  <si>
    <t>2.4.2.3.2</t>
  </si>
  <si>
    <t>2.4.2.3.3</t>
  </si>
  <si>
    <t>2.4.2.3.4</t>
  </si>
  <si>
    <t>2.4.2.3.5</t>
  </si>
  <si>
    <t>2.4.2.3.6</t>
  </si>
  <si>
    <t>2.4.2.3.7</t>
  </si>
  <si>
    <t>2.4.2.3.8</t>
  </si>
  <si>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</si>
  <si>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</si>
  <si>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</si>
  <si>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</si>
  <si>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총작업량(A)_x000D_
Man-day</t>
  </si>
  <si>
    <t>계획작업량(B)_x000D_
Man-day</t>
  </si>
  <si>
    <t>실적기성( C )_x000D_
Man-day</t>
  </si>
  <si>
    <t>계획(B/A)</t>
  </si>
  <si>
    <t>실적(C/A)</t>
  </si>
  <si>
    <t>차이(실적-계획)</t>
  </si>
  <si>
    <t>실제시작일</t>
  </si>
  <si>
    <t>실제완료일</t>
  </si>
  <si>
    <t>실제 총작업량_x000D_
Man-day</t>
  </si>
  <si>
    <t>(담당자미지정) 요약</t>
  </si>
  <si>
    <t>총합계</t>
  </si>
  <si>
    <t>연동/통합 테스트</t>
  </si>
  <si>
    <t>단위테스트(WMS,IF) 실행</t>
  </si>
  <si>
    <t>인터페이스(ERP)</t>
  </si>
  <si>
    <t>W26</t>
  </si>
  <si>
    <t>ERP</t>
  </si>
  <si>
    <t>ERP I/F 정의서</t>
  </si>
  <si>
    <t>검수요청 및 검토</t>
  </si>
  <si>
    <t>요구사항 정의서 작성/리뷰/확정</t>
  </si>
  <si>
    <t>요구사항정의서
업무흐름도
기준정보정의서</t>
  </si>
  <si>
    <t>1차 통합테스트 수행/결함 조치</t>
  </si>
  <si>
    <t>2차 통합테스트 수행/결함 조치</t>
  </si>
  <si>
    <t>사용자/현장작업자 교육</t>
  </si>
  <si>
    <t>시스템오픈(Go-Live)</t>
  </si>
  <si>
    <t>신정</t>
    <phoneticPr fontId="2" type="noConversion"/>
  </si>
  <si>
    <t>설연휴</t>
    <phoneticPr fontId="2" type="noConversion"/>
  </si>
  <si>
    <t>삼일절</t>
    <phoneticPr fontId="2" type="noConversion"/>
  </si>
  <si>
    <t>어린이날</t>
    <phoneticPr fontId="2" type="noConversion"/>
  </si>
  <si>
    <t>석가탄신일</t>
    <phoneticPr fontId="2" type="noConversion"/>
  </si>
  <si>
    <t>현충일</t>
    <phoneticPr fontId="2" type="noConversion"/>
  </si>
  <si>
    <t>광복절</t>
    <phoneticPr fontId="2" type="noConversion"/>
  </si>
  <si>
    <t>추석연휴</t>
    <phoneticPr fontId="2" type="noConversion"/>
  </si>
  <si>
    <t>개천절</t>
    <phoneticPr fontId="2" type="noConversion"/>
  </si>
  <si>
    <t>한글날</t>
    <phoneticPr fontId="2" type="noConversion"/>
  </si>
  <si>
    <t>성탄절</t>
    <phoneticPr fontId="2" type="noConversion"/>
  </si>
  <si>
    <r>
      <t xml:space="preserve">App </t>
    </r>
    <r>
      <rPr>
        <sz val="11"/>
        <rFont val="돋움"/>
        <family val="3"/>
        <charset val="129"/>
      </rPr>
      <t>가동</t>
    </r>
    <r>
      <rPr>
        <sz val="11"/>
        <rFont val="Calibri"/>
        <family val="2"/>
      </rPr>
      <t xml:space="preserve"> </t>
    </r>
    <r>
      <rPr>
        <sz val="11"/>
        <rFont val="돋움"/>
        <family val="3"/>
        <charset val="129"/>
      </rPr>
      <t>확인</t>
    </r>
    <phoneticPr fontId="2" type="noConversion"/>
  </si>
  <si>
    <r>
      <t xml:space="preserve">ERP </t>
    </r>
    <r>
      <rPr>
        <sz val="11"/>
        <rFont val="돋움"/>
        <family val="3"/>
        <charset val="129"/>
      </rPr>
      <t>수신</t>
    </r>
    <phoneticPr fontId="2" type="noConversion"/>
  </si>
  <si>
    <r>
      <t xml:space="preserve">ERP </t>
    </r>
    <r>
      <rPr>
        <sz val="11"/>
        <rFont val="돋움"/>
        <family val="3"/>
        <charset val="129"/>
      </rPr>
      <t>송신</t>
    </r>
    <phoneticPr fontId="2" type="noConversion"/>
  </si>
  <si>
    <t>ERP</t>
    <phoneticPr fontId="2" type="noConversion"/>
  </si>
  <si>
    <t>ERP</t>
    <phoneticPr fontId="2" type="noConversion"/>
  </si>
  <si>
    <t>KICK OFF</t>
  </si>
  <si>
    <t>기준정보/시스템</t>
  </si>
  <si>
    <t>연동/통합 테스트 시나리오 검토</t>
  </si>
  <si>
    <t>프로젝트 수행</t>
  </si>
  <si>
    <t>F</t>
    <phoneticPr fontId="2" type="noConversion"/>
  </si>
  <si>
    <t>W27</t>
  </si>
  <si>
    <t>완료보고</t>
  </si>
  <si>
    <t>W28</t>
  </si>
  <si>
    <t>W29</t>
  </si>
  <si>
    <t>W30</t>
  </si>
  <si>
    <t>W31</t>
  </si>
  <si>
    <t>W32</t>
  </si>
  <si>
    <t>W33</t>
  </si>
  <si>
    <t>인터뷰(물류팀/영업/구매)</t>
  </si>
  <si>
    <t>사용자/운영자</t>
  </si>
  <si>
    <t>사용자 매뉴얼, 운영자 매뉴얼</t>
  </si>
  <si>
    <r>
      <t xml:space="preserve">XLGantt 5.0.0 ©XLWorks </t>
    </r>
    <r>
      <rPr>
        <b/>
        <sz val="9"/>
        <color rgb="FF262626"/>
        <rFont val="Calibri"/>
        <family val="2"/>
      </rPr>
      <t xml:space="preserve"> </t>
    </r>
    <r>
      <rPr>
        <b/>
        <sz val="9"/>
        <color rgb="FF262626"/>
        <rFont val="돋움"/>
        <family val="3"/>
        <charset val="129"/>
      </rPr>
      <t>일별보기</t>
    </r>
    <r>
      <rPr>
        <b/>
        <sz val="9"/>
        <color rgb="FF262626"/>
        <rFont val="Calibri"/>
        <family val="2"/>
      </rPr>
      <t xml:space="preserve">, Zoom 100%, </t>
    </r>
    <r>
      <rPr>
        <b/>
        <sz val="9"/>
        <color rgb="FF262626"/>
        <rFont val="돋움"/>
        <family val="3"/>
        <charset val="129"/>
      </rPr>
      <t>계산</t>
    </r>
    <r>
      <rPr>
        <b/>
        <sz val="9"/>
        <color rgb="FF262626"/>
        <rFont val="Calibri"/>
        <family val="2"/>
      </rPr>
      <t xml:space="preserve"> </t>
    </r>
    <r>
      <rPr>
        <b/>
        <sz val="9"/>
        <color rgb="FF262626"/>
        <rFont val="돋움"/>
        <family val="3"/>
        <charset val="129"/>
      </rPr>
      <t>옵션</t>
    </r>
    <r>
      <rPr>
        <b/>
        <sz val="9"/>
        <color rgb="FF262626"/>
        <rFont val="Calibri"/>
        <family val="2"/>
      </rPr>
      <t xml:space="preserve"> : </t>
    </r>
    <r>
      <rPr>
        <b/>
        <sz val="9"/>
        <color rgb="FF262626"/>
        <rFont val="돋움"/>
        <family val="3"/>
        <charset val="129"/>
      </rPr>
      <t>자동</t>
    </r>
  </si>
  <si>
    <t>1:English,82:Korean,999:Custom</t>
    <phoneticPr fontId="2" type="noConversion"/>
  </si>
  <si>
    <t>TODAY</t>
    <phoneticPr fontId="2" type="noConversion"/>
  </si>
  <si>
    <t>W34</t>
  </si>
  <si>
    <t>W35</t>
  </si>
  <si>
    <t>W36</t>
  </si>
  <si>
    <t>06/02
W23</t>
  </si>
  <si>
    <t>06/09
W24</t>
  </si>
  <si>
    <t>06/16
W25</t>
  </si>
  <si>
    <t>06/23
W26</t>
  </si>
  <si>
    <t>06/30
W27</t>
  </si>
  <si>
    <t>07/07
W28</t>
  </si>
  <si>
    <t>07/14
W29</t>
  </si>
  <si>
    <t>07/21
W30</t>
  </si>
  <si>
    <t>G</t>
  </si>
  <si>
    <t>1.2.3</t>
  </si>
  <si>
    <t>07/28
W31</t>
  </si>
  <si>
    <t>08/04
W32</t>
  </si>
  <si>
    <t>08/11
W33</t>
  </si>
  <si>
    <t>08/18
W34</t>
  </si>
  <si>
    <t>08/25
W35</t>
  </si>
  <si>
    <t>09/01
W36</t>
  </si>
  <si>
    <t>09/08
W37</t>
  </si>
  <si>
    <t>09/15
W38</t>
  </si>
  <si>
    <t>09/22
W39</t>
  </si>
  <si>
    <t>09/29
W40</t>
  </si>
  <si>
    <t>10/06
W41</t>
  </si>
  <si>
    <t>10/13
W42</t>
  </si>
  <si>
    <t>10/20
W43</t>
  </si>
  <si>
    <t>10/27
W44</t>
  </si>
  <si>
    <t>11/03
W45</t>
  </si>
  <si>
    <t>11/10
W46</t>
  </si>
  <si>
    <t>11/17
W47</t>
  </si>
  <si>
    <t>11/24
W48</t>
  </si>
  <si>
    <t>12/01
W49</t>
  </si>
  <si>
    <t>12/08
W50</t>
  </si>
  <si>
    <t>12/15
W51</t>
  </si>
  <si>
    <t>12/22
W52</t>
  </si>
  <si>
    <t>12/29
W53</t>
  </si>
  <si>
    <t>01/05
W2</t>
  </si>
  <si>
    <t>01/12
W3</t>
  </si>
  <si>
    <t>01/19
W4</t>
  </si>
  <si>
    <t>01/26
W5</t>
  </si>
  <si>
    <t>02/02
W6</t>
  </si>
  <si>
    <t>인터페이스(OMS)</t>
  </si>
  <si>
    <t>인터페이스(TMS)</t>
  </si>
  <si>
    <t>프로그램설계(UI)</t>
  </si>
  <si>
    <t>OMS</t>
  </si>
  <si>
    <t>TMS</t>
  </si>
  <si>
    <t>대통령선거</t>
    <phoneticPr fontId="2" type="noConversion"/>
  </si>
  <si>
    <t>재고/재고실사</t>
  </si>
  <si>
    <t>1.4</t>
  </si>
  <si>
    <t>1.4.1</t>
  </si>
  <si>
    <t>1.4.1.1</t>
  </si>
  <si>
    <t>1.4.1.2</t>
  </si>
  <si>
    <t>1.4.2</t>
  </si>
  <si>
    <t>1.4.2.1</t>
  </si>
  <si>
    <t>1.5</t>
  </si>
  <si>
    <t>1.5.1</t>
  </si>
  <si>
    <t>1.5.1.1</t>
  </si>
  <si>
    <t>1.5.1.2</t>
  </si>
  <si>
    <t>1.5.1.3</t>
  </si>
  <si>
    <t>1.5.1.4</t>
  </si>
  <si>
    <t>1.5.2</t>
  </si>
  <si>
    <t>1.5.2.1</t>
  </si>
  <si>
    <t>1.6</t>
  </si>
  <si>
    <t>1.6.1</t>
  </si>
  <si>
    <t>1.6.1.1</t>
  </si>
  <si>
    <t>1.6.1.2</t>
  </si>
  <si>
    <t>1.6.1.3</t>
  </si>
  <si>
    <t>1.6.1.3.1</t>
  </si>
  <si>
    <t>1.6.1.3.2</t>
  </si>
  <si>
    <t>1.6.1.3.3</t>
  </si>
  <si>
    <t>1.6.1.3.4</t>
  </si>
  <si>
    <t>1.6.1.3.5</t>
  </si>
  <si>
    <t>1.6.1.3.6</t>
  </si>
  <si>
    <t>1.6.1.4</t>
  </si>
  <si>
    <t>1.6.1.4.1</t>
  </si>
  <si>
    <t>1.6.1.4.2</t>
  </si>
  <si>
    <t>1.6.1.4.3</t>
  </si>
  <si>
    <t>1.6.1.5</t>
  </si>
  <si>
    <t>1.6.1.5.1</t>
  </si>
  <si>
    <t>1.6.1.5.2</t>
  </si>
  <si>
    <t>1.6.1.5.3</t>
  </si>
  <si>
    <t>1.6.2</t>
  </si>
  <si>
    <t>1.6.2.1</t>
  </si>
  <si>
    <t>1.6.2.2</t>
  </si>
  <si>
    <t>1.6.3</t>
  </si>
  <si>
    <t>1.6.3.1</t>
  </si>
  <si>
    <t>1.7</t>
  </si>
  <si>
    <t>1.7.1</t>
  </si>
  <si>
    <t>1.7.1.1</t>
  </si>
  <si>
    <t>1.7.1.2</t>
  </si>
  <si>
    <t>1.7.1.3</t>
  </si>
  <si>
    <t>1.8</t>
  </si>
  <si>
    <t>1.8.1</t>
  </si>
  <si>
    <t>1.8.1.1</t>
  </si>
  <si>
    <t>1.8.2</t>
  </si>
  <si>
    <t>1.8.2.1</t>
  </si>
  <si>
    <t>1.8.2.1.1</t>
  </si>
  <si>
    <t>1.8.2.2</t>
  </si>
  <si>
    <t>1.8.2.2.1</t>
  </si>
  <si>
    <t>1.8.2.2.2</t>
  </si>
  <si>
    <t>1.8.2.2.3</t>
  </si>
  <si>
    <t>1.8.2.3</t>
  </si>
  <si>
    <t>1.8.2.4</t>
  </si>
  <si>
    <t>1.8.2.4.1</t>
  </si>
  <si>
    <t>OMS I/F 정의서</t>
  </si>
  <si>
    <t>TMS I/F 정의서</t>
  </si>
  <si>
    <t>프로그램목록
화면설계서</t>
  </si>
  <si>
    <t>사업수행계획서</t>
  </si>
  <si>
    <t>중간보고서</t>
  </si>
  <si>
    <t>완료보고서</t>
  </si>
  <si>
    <t>통합테스트 보고서</t>
  </si>
  <si>
    <t>단위테스트 보고서</t>
  </si>
  <si>
    <t>프로그램 소스, 코드 목록</t>
  </si>
  <si>
    <t>프로젝트 진척율 - 일정변경 관리할때</t>
    <phoneticPr fontId="4" type="noConversion"/>
  </si>
  <si>
    <t>산출물</t>
    <phoneticPr fontId="4" type="noConversion"/>
  </si>
  <si>
    <t>{"TASK_FIRST_COL":"5","START_ROW":"5","WBS_AREA_LAST_COL":"31"}</t>
    <phoneticPr fontId="2" type="noConversion"/>
  </si>
  <si>
    <t>작업*</t>
    <phoneticPr fontId="4" type="noConversion"/>
  </si>
  <si>
    <t>시작일*</t>
    <phoneticPr fontId="4" type="noConversion"/>
  </si>
  <si>
    <t>실제_x000D_
총기간</t>
    <phoneticPr fontId="4" type="noConversion"/>
  </si>
  <si>
    <t>가중치</t>
    <phoneticPr fontId="4" type="noConversion"/>
  </si>
  <si>
    <t>실적*</t>
    <phoneticPr fontId="4" type="noConversion"/>
  </si>
  <si>
    <t>실적기성(총기간 x 총실적진행율)</t>
    <phoneticPr fontId="4" type="noConversion"/>
  </si>
  <si>
    <t>계획</t>
    <phoneticPr fontId="4" type="noConversion"/>
  </si>
  <si>
    <t>WBS</t>
    <phoneticPr fontId="4" type="noConversion"/>
  </si>
  <si>
    <t>총_x000D_
기간</t>
    <phoneticPr fontId="4" type="noConversion"/>
  </si>
  <si>
    <t>계획_x000D_
기간</t>
    <phoneticPr fontId="4" type="noConversion"/>
  </si>
  <si>
    <t>실제_x000D_
시작일</t>
    <phoneticPr fontId="4" type="noConversion"/>
  </si>
  <si>
    <t>담당</t>
    <phoneticPr fontId="4" type="noConversion"/>
  </si>
  <si>
    <t>계획_x000D_
작업량</t>
    <phoneticPr fontId="4" type="noConversion"/>
  </si>
  <si>
    <t>실제_x000D_
완료일</t>
    <phoneticPr fontId="4" type="noConversion"/>
  </si>
  <si>
    <t>실제_x000D_
총작업량</t>
    <phoneticPr fontId="4" type="noConversion"/>
  </si>
  <si>
    <t>reserved</t>
    <phoneticPr fontId="4" type="noConversion"/>
  </si>
  <si>
    <t>task_group</t>
    <phoneticPr fontId="4" type="noConversion"/>
  </si>
  <si>
    <t>비고</t>
    <phoneticPr fontId="4" type="noConversion"/>
  </si>
  <si>
    <t>Calendar</t>
    <phoneticPr fontId="4" type="noConversion"/>
  </si>
  <si>
    <t>SCHEDULE_SHEET_POSITION:3545151617181920212223242526272829303132</t>
    <phoneticPr fontId="2" type="noConversion"/>
  </si>
  <si>
    <t>wbs_level</t>
    <phoneticPr fontId="4" type="noConversion"/>
  </si>
  <si>
    <t>완료일*</t>
    <phoneticPr fontId="4" type="noConversion"/>
  </si>
  <si>
    <t>총_x000D_
작업량</t>
    <phoneticPr fontId="4" type="noConversion"/>
  </si>
  <si>
    <t>실적기성</t>
    <phoneticPr fontId="4" type="noConversion"/>
  </si>
  <si>
    <t>WMS 구축</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</si>
</sst>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62">
    <font>
      <sz val="11"/>
      <color theme="1"/>
      <name val="맑은 고딕"/>
      <family val="2"/>
      <scheme val="minor"/>
    </font>
    <font>
      <sz val="11"/>
      <color theme="1"/>
      <name val="맑은 고딕"/>
      <family val="2"/>
      <charset val="129"/>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sz val="11"/>
      <name val="돋움"/>
      <family val="3"/>
      <charset val="129"/>
    </font>
    <font>
      <sz val="9"/>
      <color theme="1"/>
      <name val="맑은 고딕"/>
      <family val="3"/>
      <charset val="129"/>
      <scheme val="minor"/>
    </font>
    <font>
      <sz val="9"/>
      <color rgb="FF262626"/>
      <name val="Calibri"/>
      <family val="2"/>
    </font>
    <font>
      <sz val="8"/>
      <color rgb="FF262626"/>
      <name val="Calibri"/>
      <family val="2"/>
    </font>
    <font>
      <b/>
      <sz val="16"/>
      <color rgb="FF404040"/>
      <name val="맑은 고딕"/>
      <family val="3"/>
      <charset val="129"/>
      <scheme val="minor"/>
    </font>
    <font>
      <b/>
      <sz val="12"/>
      <color rgb="FF404040"/>
      <name val="맑은 고딕"/>
      <family val="3"/>
      <charset val="129"/>
      <scheme val="minor"/>
    </font>
    <font>
      <b/>
      <sz val="14"/>
      <color rgb="FF404040"/>
      <name val="맑은 고딕"/>
      <family val="3"/>
      <charset val="129"/>
      <scheme val="minor"/>
    </font>
    <font>
      <sz val="11"/>
      <color rgb="FF404040"/>
      <name val="맑은 고딕"/>
      <family val="3"/>
      <charset val="129"/>
      <scheme val="minor"/>
    </font>
    <font>
      <b/>
      <sz val="10"/>
      <color rgb="FF404040"/>
      <name val="맑은 고딕"/>
      <family val="3"/>
      <charset val="129"/>
      <scheme val="minor"/>
    </font>
    <font>
      <sz val="9"/>
      <color rgb="FF404040"/>
      <name val="맑은 고딕"/>
      <family val="3"/>
      <charset val="129"/>
      <scheme val="minor"/>
    </font>
    <font>
      <b/>
      <sz val="9"/>
      <color rgb="FF404040"/>
      <name val="맑은 고딕"/>
      <family val="3"/>
      <charset val="129"/>
      <scheme val="minor"/>
    </font>
    <font>
      <b/>
      <sz val="9"/>
      <color rgb="FF262626"/>
      <name val="Calibri"/>
      <family val="2"/>
    </font>
    <font>
      <b/>
      <sz val="9"/>
      <color rgb="FF262626"/>
      <name val="돋움"/>
      <family val="3"/>
      <charset val="129"/>
    </font>
    <font>
      <b/>
      <sz val="20"/>
      <color rgb="FF262626"/>
      <name val="Calibri"/>
      <family val="2"/>
    </font>
    <font>
      <b/>
      <sz val="11"/>
      <name val="Calibri"/>
      <family val="2"/>
    </font>
    <font>
      <sz val="11"/>
      <color rgb="FFFF0000"/>
      <name val="Calibri"/>
      <family val="2"/>
    </font>
    <font>
      <b/>
      <sz val="9"/>
      <name val="맑은 고딕"/>
      <family val="3"/>
      <charset val="129"/>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262626"/>
        <bgColor indexed="64"/>
      </patternFill>
    </fill>
    <fill>
      <patternFill patternType="solid">
        <fgColor rgb="FF808080"/>
        <bgColor indexed="64"/>
      </patternFill>
    </fill>
    <fill>
      <patternFill patternType="solid">
        <fgColor theme="3" tint="0.79995117038483843"/>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tint="-0.1498764000366222"/>
      </left>
      <right style="thin">
        <color theme="0" tint="-0.1498764000366222"/>
      </right>
      <top/>
      <bottom style="thin">
        <color theme="0" tint="-0.1498764000366222"/>
      </bottom>
      <diagonal/>
    </border>
  </borders>
  <cellStyleXfs count="5">
    <xf numFmtId="0" fontId="0" fillId="0" borderId="0"/>
    <xf numFmtId="0" fontId="3" fillId="0" borderId="0" applyNumberFormat="0" applyFill="0" applyBorder="0" applyAlignment="0" applyProtection="0"/>
    <xf numFmtId="9" fontId="31" fillId="0" borderId="0" applyFont="0" applyFill="0" applyBorder="0" applyAlignment="0" applyProtection="0">
      <alignment vertical="center"/>
    </xf>
    <xf numFmtId="0" fontId="45" fillId="0" borderId="0"/>
    <xf numFmtId="0" fontId="1" fillId="0" borderId="0">
      <alignment vertical="center"/>
    </xf>
  </cellStyleXfs>
  <cellXfs count="311">
    <xf numFmtId="0" fontId="0" fillId="0" borderId="0" xfId="0"/>
    <xf numFmtId="0" fontId="6" fillId="0" borderId="0" xfId="0" applyFont="1" applyFill="1" applyBorder="1" applyAlignment="1">
      <alignment vertical="center"/>
    </xf>
    <xf numFmtId="0" fontId="5" fillId="0" borderId="0" xfId="0" applyFont="1" applyFill="1" applyBorder="1" applyAlignment="1">
      <alignment vertical="center"/>
    </xf>
    <xf numFmtId="14" fontId="7" fillId="0" borderId="0" xfId="0" applyNumberFormat="1" applyFont="1" applyFill="1" applyBorder="1" applyAlignment="1" applyProtection="1">
      <alignment vertical="center"/>
    </xf>
    <xf numFmtId="14" fontId="8" fillId="0" borderId="0" xfId="0" applyNumberFormat="1" applyFont="1" applyFill="1" applyBorder="1" applyAlignment="1" applyProtection="1">
      <alignment vertical="center"/>
    </xf>
    <xf numFmtId="14" fontId="9" fillId="2" borderId="0" xfId="0" quotePrefix="1" applyNumberFormat="1" applyFont="1" applyFill="1" applyBorder="1" applyProtection="1"/>
    <xf numFmtId="14" fontId="9" fillId="2" borderId="0" xfId="0" applyNumberFormat="1" applyFont="1" applyFill="1" applyBorder="1" applyAlignment="1" applyProtection="1">
      <alignment vertical="center"/>
    </xf>
    <xf numFmtId="0" fontId="9" fillId="2" borderId="0" xfId="0" applyFont="1" applyFill="1" applyBorder="1" applyProtection="1"/>
    <xf numFmtId="176" fontId="11" fillId="2" borderId="0" xfId="0" applyNumberFormat="1" applyFont="1" applyFill="1" applyBorder="1" applyAlignment="1" applyProtection="1">
      <alignment vertical="center"/>
      <protection locked="0"/>
    </xf>
    <xf numFmtId="14" fontId="10" fillId="2" borderId="0" xfId="0" applyNumberFormat="1" applyFont="1" applyFill="1" applyBorder="1" applyAlignment="1" applyProtection="1">
      <alignment vertical="center"/>
    </xf>
    <xf numFmtId="14" fontId="9" fillId="0" borderId="6" xfId="0" applyNumberFormat="1" applyFont="1" applyFill="1" applyBorder="1" applyAlignment="1" applyProtection="1">
      <alignment vertical="top"/>
      <protection locked="0"/>
    </xf>
    <xf numFmtId="14" fontId="9" fillId="0" borderId="6" xfId="0" applyNumberFormat="1" applyFont="1" applyFill="1" applyBorder="1" applyAlignment="1" applyProtection="1">
      <alignment vertical="center"/>
      <protection locked="0"/>
    </xf>
    <xf numFmtId="0" fontId="9" fillId="0" borderId="6" xfId="0" applyFont="1" applyFill="1" applyBorder="1" applyAlignment="1" applyProtection="1">
      <alignment vertical="top"/>
      <protection locked="0"/>
    </xf>
    <xf numFmtId="0" fontId="9" fillId="0" borderId="6" xfId="0" applyFont="1" applyFill="1" applyBorder="1" applyAlignment="1" applyProtection="1">
      <alignment vertical="center" wrapText="1"/>
      <protection locked="0"/>
    </xf>
    <xf numFmtId="0" fontId="9" fillId="0" borderId="6" xfId="0" applyFont="1" applyFill="1" applyBorder="1" applyAlignment="1" applyProtection="1">
      <alignment vertical="center"/>
      <protection locked="0"/>
    </xf>
    <xf numFmtId="0" fontId="9" fillId="0" borderId="0" xfId="0" applyFont="1" applyFill="1" applyBorder="1" applyAlignment="1" applyProtection="1">
      <alignment vertical="top"/>
      <protection locked="0"/>
    </xf>
    <xf numFmtId="14" fontId="12" fillId="0" borderId="0" xfId="0" applyNumberFormat="1" applyFont="1" applyFill="1" applyBorder="1" applyAlignment="1" applyProtection="1">
      <alignment horizontal="right" vertical="top"/>
      <protection locked="0"/>
    </xf>
    <xf numFmtId="179" fontId="9" fillId="4" borderId="7" xfId="0" applyNumberFormat="1" applyFont="1" applyFill="1" applyBorder="1" applyAlignment="1" applyProtection="1">
      <alignment vertical="center"/>
      <protection locked="0"/>
    </xf>
    <xf numFmtId="14" fontId="12" fillId="0" borderId="8" xfId="0" applyNumberFormat="1" applyFont="1" applyFill="1" applyBorder="1" applyAlignment="1" applyProtection="1">
      <alignment horizontal="right" vertical="top"/>
      <protection locked="0"/>
    </xf>
    <xf numFmtId="14" fontId="9" fillId="0" borderId="8" xfId="0" applyNumberFormat="1" applyFont="1" applyFill="1" applyBorder="1" applyAlignment="1" applyProtection="1">
      <alignment vertical="center"/>
      <protection locked="0"/>
    </xf>
    <xf numFmtId="0" fontId="9" fillId="0" borderId="8" xfId="0" applyFont="1" applyFill="1" applyBorder="1" applyAlignment="1" applyProtection="1">
      <alignment vertical="top"/>
      <protection locked="0"/>
    </xf>
    <xf numFmtId="0" fontId="9" fillId="0" borderId="8" xfId="0" applyFont="1" applyFill="1" applyBorder="1" applyAlignment="1" applyProtection="1">
      <alignment vertical="center"/>
      <protection locked="0"/>
    </xf>
    <xf numFmtId="14" fontId="12" fillId="0" borderId="0" xfId="0" applyNumberFormat="1" applyFont="1" applyFill="1" applyBorder="1" applyAlignment="1" applyProtection="1">
      <alignment vertical="top"/>
      <protection locked="0"/>
    </xf>
    <xf numFmtId="14" fontId="9" fillId="0" borderId="0" xfId="0" applyNumberFormat="1" applyFont="1" applyFill="1" applyBorder="1" applyAlignment="1" applyProtection="1">
      <alignment vertical="center"/>
      <protection locked="0"/>
    </xf>
    <xf numFmtId="0" fontId="9" fillId="0" borderId="9" xfId="0" applyFont="1" applyFill="1" applyBorder="1" applyAlignment="1" applyProtection="1">
      <alignment vertical="center" wrapText="1"/>
      <protection locked="0"/>
    </xf>
    <xf numFmtId="14" fontId="9" fillId="0" borderId="0" xfId="0" applyNumberFormat="1" applyFont="1" applyFill="1" applyBorder="1" applyAlignment="1" applyProtection="1">
      <alignment vertical="top"/>
      <protection locked="0"/>
    </xf>
    <xf numFmtId="14" fontId="12" fillId="0" borderId="8" xfId="0" applyNumberFormat="1" applyFont="1" applyFill="1" applyBorder="1" applyAlignment="1" applyProtection="1">
      <alignment vertical="top"/>
      <protection locked="0"/>
    </xf>
    <xf numFmtId="0" fontId="9" fillId="0" borderId="8" xfId="0" applyFont="1" applyFill="1" applyBorder="1" applyAlignment="1" applyProtection="1">
      <alignment vertical="center" wrapText="1"/>
      <protection locked="0"/>
    </xf>
    <xf numFmtId="14" fontId="12" fillId="0" borderId="9" xfId="0" applyNumberFormat="1" applyFont="1" applyFill="1" applyBorder="1" applyAlignment="1" applyProtection="1">
      <alignment vertical="center" wrapText="1"/>
      <protection locked="0"/>
    </xf>
    <xf numFmtId="14" fontId="12" fillId="0" borderId="0" xfId="0" applyNumberFormat="1" applyFont="1" applyFill="1" applyBorder="1" applyAlignment="1" applyProtection="1">
      <alignment horizontal="right" vertical="center" wrapText="1"/>
      <protection locked="0"/>
    </xf>
    <xf numFmtId="14" fontId="12" fillId="0" borderId="8" xfId="0" applyNumberFormat="1" applyFont="1" applyFill="1" applyBorder="1" applyAlignment="1" applyProtection="1">
      <alignment vertical="center" wrapText="1"/>
      <protection locked="0"/>
    </xf>
    <xf numFmtId="0" fontId="9" fillId="0" borderId="8" xfId="0" applyFont="1" applyFill="1" applyBorder="1" applyProtection="1">
      <protection locked="0"/>
    </xf>
    <xf numFmtId="0" fontId="9" fillId="0" borderId="0" xfId="0" applyFont="1" applyFill="1" applyBorder="1" applyProtection="1">
      <protection locked="0"/>
    </xf>
    <xf numFmtId="14" fontId="9" fillId="0" borderId="0" xfId="0" applyNumberFormat="1" applyFont="1" applyFill="1" applyBorder="1" applyProtection="1">
      <protection locked="0"/>
    </xf>
    <xf numFmtId="14" fontId="9" fillId="0" borderId="9" xfId="0" applyNumberFormat="1" applyFont="1" applyFill="1" applyBorder="1" applyAlignment="1" applyProtection="1">
      <alignment vertical="center"/>
      <protection locked="0"/>
    </xf>
    <xf numFmtId="0" fontId="9" fillId="0" borderId="9" xfId="0" applyFont="1" applyFill="1" applyBorder="1" applyProtection="1">
      <protection locked="0"/>
    </xf>
    <xf numFmtId="14" fontId="9" fillId="0" borderId="10" xfId="0" applyNumberFormat="1" applyFont="1" applyFill="1" applyBorder="1" applyAlignment="1" applyProtection="1">
      <alignment vertical="center"/>
      <protection locked="0"/>
    </xf>
    <xf numFmtId="0" fontId="9" fillId="0" borderId="10" xfId="0" applyFont="1" applyFill="1" applyBorder="1" applyAlignment="1" applyProtection="1">
      <alignment vertical="top"/>
      <protection locked="0"/>
    </xf>
    <xf numFmtId="14" fontId="12" fillId="0" borderId="9" xfId="0" applyNumberFormat="1" applyFont="1" applyFill="1" applyBorder="1" applyProtection="1">
      <protection locked="0"/>
    </xf>
    <xf numFmtId="10" fontId="9" fillId="4" borderId="7" xfId="0" applyNumberFormat="1" applyFont="1" applyFill="1" applyBorder="1" applyAlignment="1" applyProtection="1">
      <alignment vertical="center"/>
      <protection locked="0"/>
    </xf>
    <xf numFmtId="14" fontId="12" fillId="0" borderId="10" xfId="0" applyNumberFormat="1" applyFont="1" applyFill="1" applyBorder="1" applyAlignment="1" applyProtection="1">
      <alignment horizontal="right" vertical="top"/>
      <protection locked="0"/>
    </xf>
    <xf numFmtId="14" fontId="12" fillId="0" borderId="6" xfId="0" applyNumberFormat="1" applyFont="1" applyFill="1" applyBorder="1" applyAlignment="1" applyProtection="1">
      <alignment horizontal="right" vertical="top"/>
      <protection locked="0"/>
    </xf>
    <xf numFmtId="14" fontId="12" fillId="0" borderId="11" xfId="0" applyNumberFormat="1" applyFont="1" applyFill="1" applyBorder="1" applyAlignment="1" applyProtection="1">
      <alignment horizontal="right" vertical="top"/>
      <protection locked="0"/>
    </xf>
    <xf numFmtId="14" fontId="9" fillId="0" borderId="11" xfId="0" applyNumberFormat="1" applyFont="1" applyFill="1" applyBorder="1" applyAlignment="1" applyProtection="1">
      <alignment vertical="center"/>
      <protection locked="0"/>
    </xf>
    <xf numFmtId="0" fontId="9" fillId="0" borderId="11" xfId="0" applyFont="1" applyFill="1" applyBorder="1" applyAlignment="1" applyProtection="1">
      <alignment vertical="top"/>
      <protection locked="0"/>
    </xf>
    <xf numFmtId="14" fontId="12" fillId="0" borderId="12" xfId="0" applyNumberFormat="1" applyFont="1" applyFill="1" applyBorder="1" applyAlignment="1" applyProtection="1">
      <alignment vertical="top"/>
      <protection locked="0"/>
    </xf>
    <xf numFmtId="14" fontId="9" fillId="0" borderId="12" xfId="0" applyNumberFormat="1" applyFont="1" applyFill="1" applyBorder="1" applyAlignment="1" applyProtection="1">
      <alignment vertical="center"/>
      <protection locked="0"/>
    </xf>
    <xf numFmtId="0" fontId="9" fillId="0" borderId="12" xfId="0" applyFont="1" applyFill="1" applyBorder="1" applyAlignment="1" applyProtection="1">
      <alignment vertical="top"/>
      <protection locked="0"/>
    </xf>
    <xf numFmtId="0" fontId="9" fillId="0" borderId="9" xfId="0" applyFont="1" applyFill="1" applyBorder="1" applyAlignment="1" applyProtection="1">
      <alignment vertical="center"/>
      <protection locked="0"/>
    </xf>
    <xf numFmtId="10" fontId="9" fillId="4" borderId="7" xfId="0" applyNumberFormat="1" applyFont="1" applyFill="1" applyBorder="1" applyAlignment="1" applyProtection="1">
      <alignment vertical="center"/>
    </xf>
    <xf numFmtId="14" fontId="9" fillId="0" borderId="13" xfId="0" applyNumberFormat="1" applyFont="1" applyFill="1" applyBorder="1" applyAlignment="1" applyProtection="1">
      <alignment horizontal="right" vertical="top"/>
      <protection locked="0"/>
    </xf>
    <xf numFmtId="14" fontId="9" fillId="0" borderId="13" xfId="0" applyNumberFormat="1" applyFont="1" applyFill="1" applyBorder="1" applyAlignment="1" applyProtection="1">
      <alignment vertical="center"/>
      <protection locked="0"/>
    </xf>
    <xf numFmtId="0" fontId="9" fillId="0" borderId="13" xfId="0" applyFont="1" applyFill="1" applyBorder="1" applyAlignment="1" applyProtection="1">
      <alignment vertical="top"/>
      <protection locked="0"/>
    </xf>
    <xf numFmtId="0" fontId="9" fillId="0" borderId="13" xfId="0" applyFont="1" applyFill="1" applyBorder="1" applyAlignment="1" applyProtection="1">
      <alignment vertical="center"/>
      <protection locked="0"/>
    </xf>
    <xf numFmtId="14" fontId="8"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8" fillId="0" borderId="0" xfId="0" applyNumberFormat="1" applyFont="1" applyFill="1" applyBorder="1" applyProtection="1">
      <protection locked="0"/>
    </xf>
    <xf numFmtId="179" fontId="8" fillId="0" borderId="0" xfId="0" applyNumberFormat="1" applyFont="1" applyFill="1" applyBorder="1" applyAlignment="1" applyProtection="1">
      <alignment vertical="center"/>
      <protection locked="0"/>
    </xf>
    <xf numFmtId="0" fontId="8" fillId="0" borderId="0" xfId="0" applyFont="1" applyFill="1" applyBorder="1" applyProtection="1">
      <protection locked="0"/>
    </xf>
    <xf numFmtId="1" fontId="8" fillId="0" borderId="0" xfId="0" applyNumberFormat="1" applyFont="1" applyFill="1" applyBorder="1" applyAlignment="1" applyProtection="1">
      <alignment vertical="center"/>
      <protection locked="0"/>
    </xf>
    <xf numFmtId="176" fontId="8" fillId="0" borderId="0" xfId="0" applyNumberFormat="1" applyFont="1" applyFill="1" applyBorder="1" applyAlignment="1" applyProtection="1">
      <alignment vertical="center"/>
      <protection locked="0"/>
    </xf>
    <xf numFmtId="0" fontId="6" fillId="0" borderId="0" xfId="0" applyFont="1" applyFill="1" applyBorder="1" applyAlignment="1">
      <alignment vertical="center"/>
    </xf>
    <xf numFmtId="0" fontId="8" fillId="5" borderId="1" xfId="0" applyFont="1" applyFill="1" applyBorder="1" applyAlignment="1">
      <alignment horizontal="left" wrapText="1"/>
    </xf>
    <xf numFmtId="14" fontId="8" fillId="0" borderId="0" xfId="0" applyNumberFormat="1" applyFont="1" applyFill="1" applyProtection="1"/>
    <xf numFmtId="14" fontId="8" fillId="2" borderId="0" xfId="0" applyNumberFormat="1" applyFont="1" applyFill="1" applyAlignment="1" applyProtection="1">
      <alignment vertical="top"/>
    </xf>
    <xf numFmtId="14" fontId="14" fillId="3" borderId="14" xfId="0" applyNumberFormat="1" applyFont="1" applyFill="1" applyBorder="1" applyAlignment="1" applyProtection="1">
      <alignment horizontal="center" vertical="center"/>
    </xf>
    <xf numFmtId="14" fontId="8" fillId="0" borderId="0" xfId="0" applyNumberFormat="1" applyFont="1" applyAlignment="1" applyProtection="1">
      <alignment horizontal="center" vertical="center"/>
    </xf>
    <xf numFmtId="14" fontId="8" fillId="0" borderId="0" xfId="0" applyNumberFormat="1" applyFont="1" applyProtection="1"/>
    <xf numFmtId="0" fontId="9" fillId="7" borderId="15" xfId="0" applyFont="1" applyFill="1" applyBorder="1" applyAlignment="1">
      <alignment horizontal="left" vertical="top"/>
    </xf>
    <xf numFmtId="0" fontId="9" fillId="0" borderId="0" xfId="0" applyFont="1" applyFill="1" applyAlignment="1">
      <alignment horizontal="left" vertical="top"/>
    </xf>
    <xf numFmtId="0" fontId="9" fillId="0" borderId="0" xfId="0" applyFont="1" applyFill="1" applyBorder="1" applyAlignment="1">
      <alignment vertical="top"/>
    </xf>
    <xf numFmtId="0" fontId="9" fillId="0" borderId="0" xfId="0" applyFont="1" applyFill="1" applyAlignment="1">
      <alignment vertical="top"/>
    </xf>
    <xf numFmtId="14" fontId="9" fillId="0" borderId="0" xfId="0" applyNumberFormat="1" applyFont="1" applyFill="1" applyAlignment="1">
      <alignment horizontal="left" vertical="top"/>
    </xf>
    <xf numFmtId="22" fontId="9" fillId="0" borderId="0" xfId="0" applyNumberFormat="1" applyFont="1" applyFill="1" applyAlignment="1">
      <alignment horizontal="left" vertical="top"/>
    </xf>
    <xf numFmtId="0" fontId="8" fillId="5" borderId="2" xfId="0" applyFont="1" applyFill="1" applyBorder="1" applyAlignment="1">
      <alignment horizontal="left" wrapText="1"/>
    </xf>
    <xf numFmtId="0" fontId="8" fillId="0" borderId="0" xfId="0" applyNumberFormat="1" applyFont="1" applyBorder="1"/>
    <xf numFmtId="14" fontId="17" fillId="6" borderId="14" xfId="0" applyNumberFormat="1" applyFont="1" applyFill="1" applyBorder="1" applyProtection="1">
      <protection locked="0"/>
    </xf>
    <xf numFmtId="14" fontId="17" fillId="0" borderId="14" xfId="0" applyNumberFormat="1" applyFont="1" applyBorder="1" applyProtection="1">
      <protection locked="0"/>
    </xf>
    <xf numFmtId="14" fontId="17" fillId="0" borderId="0" xfId="0" applyNumberFormat="1" applyFont="1" applyProtection="1"/>
    <xf numFmtId="14" fontId="17" fillId="6" borderId="14" xfId="0" applyNumberFormat="1" applyFont="1" applyFill="1" applyBorder="1" applyProtection="1">
      <protection locked="0"/>
    </xf>
    <xf numFmtId="14" fontId="17" fillId="0" borderId="14" xfId="0" applyNumberFormat="1" applyFont="1" applyBorder="1" applyProtection="1">
      <protection locked="0"/>
    </xf>
    <xf numFmtId="0" fontId="20" fillId="0" borderId="0" xfId="0" applyFont="1"/>
    <xf numFmtId="14" fontId="17" fillId="0" borderId="14" xfId="0" applyNumberFormat="1" applyFont="1" applyBorder="1" applyProtection="1"/>
    <xf numFmtId="0" fontId="22" fillId="0" borderId="0" xfId="0" applyFont="1"/>
    <xf numFmtId="0" fontId="9" fillId="0" borderId="0" xfId="0" applyFont="1" applyProtection="1">
      <protection locked="0"/>
    </xf>
    <xf numFmtId="0" fontId="9" fillId="0" borderId="0" xfId="0" applyFont="1" applyAlignment="1" applyProtection="1">
      <alignment horizontal="center"/>
      <protection locked="0"/>
    </xf>
    <xf numFmtId="0" fontId="23" fillId="0" borderId="0" xfId="0" applyFont="1" applyAlignment="1" applyProtection="1">
      <alignment horizontal="center"/>
      <protection locked="0"/>
    </xf>
    <xf numFmtId="0" fontId="24" fillId="0" borderId="0" xfId="0" applyFont="1" applyProtection="1">
      <protection locked="0"/>
    </xf>
    <xf numFmtId="0" fontId="9" fillId="0" borderId="0" xfId="0" applyFont="1" applyAlignment="1" applyProtection="1">
      <alignment vertical="center"/>
      <protection locked="0"/>
    </xf>
    <xf numFmtId="0" fontId="25" fillId="11" borderId="17" xfId="1" applyFont="1" applyFill="1" applyBorder="1" applyAlignment="1" applyProtection="1">
      <alignment horizontal="center" vertical="center" wrapText="1"/>
      <protection locked="0"/>
    </xf>
    <xf numFmtId="0" fontId="25" fillId="10" borderId="17" xfId="1" applyFont="1" applyFill="1" applyBorder="1" applyAlignment="1" applyProtection="1">
      <alignment horizontal="center" vertical="center" wrapText="1"/>
      <protection locked="0"/>
    </xf>
    <xf numFmtId="0" fontId="25" fillId="12" borderId="17" xfId="1" applyFont="1" applyFill="1" applyBorder="1" applyAlignment="1" applyProtection="1">
      <alignment horizontal="center" vertical="center" wrapText="1"/>
      <protection locked="0"/>
    </xf>
    <xf numFmtId="0" fontId="25" fillId="13"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6" fillId="9" borderId="17" xfId="1" applyFont="1" applyFill="1" applyBorder="1" applyAlignment="1" applyProtection="1">
      <alignment horizontal="center" vertical="center" wrapText="1"/>
      <protection locked="0"/>
    </xf>
    <xf numFmtId="0" fontId="22" fillId="0" borderId="0" xfId="0" applyFont="1" applyAlignment="1">
      <alignment vertical="center"/>
    </xf>
    <xf numFmtId="0" fontId="22" fillId="0" borderId="0" xfId="0" applyFont="1" applyAlignment="1">
      <alignment horizontal="center" vertical="center"/>
    </xf>
    <xf numFmtId="0" fontId="8" fillId="0" borderId="0" xfId="0" applyFont="1" applyAlignment="1">
      <alignment vertical="center"/>
    </xf>
    <xf numFmtId="0" fontId="27" fillId="0" borderId="0" xfId="0" applyFont="1" applyAlignment="1" applyProtection="1">
      <alignment horizontal="center"/>
      <protection locked="0"/>
    </xf>
    <xf numFmtId="0" fontId="26" fillId="8" borderId="17" xfId="1" applyFont="1" applyFill="1" applyBorder="1" applyAlignment="1" applyProtection="1">
      <alignment horizontal="center" vertical="center" wrapText="1"/>
      <protection locked="0"/>
    </xf>
    <xf numFmtId="0" fontId="24" fillId="0" borderId="0" xfId="0" applyFont="1" applyAlignment="1" applyProtection="1">
      <alignment horizontal="center"/>
      <protection locked="0"/>
    </xf>
    <xf numFmtId="0" fontId="27" fillId="14" borderId="0" xfId="0" applyFont="1" applyFill="1" applyAlignment="1" applyProtection="1">
      <alignment horizontal="left"/>
      <protection locked="0"/>
    </xf>
    <xf numFmtId="0" fontId="9" fillId="14" borderId="0" xfId="0" applyFont="1" applyFill="1" applyProtection="1">
      <protection locked="0"/>
    </xf>
    <xf numFmtId="0" fontId="24" fillId="14" borderId="0" xfId="0" applyFont="1" applyFill="1" applyProtection="1">
      <protection locked="0"/>
    </xf>
    <xf numFmtId="0" fontId="9" fillId="14" borderId="0" xfId="0" applyFont="1" applyFill="1" applyAlignment="1" applyProtection="1">
      <alignment vertical="center"/>
      <protection locked="0"/>
    </xf>
    <xf numFmtId="0" fontId="22" fillId="0" borderId="0" xfId="0" applyFont="1" applyAlignment="1">
      <alignment horizontal="center"/>
    </xf>
    <xf numFmtId="0" fontId="3" fillId="0" borderId="18" xfId="1" applyFill="1" applyBorder="1" applyAlignment="1" applyProtection="1">
      <alignment horizontal="center" vertical="center" wrapText="1"/>
      <protection locked="0"/>
    </xf>
    <xf numFmtId="14"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protection locked="0"/>
    </xf>
    <xf numFmtId="0" fontId="8" fillId="0" borderId="0" xfId="0" applyFont="1" applyFill="1" applyBorder="1" applyAlignment="1" applyProtection="1">
      <alignment horizontal="left"/>
      <protection locked="0"/>
    </xf>
    <xf numFmtId="10" fontId="8" fillId="0" borderId="0" xfId="0" applyNumberFormat="1" applyFont="1" applyFill="1" applyBorder="1" applyAlignment="1" applyProtection="1">
      <alignment horizontal="left"/>
      <protection locked="0"/>
    </xf>
    <xf numFmtId="0" fontId="8" fillId="0" borderId="0" xfId="0" quotePrefix="1"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10" fontId="8" fillId="0" borderId="0" xfId="0" applyNumberFormat="1" applyFont="1" applyFill="1" applyBorder="1" applyAlignment="1" applyProtection="1">
      <alignment horizontal="center"/>
      <protection locked="0"/>
    </xf>
    <xf numFmtId="0" fontId="8" fillId="0" borderId="0" xfId="0" applyFont="1" applyBorder="1"/>
    <xf numFmtId="0" fontId="22" fillId="19" borderId="20" xfId="0" applyFont="1" applyFill="1" applyBorder="1" applyAlignment="1">
      <alignment vertical="center"/>
    </xf>
    <xf numFmtId="0" fontId="22" fillId="0" borderId="0" xfId="0" applyFont="1" applyBorder="1"/>
    <xf numFmtId="0" fontId="9" fillId="0" borderId="0" xfId="0" applyFont="1" applyBorder="1" applyProtection="1">
      <protection locked="0"/>
    </xf>
    <xf numFmtId="0" fontId="19" fillId="0" borderId="0" xfId="0" applyFont="1" applyAlignment="1">
      <alignment horizontal="left" vertical="center"/>
    </xf>
    <xf numFmtId="0" fontId="19" fillId="0" borderId="4" xfId="0" applyFont="1" applyBorder="1" applyAlignment="1" applyProtection="1">
      <alignment horizontal="left" vertical="center"/>
      <protection locked="0"/>
    </xf>
    <xf numFmtId="0" fontId="19" fillId="16" borderId="0" xfId="0" applyFont="1" applyFill="1" applyAlignment="1">
      <alignment horizontal="left" vertical="center"/>
    </xf>
    <xf numFmtId="0" fontId="19" fillId="0" borderId="23" xfId="0" applyFont="1" applyBorder="1" applyAlignment="1" applyProtection="1">
      <alignment vertical="top"/>
      <protection locked="0"/>
    </xf>
    <xf numFmtId="0" fontId="19" fillId="0" borderId="23" xfId="0" applyFont="1" applyBorder="1" applyAlignment="1" applyProtection="1">
      <alignment horizontal="left" vertical="top"/>
      <protection locked="0"/>
    </xf>
    <xf numFmtId="14" fontId="19" fillId="0" borderId="23" xfId="0" applyNumberFormat="1" applyFont="1" applyBorder="1" applyAlignment="1" applyProtection="1">
      <alignment horizontal="center" vertical="top"/>
      <protection locked="0"/>
    </xf>
    <xf numFmtId="178" fontId="19" fillId="0" borderId="23" xfId="0" applyNumberFormat="1" applyFont="1" applyBorder="1" applyAlignment="1" applyProtection="1">
      <alignment horizontal="center" vertical="top"/>
      <protection locked="0"/>
    </xf>
    <xf numFmtId="177" fontId="19" fillId="0" borderId="23" xfId="0" applyNumberFormat="1" applyFont="1" applyBorder="1" applyAlignment="1" applyProtection="1">
      <alignment horizontal="center" vertical="top"/>
      <protection locked="0"/>
    </xf>
    <xf numFmtId="1" fontId="19" fillId="0" borderId="23" xfId="0" applyNumberFormat="1" applyFont="1" applyBorder="1" applyAlignment="1" applyProtection="1">
      <alignment horizontal="center" vertical="top"/>
      <protection locked="0"/>
    </xf>
    <xf numFmtId="14" fontId="19" fillId="0" borderId="23" xfId="0" applyNumberFormat="1" applyFont="1" applyBorder="1" applyAlignment="1" applyProtection="1">
      <alignment horizontal="left" vertical="top"/>
      <protection locked="0"/>
    </xf>
    <xf numFmtId="0" fontId="19" fillId="0" borderId="5" xfId="0" applyFont="1" applyBorder="1" applyAlignment="1" applyProtection="1">
      <alignment vertical="top"/>
      <protection locked="0"/>
    </xf>
    <xf numFmtId="0" fontId="19" fillId="0" borderId="5" xfId="0" applyFont="1" applyBorder="1" applyAlignment="1" applyProtection="1">
      <alignment horizontal="center" vertical="top"/>
      <protection locked="0"/>
    </xf>
    <xf numFmtId="0" fontId="19" fillId="0" borderId="5" xfId="0" applyFont="1" applyBorder="1" applyAlignment="1" applyProtection="1">
      <alignment horizontal="left" vertical="top"/>
      <protection locked="0"/>
    </xf>
    <xf numFmtId="14" fontId="19" fillId="0" borderId="5" xfId="0" applyNumberFormat="1" applyFont="1" applyBorder="1" applyAlignment="1" applyProtection="1">
      <alignment horizontal="center" vertical="top"/>
      <protection locked="0"/>
    </xf>
    <xf numFmtId="178" fontId="19" fillId="0" borderId="5" xfId="0" applyNumberFormat="1" applyFont="1" applyBorder="1" applyAlignment="1" applyProtection="1">
      <alignment horizontal="center" vertical="top"/>
      <protection locked="0"/>
    </xf>
    <xf numFmtId="177" fontId="19" fillId="0" borderId="5" xfId="0" applyNumberFormat="1" applyFont="1" applyBorder="1" applyAlignment="1" applyProtection="1">
      <alignment horizontal="center" vertical="top"/>
      <protection locked="0"/>
    </xf>
    <xf numFmtId="1" fontId="19" fillId="0" borderId="5" xfId="0" applyNumberFormat="1" applyFont="1" applyBorder="1" applyAlignment="1" applyProtection="1">
      <alignment horizontal="center" vertical="top"/>
      <protection locked="0"/>
    </xf>
    <xf numFmtId="14" fontId="19" fillId="0" borderId="5" xfId="0" applyNumberFormat="1" applyFont="1" applyBorder="1" applyAlignment="1" applyProtection="1">
      <alignment horizontal="left" vertical="top"/>
      <protection locked="0"/>
    </xf>
    <xf numFmtId="10" fontId="19" fillId="0" borderId="5" xfId="0" applyNumberFormat="1" applyFont="1" applyBorder="1" applyAlignment="1" applyProtection="1">
      <alignment horizontal="right" vertical="top" wrapText="1"/>
      <protection locked="0"/>
    </xf>
    <xf numFmtId="10" fontId="19" fillId="0" borderId="5" xfId="0" applyNumberFormat="1" applyFont="1" applyBorder="1" applyAlignment="1" applyProtection="1">
      <alignment horizontal="right" vertical="top"/>
      <protection locked="0"/>
    </xf>
    <xf numFmtId="0" fontId="19" fillId="0" borderId="24" xfId="0" applyFont="1" applyBorder="1" applyAlignment="1" applyProtection="1">
      <alignment vertical="top"/>
      <protection locked="0"/>
    </xf>
    <xf numFmtId="0" fontId="19" fillId="0" borderId="24" xfId="0" applyFont="1" applyBorder="1" applyAlignment="1" applyProtection="1">
      <alignment horizontal="center" vertical="top"/>
      <protection locked="0"/>
    </xf>
    <xf numFmtId="0" fontId="19" fillId="0" borderId="24" xfId="0" applyFont="1" applyBorder="1" applyAlignment="1" applyProtection="1">
      <alignment horizontal="left" vertical="top"/>
      <protection locked="0"/>
    </xf>
    <xf numFmtId="14" fontId="19" fillId="0" borderId="24" xfId="0" applyNumberFormat="1" applyFont="1" applyBorder="1" applyAlignment="1" applyProtection="1">
      <alignment horizontal="center" vertical="top"/>
      <protection locked="0"/>
    </xf>
    <xf numFmtId="178" fontId="19" fillId="0" borderId="24" xfId="0" applyNumberFormat="1" applyFont="1" applyBorder="1" applyAlignment="1" applyProtection="1">
      <alignment horizontal="center" vertical="top"/>
      <protection locked="0"/>
    </xf>
    <xf numFmtId="177" fontId="19" fillId="0" borderId="24" xfId="0" applyNumberFormat="1" applyFont="1" applyBorder="1" applyAlignment="1" applyProtection="1">
      <alignment horizontal="center" vertical="top"/>
      <protection locked="0"/>
    </xf>
    <xf numFmtId="1" fontId="19" fillId="0" borderId="24" xfId="0" applyNumberFormat="1" applyFont="1" applyBorder="1" applyAlignment="1" applyProtection="1">
      <alignment horizontal="center" vertical="top"/>
      <protection locked="0"/>
    </xf>
    <xf numFmtId="14" fontId="19" fillId="0" borderId="24" xfId="0" applyNumberFormat="1" applyFont="1" applyBorder="1" applyAlignment="1" applyProtection="1">
      <alignment horizontal="left" vertical="top"/>
      <protection locked="0"/>
    </xf>
    <xf numFmtId="10" fontId="19" fillId="0" borderId="24" xfId="0" applyNumberFormat="1" applyFont="1" applyBorder="1" applyAlignment="1" applyProtection="1">
      <alignment horizontal="right" vertical="top" wrapText="1"/>
      <protection locked="0"/>
    </xf>
    <xf numFmtId="10" fontId="19" fillId="0" borderId="24" xfId="0" applyNumberFormat="1" applyFont="1" applyBorder="1" applyAlignment="1" applyProtection="1">
      <alignment horizontal="right" vertical="top"/>
      <protection locked="0"/>
    </xf>
    <xf numFmtId="10" fontId="19" fillId="0" borderId="23" xfId="2" applyNumberFormat="1" applyFont="1" applyBorder="1" applyAlignment="1" applyProtection="1">
      <alignment horizontal="right" vertical="top" wrapText="1"/>
      <protection locked="0"/>
    </xf>
    <xf numFmtId="0" fontId="19" fillId="0" borderId="23" xfId="0" quotePrefix="1" applyFont="1" applyBorder="1" applyAlignment="1" applyProtection="1">
      <alignment horizontal="left" vertical="top"/>
      <protection locked="0"/>
    </xf>
    <xf numFmtId="0" fontId="19" fillId="0" borderId="25" xfId="0" applyFont="1" applyBorder="1" applyAlignment="1" applyProtection="1">
      <alignment horizontal="left" vertical="center"/>
      <protection locked="0"/>
    </xf>
    <xf numFmtId="0" fontId="19" fillId="0" borderId="29" xfId="0" applyFont="1" applyBorder="1" applyAlignment="1" applyProtection="1">
      <alignment horizontal="left" vertical="center"/>
      <protection locked="0"/>
    </xf>
    <xf numFmtId="0" fontId="9" fillId="20" borderId="0" xfId="0" applyFont="1" applyFill="1" applyAlignment="1">
      <alignment vertical="top"/>
    </xf>
    <xf numFmtId="0" fontId="9" fillId="20" borderId="0" xfId="0" applyFont="1" applyFill="1" applyBorder="1" applyAlignment="1">
      <alignment vertical="top"/>
    </xf>
    <xf numFmtId="0" fontId="9" fillId="20" borderId="0" xfId="0" applyFont="1" applyFill="1" applyBorder="1" applyAlignment="1">
      <alignment horizontal="left" vertical="top"/>
    </xf>
    <xf numFmtId="0" fontId="35" fillId="3" borderId="1" xfId="0" applyFont="1" applyFill="1" applyBorder="1" applyAlignment="1">
      <alignment horizontal="center" vertical="center"/>
    </xf>
    <xf numFmtId="0" fontId="35" fillId="3" borderId="1" xfId="0" applyFont="1" applyFill="1" applyBorder="1" applyAlignment="1">
      <alignment horizontal="center" vertical="center" wrapText="1"/>
    </xf>
    <xf numFmtId="0" fontId="36" fillId="0" borderId="0" xfId="0" applyFont="1" applyAlignment="1">
      <alignment vertical="top"/>
    </xf>
    <xf numFmtId="0" fontId="36" fillId="0" borderId="0" xfId="0" applyFont="1" applyAlignment="1">
      <alignment horizontal="center" vertical="top"/>
    </xf>
    <xf numFmtId="0" fontId="37" fillId="0" borderId="0" xfId="0" applyFont="1" applyAlignment="1">
      <alignment vertical="top"/>
    </xf>
    <xf numFmtId="0" fontId="36" fillId="0" borderId="0" xfId="0" applyFont="1" applyAlignment="1">
      <alignment vertical="top" wrapText="1"/>
    </xf>
    <xf numFmtId="0" fontId="36" fillId="0" borderId="0" xfId="0" applyFont="1" applyAlignment="1">
      <alignment horizontal="left" vertical="top" wrapText="1"/>
    </xf>
    <xf numFmtId="0" fontId="36" fillId="0" borderId="0" xfId="0" applyFont="1" applyAlignment="1">
      <alignment horizontal="left" vertical="top"/>
    </xf>
    <xf numFmtId="0" fontId="37" fillId="0" borderId="0" xfId="0" applyFont="1" applyAlignment="1">
      <alignment horizontal="left" vertical="top"/>
    </xf>
    <xf numFmtId="14" fontId="36" fillId="0" borderId="0" xfId="0" applyNumberFormat="1" applyFont="1" applyAlignment="1">
      <alignment horizontal="left" vertical="top" wrapText="1"/>
    </xf>
    <xf numFmtId="0" fontId="36" fillId="0" borderId="0" xfId="0" applyFont="1"/>
    <xf numFmtId="0" fontId="34" fillId="0" borderId="0" xfId="0" applyFont="1" applyAlignment="1">
      <alignment horizontal="left" vertical="top"/>
    </xf>
    <xf numFmtId="0" fontId="37" fillId="0" borderId="0" xfId="0" applyFont="1" applyAlignment="1">
      <alignment horizontal="left" vertical="top" wrapText="1"/>
    </xf>
    <xf numFmtId="0" fontId="36" fillId="0" borderId="0" xfId="0" applyFont="1" applyFill="1"/>
    <xf numFmtId="0" fontId="39" fillId="8" borderId="17" xfId="1" applyFont="1" applyFill="1" applyBorder="1" applyAlignment="1" applyProtection="1">
      <alignment horizontal="center" vertical="center" wrapText="1"/>
      <protection locked="0"/>
    </xf>
    <xf numFmtId="0" fontId="15" fillId="20" borderId="0" xfId="0" applyFont="1" applyFill="1" applyAlignment="1"/>
    <xf numFmtId="0" fontId="3" fillId="20" borderId="0" xfId="1" applyFill="1" applyBorder="1" applyAlignment="1">
      <alignment horizontal="left" vertical="top"/>
    </xf>
    <xf numFmtId="14" fontId="9" fillId="20" borderId="0" xfId="0" applyNumberFormat="1" applyFont="1" applyFill="1" applyBorder="1" applyAlignment="1">
      <alignment horizontal="left" vertical="top"/>
    </xf>
    <xf numFmtId="0" fontId="9" fillId="18" borderId="0" xfId="0" applyFont="1" applyFill="1" applyAlignment="1">
      <alignment vertical="top"/>
    </xf>
    <xf numFmtId="0" fontId="9" fillId="18" borderId="0" xfId="0" applyFont="1" applyFill="1" applyBorder="1" applyAlignment="1">
      <alignment vertical="top"/>
    </xf>
    <xf numFmtId="0" fontId="9" fillId="18" borderId="0" xfId="0" quotePrefix="1" applyFont="1" applyFill="1" applyBorder="1" applyAlignment="1">
      <alignment horizontal="left" vertical="top"/>
    </xf>
    <xf numFmtId="0" fontId="9" fillId="18" borderId="0" xfId="0" applyFont="1" applyFill="1" applyBorder="1" applyAlignment="1">
      <alignment horizontal="left" vertical="top"/>
    </xf>
    <xf numFmtId="0" fontId="41" fillId="0" borderId="0" xfId="0" applyFont="1" applyAlignment="1">
      <alignment vertical="top" wrapText="1"/>
    </xf>
    <xf numFmtId="0" fontId="42" fillId="0" borderId="0" xfId="0" applyFont="1" applyAlignment="1">
      <alignment vertical="top" wrapText="1"/>
    </xf>
    <xf numFmtId="0" fontId="43" fillId="0" borderId="0" xfId="0" applyFont="1" applyAlignment="1">
      <alignment vertical="top" wrapText="1"/>
    </xf>
    <xf numFmtId="2" fontId="8" fillId="0" borderId="0" xfId="0" applyNumberFormat="1" applyFont="1" applyBorder="1"/>
    <xf numFmtId="0" fontId="19" fillId="0" borderId="30" xfId="0" applyFont="1" applyBorder="1" applyAlignment="1" applyProtection="1">
      <alignment horizontal="left" vertical="center"/>
      <protection locked="0"/>
    </xf>
    <xf numFmtId="14" fontId="0" fillId="0" borderId="0" xfId="0" applyNumberFormat="1" applyAlignment="1">
      <alignment vertical="center"/>
    </xf>
    <xf numFmtId="0" fontId="3" fillId="16" borderId="0" xfId="1" applyFill="1" applyAlignment="1">
      <alignment horizontal="left" vertical="center"/>
    </xf>
    <xf numFmtId="10" fontId="19" fillId="0" borderId="23" xfId="2" applyNumberFormat="1" applyFont="1" applyFill="1" applyBorder="1" applyAlignment="1" applyProtection="1">
      <alignment horizontal="right" vertical="top"/>
      <protection locked="0"/>
    </xf>
    <xf numFmtId="0" fontId="19" fillId="0" borderId="31" xfId="0" applyFont="1" applyBorder="1" applyAlignment="1" applyProtection="1">
      <alignment vertical="top"/>
      <protection locked="0"/>
    </xf>
    <xf numFmtId="0" fontId="19" fillId="0" borderId="31" xfId="0" quotePrefix="1" applyFont="1" applyBorder="1" applyAlignment="1" applyProtection="1">
      <alignment horizontal="left" vertical="top"/>
      <protection locked="0"/>
    </xf>
    <xf numFmtId="0" fontId="19" fillId="0" borderId="31" xfId="0" applyFont="1" applyBorder="1" applyAlignment="1" applyProtection="1">
      <alignment horizontal="left" vertical="top"/>
      <protection locked="0"/>
    </xf>
    <xf numFmtId="14" fontId="19" fillId="0" borderId="31" xfId="0" applyNumberFormat="1" applyFont="1" applyBorder="1" applyAlignment="1" applyProtection="1">
      <alignment horizontal="center" vertical="top"/>
      <protection locked="0"/>
    </xf>
    <xf numFmtId="178" fontId="19" fillId="0" borderId="31" xfId="0" applyNumberFormat="1" applyFont="1" applyBorder="1" applyAlignment="1" applyProtection="1">
      <alignment horizontal="center" vertical="top"/>
      <protection locked="0"/>
    </xf>
    <xf numFmtId="177" fontId="19" fillId="0" borderId="31" xfId="0" applyNumberFormat="1" applyFont="1" applyBorder="1" applyAlignment="1" applyProtection="1">
      <alignment horizontal="center" vertical="top"/>
      <protection locked="0"/>
    </xf>
    <xf numFmtId="1" fontId="19" fillId="0" borderId="31" xfId="0" applyNumberFormat="1" applyFont="1" applyBorder="1" applyAlignment="1" applyProtection="1">
      <alignment horizontal="center" vertical="top"/>
      <protection locked="0"/>
    </xf>
    <xf numFmtId="14" fontId="19" fillId="0" borderId="31" xfId="0" applyNumberFormat="1" applyFont="1" applyBorder="1" applyAlignment="1" applyProtection="1">
      <alignment horizontal="left" vertical="top"/>
      <protection locked="0"/>
    </xf>
    <xf numFmtId="10" fontId="19" fillId="0" borderId="31" xfId="2" applyNumberFormat="1" applyFont="1" applyBorder="1" applyAlignment="1" applyProtection="1">
      <alignment horizontal="right" vertical="top" wrapText="1"/>
      <protection locked="0"/>
    </xf>
    <xf numFmtId="10" fontId="19" fillId="0" borderId="31" xfId="2" applyNumberFormat="1" applyFont="1" applyFill="1" applyBorder="1" applyAlignment="1" applyProtection="1">
      <alignment horizontal="right" vertical="top"/>
      <protection locked="0"/>
    </xf>
    <xf numFmtId="14" fontId="19" fillId="0" borderId="23" xfId="0" applyNumberFormat="1" applyFont="1" applyBorder="1" applyAlignment="1" applyProtection="1">
      <alignment horizontal="left" vertical="top" wrapText="1"/>
      <protection locked="0"/>
    </xf>
    <xf numFmtId="10" fontId="8" fillId="0" borderId="0" xfId="0" applyNumberFormat="1" applyFont="1" applyBorder="1"/>
    <xf numFmtId="14" fontId="48" fillId="21" borderId="26" xfId="0" applyNumberFormat="1" applyFont="1" applyFill="1" applyBorder="1" applyAlignment="1">
      <alignment horizontal="center" vertical="center"/>
    </xf>
    <xf numFmtId="14" fontId="48" fillId="21" borderId="27" xfId="0" applyNumberFormat="1" applyFont="1" applyFill="1" applyBorder="1" applyAlignment="1">
      <alignment horizontal="center" vertical="center"/>
    </xf>
    <xf numFmtId="14" fontId="48" fillId="21" borderId="28" xfId="0" applyNumberFormat="1" applyFont="1" applyFill="1" applyBorder="1" applyAlignment="1">
      <alignment horizontal="center" vertical="center"/>
    </xf>
    <xf numFmtId="0" fontId="49" fillId="16" borderId="0" xfId="0" applyFont="1" applyFill="1" applyAlignment="1">
      <alignment horizontal="left" vertical="top"/>
    </xf>
    <xf numFmtId="0" fontId="49" fillId="16" borderId="0" xfId="0" applyFont="1" applyFill="1" applyAlignment="1">
      <alignment horizontal="left" vertical="center"/>
    </xf>
    <xf numFmtId="0" fontId="50" fillId="16" borderId="0" xfId="0" applyFont="1" applyFill="1" applyAlignment="1">
      <alignment horizontal="left" vertical="top"/>
    </xf>
    <xf numFmtId="0" fontId="51" fillId="16" borderId="0" xfId="0" applyFont="1" applyFill="1" applyAlignment="1">
      <alignment horizontal="left" vertical="center"/>
    </xf>
    <xf numFmtId="0" fontId="51" fillId="16" borderId="0" xfId="0" applyFont="1" applyFill="1" applyAlignment="1">
      <alignment vertical="center"/>
    </xf>
    <xf numFmtId="14" fontId="51" fillId="16" borderId="0" xfId="0" applyNumberFormat="1" applyFont="1" applyFill="1" applyAlignment="1">
      <alignment vertical="top"/>
    </xf>
    <xf numFmtId="14" fontId="52" fillId="16" borderId="0" xfId="0" applyNumberFormat="1" applyFont="1" applyFill="1" applyAlignment="1">
      <alignment horizontal="left" vertical="top" wrapText="1"/>
    </xf>
    <xf numFmtId="178" fontId="53" fillId="16" borderId="0" xfId="0" applyNumberFormat="1" applyFont="1" applyFill="1" applyAlignment="1">
      <alignment horizontal="center" vertical="top"/>
    </xf>
    <xf numFmtId="178" fontId="49" fillId="16" borderId="0" xfId="0" applyNumberFormat="1" applyFont="1" applyFill="1" applyAlignment="1">
      <alignment horizontal="center" vertical="top"/>
    </xf>
    <xf numFmtId="178" fontId="51" fillId="16" borderId="0" xfId="0" applyNumberFormat="1" applyFont="1" applyFill="1" applyAlignment="1">
      <alignment horizontal="center" vertical="top"/>
    </xf>
    <xf numFmtId="14" fontId="51" fillId="16" borderId="0" xfId="0" applyNumberFormat="1" applyFont="1" applyFill="1" applyAlignment="1">
      <alignment horizontal="center" vertical="top"/>
    </xf>
    <xf numFmtId="1" fontId="51" fillId="16" borderId="0" xfId="0" applyNumberFormat="1" applyFont="1" applyFill="1" applyAlignment="1">
      <alignment horizontal="center" vertical="top"/>
    </xf>
    <xf numFmtId="0" fontId="53" fillId="16" borderId="0" xfId="1" applyFont="1" applyFill="1" applyBorder="1" applyAlignment="1">
      <alignment vertical="top" wrapText="1"/>
    </xf>
    <xf numFmtId="0" fontId="53" fillId="16" borderId="0" xfId="1" applyNumberFormat="1" applyFont="1" applyFill="1" applyBorder="1" applyAlignment="1">
      <alignment vertical="top"/>
    </xf>
    <xf numFmtId="0" fontId="53" fillId="16" borderId="0" xfId="1" applyFont="1" applyFill="1" applyBorder="1" applyAlignment="1">
      <alignment vertical="top"/>
    </xf>
    <xf numFmtId="0" fontId="50" fillId="16" borderId="0" xfId="1" applyFont="1" applyFill="1" applyBorder="1" applyAlignment="1">
      <alignment horizontal="right" vertical="top"/>
    </xf>
    <xf numFmtId="0" fontId="50" fillId="16" borderId="0" xfId="1" applyFont="1" applyFill="1" applyBorder="1" applyAlignment="1">
      <alignment horizontal="right" vertical="center"/>
    </xf>
    <xf numFmtId="0" fontId="49" fillId="16" borderId="0" xfId="0" applyFont="1" applyFill="1" applyAlignment="1">
      <alignment horizontal="left"/>
    </xf>
    <xf numFmtId="0" fontId="50" fillId="16" borderId="0" xfId="0" applyFont="1" applyFill="1" applyAlignment="1">
      <alignment horizontal="left"/>
    </xf>
    <xf numFmtId="0" fontId="54" fillId="16" borderId="0" xfId="1" applyNumberFormat="1" applyFont="1" applyFill="1" applyBorder="1" applyAlignment="1">
      <alignment horizontal="right"/>
    </xf>
    <xf numFmtId="10" fontId="54" fillId="16" borderId="0" xfId="0" applyNumberFormat="1" applyFont="1" applyFill="1" applyAlignment="1">
      <alignment horizontal="right"/>
    </xf>
    <xf numFmtId="178" fontId="54" fillId="16" borderId="0" xfId="1" applyNumberFormat="1" applyFont="1" applyFill="1" applyBorder="1" applyAlignment="1">
      <alignment horizontal="right"/>
    </xf>
    <xf numFmtId="0" fontId="55" fillId="16" borderId="0" xfId="1" applyNumberFormat="1" applyFont="1" applyFill="1" applyBorder="1" applyAlignment="1"/>
    <xf numFmtId="0" fontId="55" fillId="16" borderId="0" xfId="1" applyNumberFormat="1" applyFont="1" applyFill="1" applyBorder="1" applyAlignment="1">
      <alignment horizontal="right"/>
    </xf>
    <xf numFmtId="0" fontId="58" fillId="16" borderId="0" xfId="1" applyFont="1" applyFill="1" applyAlignment="1">
      <alignment horizontal="left" vertical="center"/>
    </xf>
    <xf numFmtId="0" fontId="8" fillId="5" borderId="2" xfId="0" applyNumberFormat="1" applyFont="1" applyFill="1" applyBorder="1" applyAlignment="1">
      <alignment horizontal="left" wrapText="1"/>
    </xf>
    <xf numFmtId="0" fontId="8" fillId="5" borderId="3" xfId="0" applyFont="1" applyFill="1" applyBorder="1" applyAlignment="1">
      <alignment horizontal="left" wrapText="1"/>
    </xf>
    <xf numFmtId="0" fontId="8" fillId="0" borderId="0" xfId="0" quotePrefix="1" applyFont="1" applyBorder="1"/>
    <xf numFmtId="0" fontId="3" fillId="0" borderId="0" xfId="1" quotePrefix="1" applyBorder="1"/>
    <xf numFmtId="14" fontId="8" fillId="0" borderId="0" xfId="0" applyNumberFormat="1" applyFont="1" applyBorder="1"/>
    <xf numFmtId="0" fontId="59" fillId="23" borderId="0" xfId="0" quotePrefix="1" applyFont="1" applyFill="1" applyBorder="1"/>
    <xf numFmtId="0" fontId="3" fillId="23" borderId="0" xfId="1" quotePrefix="1" applyFill="1" applyBorder="1"/>
    <xf numFmtId="0" fontId="8" fillId="23" borderId="0" xfId="0" quotePrefix="1" applyFont="1" applyFill="1" applyBorder="1"/>
    <xf numFmtId="14" fontId="8" fillId="23" borderId="0" xfId="0" applyNumberFormat="1" applyFont="1" applyFill="1" applyBorder="1"/>
    <xf numFmtId="10" fontId="8" fillId="23" borderId="0" xfId="0" applyNumberFormat="1" applyFont="1" applyFill="1" applyBorder="1"/>
    <xf numFmtId="0" fontId="8" fillId="23" borderId="0" xfId="0" applyNumberFormat="1" applyFont="1" applyFill="1" applyBorder="1"/>
    <xf numFmtId="0" fontId="8" fillId="23" borderId="0" xfId="0" applyFont="1" applyFill="1" applyBorder="1"/>
    <xf numFmtId="10" fontId="60" fillId="0" borderId="0" xfId="0" applyNumberFormat="1" applyFont="1" applyBorder="1"/>
    <xf numFmtId="10" fontId="60" fillId="23" borderId="0" xfId="0" applyNumberFormat="1" applyFont="1" applyFill="1" applyBorder="1"/>
    <xf numFmtId="2" fontId="8" fillId="5" borderId="2" xfId="0" applyNumberFormat="1" applyFont="1" applyFill="1" applyBorder="1" applyAlignment="1">
      <alignment horizontal="left" wrapText="1"/>
    </xf>
    <xf numFmtId="2" fontId="8" fillId="23" borderId="0" xfId="0" applyNumberFormat="1" applyFont="1" applyFill="1" applyBorder="1"/>
    <xf numFmtId="0" fontId="46" fillId="0" borderId="23" xfId="0" applyFont="1" applyFill="1" applyBorder="1" applyAlignment="1" applyProtection="1">
      <alignment horizontal="left" vertical="top"/>
      <protection locked="0"/>
    </xf>
    <xf numFmtId="0" fontId="46" fillId="0" borderId="23" xfId="0" applyFont="1" applyBorder="1" applyAlignment="1" applyProtection="1">
      <alignment horizontal="left" vertical="top"/>
      <protection locked="0"/>
    </xf>
    <xf numFmtId="0" fontId="6" fillId="0" borderId="0" xfId="0" applyFont="1" applyFill="1" applyBorder="1" applyAlignment="1">
      <alignment horizontal="center" vertical="center"/>
    </xf>
    <xf numFmtId="14" fontId="8" fillId="2" borderId="0" xfId="0" applyNumberFormat="1" applyFont="1" applyFill="1" applyAlignment="1" applyProtection="1">
      <alignment horizontal="center" vertical="top"/>
    </xf>
    <xf numFmtId="14" fontId="17" fillId="0" borderId="0" xfId="0" applyNumberFormat="1" applyFont="1" applyAlignment="1">
      <alignment horizontal="center"/>
    </xf>
    <xf numFmtId="14" fontId="17" fillId="0" borderId="0" xfId="0" applyNumberFormat="1" applyFont="1" applyAlignment="1" applyProtection="1">
      <alignment horizontal="center"/>
    </xf>
    <xf numFmtId="14" fontId="8" fillId="0" borderId="0" xfId="0" applyNumberFormat="1" applyFont="1" applyAlignment="1" applyProtection="1">
      <alignment horizontal="center"/>
    </xf>
    <xf numFmtId="0" fontId="19" fillId="18" borderId="23" xfId="0" applyFont="1" applyFill="1" applyBorder="1" applyAlignment="1" applyProtection="1">
      <alignment horizontal="left" vertical="top"/>
      <protection locked="0"/>
    </xf>
    <xf numFmtId="10" fontId="19" fillId="16" borderId="23" xfId="2" applyNumberFormat="1" applyFont="1" applyFill="1" applyBorder="1" applyAlignment="1" applyProtection="1">
      <alignment horizontal="right" vertical="top"/>
      <protection locked="0"/>
    </xf>
    <xf numFmtId="10" fontId="61" fillId="16" borderId="23" xfId="2" applyNumberFormat="1" applyFont="1" applyFill="1" applyBorder="1" applyAlignment="1" applyProtection="1">
      <alignment horizontal="right" vertical="top"/>
      <protection locked="0"/>
    </xf>
    <xf numFmtId="0" fontId="19" fillId="0" borderId="23" xfId="0" applyFont="1" applyBorder="1" applyAlignment="1" applyProtection="1">
      <alignment horizontal="left" vertical="center"/>
      <protection locked="0"/>
    </xf>
    <xf numFmtId="14" fontId="19" fillId="20" borderId="23" xfId="0" applyNumberFormat="1" applyFont="1" applyFill="1" applyBorder="1" applyAlignment="1" applyProtection="1">
      <alignment horizontal="center" vertical="top"/>
      <protection locked="0"/>
    </xf>
    <xf numFmtId="0" fontId="8" fillId="0" borderId="18" xfId="0" applyFont="1" applyFill="1" applyBorder="1" applyAlignment="1" applyProtection="1">
      <alignment horizontal="left" vertical="top" wrapText="1"/>
      <protection locked="0"/>
    </xf>
    <xf numFmtId="0" fontId="8" fillId="0" borderId="18" xfId="0" applyFont="1" applyFill="1" applyBorder="1" applyAlignment="1" applyProtection="1">
      <alignment horizontal="left" vertical="center" wrapText="1"/>
      <protection locked="0"/>
    </xf>
    <xf numFmtId="0" fontId="30" fillId="19" borderId="22" xfId="1" applyFont="1" applyFill="1" applyBorder="1" applyAlignment="1">
      <alignment vertical="center"/>
    </xf>
    <xf numFmtId="0" fontId="0" fillId="19" borderId="22" xfId="0" applyFill="1" applyBorder="1" applyAlignment="1">
      <alignment vertical="center"/>
    </xf>
    <xf numFmtId="0" fontId="29" fillId="19" borderId="19" xfId="0" applyFont="1" applyFill="1" applyBorder="1" applyAlignment="1">
      <alignment horizontal="center" vertical="center"/>
    </xf>
    <xf numFmtId="0" fontId="29" fillId="19" borderId="20" xfId="0" applyFont="1" applyFill="1" applyBorder="1" applyAlignment="1">
      <alignment horizontal="center" vertical="center"/>
    </xf>
    <xf numFmtId="0" fontId="29" fillId="19" borderId="21" xfId="0" applyFont="1" applyFill="1" applyBorder="1" applyAlignment="1">
      <alignment horizontal="center" vertical="center"/>
    </xf>
    <xf numFmtId="0" fontId="29" fillId="19" borderId="22" xfId="0" applyFont="1" applyFill="1" applyBorder="1" applyAlignment="1">
      <alignment horizontal="center" vertical="center"/>
    </xf>
    <xf numFmtId="0" fontId="33" fillId="19" borderId="20" xfId="1" applyFont="1" applyFill="1" applyBorder="1" applyAlignment="1">
      <alignment horizontal="right"/>
    </xf>
    <xf numFmtId="0" fontId="0" fillId="19" borderId="20" xfId="0" applyFill="1" applyBorder="1" applyAlignment="1">
      <alignment horizontal="right"/>
    </xf>
    <xf numFmtId="0" fontId="40" fillId="0" borderId="0" xfId="0" applyFont="1" applyFill="1" applyAlignment="1">
      <alignment horizontal="left" vertical="top" wrapText="1"/>
    </xf>
    <xf numFmtId="0" fontId="22" fillId="0" borderId="0" xfId="0" applyFont="1" applyFill="1" applyAlignment="1">
      <alignment horizontal="left" vertical="top" wrapText="1"/>
    </xf>
    <xf numFmtId="0" fontId="28" fillId="14" borderId="0" xfId="0" applyFont="1" applyFill="1" applyAlignment="1">
      <alignment horizontal="left" vertical="top" wrapText="1"/>
    </xf>
    <xf numFmtId="0" fontId="32" fillId="21" borderId="27" xfId="0" applyFont="1" applyFill="1" applyBorder="1" applyAlignment="1">
      <alignment horizontal="left" vertical="center" wrapText="1"/>
    </xf>
    <xf numFmtId="0" fontId="32" fillId="21" borderId="27" xfId="0" applyFont="1" applyFill="1" applyBorder="1" applyAlignment="1">
      <alignment horizontal="left" vertical="center"/>
    </xf>
    <xf numFmtId="0" fontId="47" fillId="16" borderId="0" xfId="0" applyFont="1" applyFill="1" applyAlignment="1">
      <alignment horizontal="left" vertical="center"/>
    </xf>
    <xf numFmtId="0" fontId="32" fillId="21" borderId="26" xfId="0" applyFont="1" applyFill="1" applyBorder="1" applyAlignment="1">
      <alignment horizontal="left" vertical="center" wrapText="1"/>
    </xf>
    <xf numFmtId="0" fontId="18" fillId="15" borderId="1" xfId="0" applyFont="1" applyFill="1" applyBorder="1" applyAlignment="1">
      <alignment horizontal="center" vertical="center" wrapText="1"/>
    </xf>
    <xf numFmtId="0" fontId="18" fillId="15" borderId="0" xfId="0" applyFont="1" applyFill="1" applyAlignment="1">
      <alignment horizontal="center" vertical="center" wrapText="1"/>
    </xf>
    <xf numFmtId="0" fontId="18" fillId="15" borderId="2" xfId="0" applyFont="1" applyFill="1" applyBorder="1" applyAlignment="1">
      <alignment horizontal="center" vertical="center"/>
    </xf>
    <xf numFmtId="0" fontId="18" fillId="15" borderId="16" xfId="0" applyFont="1" applyFill="1" applyBorder="1" applyAlignment="1">
      <alignment horizontal="center" vertical="center"/>
    </xf>
    <xf numFmtId="0" fontId="18" fillId="15" borderId="2" xfId="0" applyFont="1" applyFill="1" applyBorder="1" applyAlignment="1">
      <alignment horizontal="center" vertical="center" wrapText="1"/>
    </xf>
    <xf numFmtId="0" fontId="18" fillId="22" borderId="2" xfId="0" applyFont="1" applyFill="1" applyBorder="1" applyAlignment="1">
      <alignment horizontal="center" vertical="center"/>
    </xf>
    <xf numFmtId="0" fontId="18" fillId="17" borderId="2" xfId="0" applyFont="1" applyFill="1" applyBorder="1" applyAlignment="1">
      <alignment horizontal="center" vertical="center"/>
    </xf>
    <xf numFmtId="0" fontId="18" fillId="22" borderId="3" xfId="0" applyFont="1" applyFill="1" applyBorder="1" applyAlignment="1">
      <alignment horizontal="center" vertical="center"/>
    </xf>
    <xf numFmtId="0" fontId="18" fillId="17" borderId="0" xfId="0" applyFont="1" applyFill="1" applyAlignment="1">
      <alignment horizontal="center" vertical="center"/>
    </xf>
    <xf numFmtId="0" fontId="18" fillId="17" borderId="3" xfId="0" applyFont="1" applyFill="1" applyBorder="1" applyAlignment="1">
      <alignment horizontal="center" vertical="center"/>
    </xf>
    <xf numFmtId="0" fontId="54" fillId="16" borderId="0" xfId="0" applyFont="1" applyFill="1" applyAlignment="1">
      <alignment horizontal="center" wrapText="1"/>
    </xf>
    <xf numFmtId="176" fontId="18" fillId="22" borderId="2" xfId="0" applyNumberFormat="1" applyFont="1" applyFill="1" applyBorder="1" applyAlignment="1">
      <alignment horizontal="center" vertical="center"/>
    </xf>
    <xf numFmtId="176" fontId="18" fillId="17" borderId="2" xfId="0" applyNumberFormat="1" applyFont="1" applyFill="1" applyBorder="1" applyAlignment="1">
      <alignment horizontal="center" vertical="center"/>
    </xf>
    <xf numFmtId="14" fontId="18" fillId="22" borderId="2" xfId="0" applyNumberFormat="1" applyFont="1" applyFill="1" applyBorder="1" applyAlignment="1">
      <alignment horizontal="center" vertical="center"/>
    </xf>
    <xf numFmtId="14" fontId="18" fillId="17" borderId="2" xfId="0" applyNumberFormat="1" applyFont="1" applyFill="1" applyBorder="1" applyAlignment="1">
      <alignment horizontal="center" vertical="center"/>
    </xf>
    <xf numFmtId="178" fontId="18" fillId="22" borderId="2" xfId="0" applyNumberFormat="1" applyFont="1" applyFill="1" applyBorder="1" applyAlignment="1">
      <alignment horizontal="center" vertical="center" wrapText="1"/>
    </xf>
    <xf numFmtId="178" fontId="18" fillId="10" borderId="2" xfId="0" applyNumberFormat="1" applyFont="1" applyFill="1" applyBorder="1" applyAlignment="1">
      <alignment horizontal="center" vertical="center" wrapText="1"/>
    </xf>
    <xf numFmtId="14" fontId="18" fillId="22" borderId="2" xfId="0" applyNumberFormat="1" applyFont="1" applyFill="1" applyBorder="1" applyAlignment="1">
      <alignment horizontal="center" vertical="center" wrapText="1"/>
    </xf>
    <xf numFmtId="178" fontId="18" fillId="22" borderId="2" xfId="0" applyNumberFormat="1" applyFont="1" applyFill="1" applyBorder="1" applyAlignment="1">
      <alignment horizontal="center" vertical="top" wrapText="1"/>
    </xf>
    <xf numFmtId="178" fontId="18" fillId="10" borderId="2" xfId="0" applyNumberFormat="1" applyFont="1" applyFill="1" applyBorder="1" applyAlignment="1">
      <alignment horizontal="center" vertical="top" wrapText="1"/>
    </xf>
    <xf numFmtId="10" fontId="18" fillId="22" borderId="2" xfId="0" applyNumberFormat="1" applyFont="1" applyFill="1" applyBorder="1" applyAlignment="1">
      <alignment horizontal="center" vertical="center" wrapText="1"/>
    </xf>
    <xf numFmtId="10" fontId="18" fillId="10" borderId="2" xfId="0" applyNumberFormat="1" applyFont="1" applyFill="1" applyBorder="1" applyAlignment="1">
      <alignment horizontal="center" vertical="center" wrapText="1"/>
    </xf>
    <xf numFmtId="10" fontId="18" fillId="22" borderId="3" xfId="0" applyNumberFormat="1" applyFont="1" applyFill="1" applyBorder="1" applyAlignment="1">
      <alignment horizontal="center" vertical="center" wrapText="1"/>
    </xf>
    <xf numFmtId="10" fontId="18" fillId="17" borderId="3" xfId="0" applyNumberFormat="1" applyFont="1" applyFill="1" applyBorder="1" applyAlignment="1">
      <alignment horizontal="center" vertical="center" wrapText="1"/>
    </xf>
    <xf numFmtId="177" fontId="18" fillId="22" borderId="2" xfId="0" applyNumberFormat="1" applyFont="1" applyFill="1" applyBorder="1" applyAlignment="1">
      <alignment horizontal="center" vertical="center" wrapText="1"/>
    </xf>
    <xf numFmtId="177" fontId="18" fillId="17" borderId="2" xfId="0" applyNumberFormat="1" applyFont="1" applyFill="1" applyBorder="1" applyAlignment="1">
      <alignment horizontal="center" vertical="center" wrapText="1"/>
    </xf>
    <xf numFmtId="1" fontId="18" fillId="22" borderId="2" xfId="0" applyNumberFormat="1" applyFont="1" applyFill="1" applyBorder="1" applyAlignment="1">
      <alignment horizontal="center" vertical="center" wrapText="1"/>
    </xf>
    <xf numFmtId="1" fontId="18" fillId="17" borderId="2" xfId="0" applyNumberFormat="1" applyFont="1" applyFill="1" applyBorder="1" applyAlignment="1">
      <alignment horizontal="center" vertical="center" wrapText="1"/>
    </xf>
    <xf numFmtId="0" fontId="32" fillId="21" borderId="28" xfId="0" applyFont="1" applyFill="1" applyBorder="1" applyAlignment="1">
      <alignment horizontal="left" vertical="center"/>
    </xf>
    <xf numFmtId="0" fontId="9" fillId="0" borderId="0" xfId="0" applyFont="1" applyFill="1" applyBorder="1" applyAlignment="1" applyProtection="1">
      <alignment horizontal="left" vertical="center" wrapText="1"/>
      <protection locked="0"/>
    </xf>
    <xf numFmtId="0" fontId="9" fillId="0" borderId="0" xfId="0" applyFont="1" applyFill="1" applyBorder="1" applyAlignment="1" applyProtection="1">
      <alignment horizontal="left" vertical="center"/>
      <protection locked="0"/>
    </xf>
    <xf numFmtId="0" fontId="6" fillId="0" borderId="0" xfId="0" applyFont="1" applyFill="1" applyBorder="1" applyAlignment="1">
      <alignment horizontal="left" vertical="center"/>
    </xf>
    <xf numFmtId="0" fontId="5" fillId="0" borderId="0" xfId="0" applyFont="1" applyFill="1" applyBorder="1" applyAlignment="1">
      <alignment horizontal="left" vertical="center"/>
    </xf>
    <xf numFmtId="14" fontId="10" fillId="2" borderId="0" xfId="0" applyNumberFormat="1" applyFont="1" applyFill="1" applyBorder="1" applyAlignment="1" applyProtection="1">
      <alignment horizontal="right" vertical="center"/>
    </xf>
    <xf numFmtId="0" fontId="21" fillId="0" borderId="0" xfId="0" applyFont="1" applyFill="1" applyBorder="1" applyAlignment="1" applyProtection="1">
      <alignment horizontal="left" vertical="center" wrapText="1"/>
      <protection locked="0"/>
    </xf>
    <xf numFmtId="14" fontId="8" fillId="2" borderId="0" xfId="0" applyNumberFormat="1" applyFont="1" applyFill="1" applyBorder="1" applyAlignment="1" applyProtection="1">
      <alignment horizontal="left" vertical="top" wrapText="1"/>
    </xf>
    <xf numFmtId="14" fontId="13" fillId="6" borderId="14" xfId="0" applyNumberFormat="1" applyFont="1" applyFill="1" applyBorder="1" applyAlignment="1" applyProtection="1">
      <alignment horizontal="center" vertical="center"/>
      <protection locked="0"/>
    </xf>
    <xf numFmtId="10" fontId="19" fillId="24" borderId="23" xfId="2" applyNumberFormat="1" applyFont="1" applyFill="1" applyBorder="1" applyAlignment="1" applyProtection="1">
      <alignment horizontal="right" vertical="top"/>
      <protection locked="0"/>
    </xf>
    <xf numFmtId="10" fontId="61" fillId="24" borderId="23" xfId="2" applyNumberFormat="1" applyFont="1" applyFill="1" applyBorder="1" applyAlignment="1" applyProtection="1">
      <alignment horizontal="right" vertical="top"/>
      <protection locked="0"/>
    </xf>
  </cellXfs>
  <cellStyles count="5">
    <cellStyle name="백분율" xfId="2" builtinId="5"/>
    <cellStyle name="표준" xfId="0" builtinId="0"/>
    <cellStyle name="표준 2" xfId="3"/>
    <cellStyle name="표준 3" xfId="4"/>
    <cellStyle name="하이퍼링크" xfId="1" builtinId="8"/>
  </cellStyles>
  <dxfs count="8">
    <dxf>
      <fill>
        <patternFill>
          <fgColor indexed="64"/>
          <bgColor rgb="FFFFFF99"/>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0000FF"/>
      <color rgb="FFFF6600"/>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84" name="꺾인 연결선 6498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85" name="꺾인 연결선 6498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86" name="꺾인 연결선 6498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87" name="꺾인 연결선 6498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88" name="꺾인 연결선 6498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89" name="꺾인 연결선 6498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0" name="꺾인 연결선 6498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1" name="꺾인 연결선 6499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2" name="꺾인 연결선 6499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3" name="꺾인 연결선 6499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4" name="꺾인 연결선 6499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5" name="꺾인 연결선 6499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6" name="꺾인 연결선 6499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7" name="꺾인 연결선 6499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8" name="꺾인 연결선 6499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4999" name="꺾인 연결선 6499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0" name="꺾인 연결선 6499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1" name="꺾인 연결선 6500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2" name="꺾인 연결선 6500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3" name="꺾인 연결선 6500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4" name="꺾인 연결선 6500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5" name="꺾인 연결선 6500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6" name="꺾인 연결선 6500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7" name="꺾인 연결선 6500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8" name="꺾인 연결선 6500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09" name="꺾인 연결선 6500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0" name="꺾인 연결선 6500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1" name="꺾인 연결선 6501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2" name="꺾인 연결선 6501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3" name="꺾인 연결선 6501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4" name="꺾인 연결선 6501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5" name="꺾인 연결선 6501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6" name="꺾인 연결선 6501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7" name="꺾인 연결선 6501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8" name="꺾인 연결선 6501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19" name="꺾인 연결선 6501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32" name="꺾인 연결선 6503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33" name="꺾인 연결선 6503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34" name="꺾인 연결선 6503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35" name="꺾인 연결선 6503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36" name="꺾인 연결선 6503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37" name="꺾인 연결선 6503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38" name="꺾인 연결선 6503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39" name="꺾인 연결선 6503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40" name="꺾인 연결선 6503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41" name="꺾인 연결선 6504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42" name="꺾인 연결선 6504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43" name="꺾인 연결선 6504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44" name="꺾인 연결선 6504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5045" name="꺾인 연결선 6504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32" name="꺾인 연결선 6523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33" name="꺾인 연결선 6523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34" name="꺾인 연결선 6523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35" name="꺾인 연결선 6523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36" name="꺾인 연결선 6523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37" name="꺾인 연결선 6523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38" name="꺾인 연결선 6523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39" name="꺾인 연결선 6523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0" name="꺾인 연결선 6523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1" name="꺾인 연결선 6524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2" name="꺾인 연결선 6524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3" name="꺾인 연결선 6524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4" name="꺾인 연결선 6524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5" name="꺾인 연결선 6524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6" name="꺾인 연결선 6524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7" name="꺾인 연결선 6524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8" name="꺾인 연결선 6524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49" name="꺾인 연결선 6524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0" name="꺾인 연결선 6524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1" name="꺾인 연결선 6525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2" name="꺾인 연결선 6525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3" name="꺾인 연결선 6525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4" name="꺾인 연결선 6525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5" name="꺾인 연결선 6525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6" name="꺾인 연결선 6525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7" name="꺾인 연결선 6525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8" name="꺾인 연결선 6525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59" name="꺾인 연결선 6525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0" name="꺾인 연결선 6525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1" name="꺾인 연결선 6526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2" name="꺾인 연결선 6526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3" name="꺾인 연결선 6526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4" name="꺾인 연결선 6526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5" name="꺾인 연결선 6526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6" name="꺾인 연결선 6526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7" name="꺾인 연결선 6526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8" name="꺾인 연결선 6526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69" name="꺾인 연결선 6526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0" name="꺾인 연결선 6526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1" name="꺾인 연결선 6527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2" name="꺾인 연결선 6527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3" name="꺾인 연결선 6527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4" name="꺾인 연결선 6527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5" name="꺾인 연결선 6527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6" name="꺾인 연결선 6527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7" name="꺾인 연결선 6527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8" name="꺾인 연결선 6527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279" name="꺾인 연결선 6527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0" name="꺾인 연결선 6767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1" name="꺾인 연결선 6768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2" name="꺾인 연결선 6768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3" name="꺾인 연결선 6768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4" name="꺾인 연결선 6768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5" name="꺾인 연결선 6768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6" name="꺾인 연결선 6768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7" name="꺾인 연결선 6768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8" name="꺾인 연결선 6768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89" name="꺾인 연결선 6768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0" name="꺾인 연결선 6768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1" name="꺾인 연결선 6769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2" name="꺾인 연결선 6769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3" name="꺾인 연결선 6769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4" name="꺾인 연결선 6769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5" name="꺾인 연결선 6769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6" name="꺾인 연결선 6769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7" name="꺾인 연결선 6769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8" name="꺾인 연결선 6769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699" name="꺾인 연결선 6769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0" name="꺾인 연결선 6769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1" name="꺾인 연결선 6770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2" name="꺾인 연결선 6770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3" name="꺾인 연결선 6770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4" name="꺾인 연결선 6770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5" name="꺾인 연결선 6770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6" name="꺾인 연결선 6770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7" name="꺾인 연결선 6770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8" name="꺾인 연결선 6770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09" name="꺾인 연결선 6770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0" name="꺾인 연결선 6770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1" name="꺾인 연결선 6771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2" name="꺾인 연결선 6771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3" name="꺾인 연결선 6771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4" name="꺾인 연결선 6771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5" name="꺾인 연결선 6771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6" name="꺾인 연결선 6771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7" name="꺾인 연결선 6771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8" name="꺾인 연결선 6771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19" name="꺾인 연결선 6771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20" name="꺾인 연결선 6771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21" name="꺾인 연결선 6772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22" name="꺾인 연결선 6772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23" name="꺾인 연결선 6772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24" name="꺾인 연결선 6772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25" name="꺾인 연결선 6772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26" name="꺾인 연결선 6772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727" name="꺾인 연결선 6772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0" name="꺾인 연결선 6779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1" name="꺾인 연결선 6780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2" name="꺾인 연결선 6780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3" name="꺾인 연결선 6780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4" name="꺾인 연결선 6780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5" name="꺾인 연결선 6780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6" name="꺾인 연결선 6780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7" name="꺾인 연결선 6780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8" name="꺾인 연결선 6780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09" name="꺾인 연결선 6780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0" name="꺾인 연결선 6780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1" name="꺾인 연결선 6781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2" name="꺾인 연결선 6781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3" name="꺾인 연결선 6781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4" name="꺾인 연결선 6781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5" name="꺾인 연결선 6781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6" name="꺾인 연결선 6781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7" name="꺾인 연결선 6781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8" name="꺾인 연결선 6781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19" name="꺾인 연결선 6781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0" name="꺾인 연결선 6781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1" name="꺾인 연결선 6782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2" name="꺾인 연결선 6782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3" name="꺾인 연결선 6782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4" name="꺾인 연결선 6782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5" name="꺾인 연결선 6782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6" name="꺾인 연결선 6782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7" name="꺾인 연결선 6782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8" name="꺾인 연결선 6782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29" name="꺾인 연결선 6782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0" name="꺾인 연결선 6782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1" name="꺾인 연결선 6783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2" name="꺾인 연결선 6783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3" name="꺾인 연결선 6783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4" name="꺾인 연결선 6783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5" name="꺾인 연결선 6783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6" name="꺾인 연결선 6783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7" name="꺾인 연결선 6783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8" name="꺾인 연결선 6783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39" name="꺾인 연결선 6783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40" name="꺾인 연결선 6783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41" name="꺾인 연결선 6784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42" name="꺾인 연결선 6784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43" name="꺾인 연결선 6784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44" name="꺾인 연결선 6784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45" name="꺾인 연결선 6784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46" name="꺾인 연결선 6784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847" name="꺾인 연결선 6784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1" name="꺾인 연결선 6792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2" name="꺾인 연결선 6792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3" name="꺾인 연결선 6792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4" name="꺾인 연결선 6792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5" name="꺾인 연결선 6792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6" name="꺾인 연결선 6792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7" name="꺾인 연결선 6792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8" name="꺾인 연결선 6792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29" name="꺾인 연결선 6792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0" name="꺾인 연결선 6792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1" name="꺾인 연결선 6793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2" name="꺾인 연결선 6793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3" name="꺾인 연결선 6793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4" name="꺾인 연결선 6793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5" name="꺾인 연결선 6793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6" name="꺾인 연결선 6793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7" name="꺾인 연결선 6793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8" name="꺾인 연결선 6793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39" name="꺾인 연결선 6793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0" name="꺾인 연결선 6793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1" name="꺾인 연결선 6794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2" name="꺾인 연결선 6794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3" name="꺾인 연결선 6794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4" name="꺾인 연결선 6794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5" name="꺾인 연결선 6794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6" name="꺾인 연결선 6794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7" name="꺾인 연결선 6794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8" name="꺾인 연결선 6794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49" name="꺾인 연결선 6794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0" name="꺾인 연결선 6794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1" name="꺾인 연결선 6795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2" name="꺾인 연결선 6795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3" name="꺾인 연결선 6795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4" name="꺾인 연결선 6795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5" name="꺾인 연결선 6795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6" name="꺾인 연결선 6795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7" name="꺾인 연결선 6795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8" name="꺾인 연결선 6795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59" name="꺾인 연결선 6795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0" name="꺾인 연결선 6795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1" name="꺾인 연결선 6796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2" name="꺾인 연결선 6796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3" name="꺾인 연결선 6796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4" name="꺾인 연결선 6796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5" name="꺾인 연결선 6796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6" name="꺾인 연결선 6796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7" name="꺾인 연결선 6796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7968" name="꺾인 연결선 6796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42" name="꺾인 연결선 6804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43" name="꺾인 연결선 6804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44" name="꺾인 연결선 6804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45" name="꺾인 연결선 6804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46" name="꺾인 연결선 6804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47" name="꺾인 연결선 6804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48" name="꺾인 연결선 6804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49" name="꺾인 연결선 6804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0" name="꺾인 연결선 6804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1" name="꺾인 연결선 6805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2" name="꺾인 연결선 6805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3" name="꺾인 연결선 6805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4" name="꺾인 연결선 6805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5" name="꺾인 연결선 6805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6" name="꺾인 연결선 6805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7" name="꺾인 연결선 6805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8" name="꺾인 연결선 6805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59" name="꺾인 연결선 6805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0" name="꺾인 연결선 6805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1" name="꺾인 연결선 6806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2" name="꺾인 연결선 6806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3" name="꺾인 연결선 6806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4" name="꺾인 연결선 6806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5" name="꺾인 연결선 6806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6" name="꺾인 연결선 6806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7" name="꺾인 연결선 6806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8" name="꺾인 연결선 6806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69" name="꺾인 연결선 6806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0" name="꺾인 연결선 6806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1" name="꺾인 연결선 6807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2" name="꺾인 연결선 6807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3" name="꺾인 연결선 6807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4" name="꺾인 연결선 6807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5" name="꺾인 연결선 6807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6" name="꺾인 연결선 6807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7" name="꺾인 연결선 6807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8" name="꺾인 연결선 6807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79" name="꺾인 연결선 6807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0" name="꺾인 연결선 6807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1" name="꺾인 연결선 6808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2" name="꺾인 연결선 6808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3" name="꺾인 연결선 6808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4" name="꺾인 연결선 6808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5" name="꺾인 연결선 6808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6" name="꺾인 연결선 6808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7" name="꺾인 연결선 6808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8" name="꺾인 연결선 6808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68089" name="꺾인 연결선 6808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0" name="꺾인 연결선 7136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1" name="꺾인 연결선 7137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2" name="꺾인 연결선 7137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3" name="꺾인 연결선 7137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4" name="꺾인 연결선 7137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5" name="꺾인 연결선 7137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6" name="꺾인 연결선 7137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7" name="꺾인 연결선 7137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8" name="꺾인 연결선 7137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79" name="꺾인 연결선 7137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0" name="꺾인 연결선 7137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1" name="꺾인 연결선 7138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2" name="꺾인 연결선 7138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3" name="꺾인 연결선 7138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4" name="꺾인 연결선 7138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5" name="꺾인 연결선 7138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6" name="꺾인 연결선 7138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7" name="꺾인 연결선 7138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8" name="꺾인 연결선 7138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89" name="꺾인 연결선 7138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0" name="꺾인 연결선 7138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1" name="꺾인 연결선 7139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2" name="꺾인 연결선 7139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3" name="꺾인 연결선 7139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4" name="꺾인 연결선 7139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5" name="꺾인 연결선 7139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6" name="꺾인 연결선 7139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7" name="꺾인 연결선 7139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8" name="꺾인 연결선 7139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99" name="꺾인 연결선 7139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0" name="꺾인 연결선 7139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1" name="꺾인 연결선 7140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2" name="꺾인 연결선 7140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3" name="꺾인 연결선 7140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4" name="꺾인 연결선 7140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5" name="꺾인 연결선 7140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6" name="꺾인 연결선 7140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7" name="꺾인 연결선 7140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8" name="꺾인 연결선 7140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09" name="꺾인 연결선 7140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10" name="꺾인 연결선 7140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11" name="꺾인 연결선 7141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12" name="꺾인 연결선 7141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13" name="꺾인 연결선 71412"/>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14" name="꺾인 연결선 7141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15" name="꺾인 연결선 7141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16" name="꺾인 연결선 71415"/>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17" name="꺾인 연결선 7141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0" name="꺾인 연결선 1802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982" name="꺾인 연결선 6798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0" name="꺾인 연결선 1824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884" name="꺾인 연결선 6788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364" name="꺾인 연결선 71363"/>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1427" name="꺾인 연결선 7142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71</xdr:row>
      <xdr:rowOff>0</xdr:rowOff>
    </xdr:to>
    <xdr:cxnSp macro="">
      <xdr:nvCxnSpPr>
        <xdr:cNvPr id="67883" name="직선 화살표 연결선 67882"/>
        <xdr:cNvCxnSpPr/>
      </xdr:nvCxnSpPr>
      <xdr:spPr>
        <a:xfrm>
          <a:off x="286416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xdr:row>
      <xdr:rowOff>76073</xdr:rowOff>
    </xdr:from>
    <xdr:to>
      <xdr:col>87</xdr:col>
      <xdr:colOff>0</xdr:colOff>
      <xdr:row>71</xdr:row>
      <xdr:rowOff>0</xdr:rowOff>
    </xdr:to>
    <xdr:cxnSp macro="">
      <xdr:nvCxnSpPr>
        <xdr:cNvPr id="67885" name="직선 화살표 연결선 67884"/>
        <xdr:cNvCxnSpPr/>
      </xdr:nvCxnSpPr>
      <xdr:spPr>
        <a:xfrm>
          <a:off x="465105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xdr:row>
      <xdr:rowOff>76073</xdr:rowOff>
    </xdr:from>
    <xdr:to>
      <xdr:col>115</xdr:col>
      <xdr:colOff>0</xdr:colOff>
      <xdr:row>71</xdr:row>
      <xdr:rowOff>0</xdr:rowOff>
    </xdr:to>
    <xdr:cxnSp macro="">
      <xdr:nvCxnSpPr>
        <xdr:cNvPr id="67886" name="직선 화살표 연결선 67885"/>
        <xdr:cNvCxnSpPr/>
      </xdr:nvCxnSpPr>
      <xdr:spPr>
        <a:xfrm>
          <a:off x="643794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0</xdr:colOff>
      <xdr:row>3</xdr:row>
      <xdr:rowOff>76073</xdr:rowOff>
    </xdr:from>
    <xdr:to>
      <xdr:col>143</xdr:col>
      <xdr:colOff>0</xdr:colOff>
      <xdr:row>71</xdr:row>
      <xdr:rowOff>0</xdr:rowOff>
    </xdr:to>
    <xdr:cxnSp macro="">
      <xdr:nvCxnSpPr>
        <xdr:cNvPr id="67887" name="직선 화살표 연결선 67886"/>
        <xdr:cNvCxnSpPr/>
      </xdr:nvCxnSpPr>
      <xdr:spPr>
        <a:xfrm>
          <a:off x="822483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3</xdr:row>
      <xdr:rowOff>76073</xdr:rowOff>
    </xdr:from>
    <xdr:to>
      <xdr:col>171</xdr:col>
      <xdr:colOff>0</xdr:colOff>
      <xdr:row>71</xdr:row>
      <xdr:rowOff>0</xdr:rowOff>
    </xdr:to>
    <xdr:cxnSp macro="">
      <xdr:nvCxnSpPr>
        <xdr:cNvPr id="67888" name="직선 화살표 연결선 67887"/>
        <xdr:cNvCxnSpPr/>
      </xdr:nvCxnSpPr>
      <xdr:spPr>
        <a:xfrm>
          <a:off x="1001172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199</xdr:col>
      <xdr:colOff>0</xdr:colOff>
      <xdr:row>3</xdr:row>
      <xdr:rowOff>76073</xdr:rowOff>
    </xdr:from>
    <xdr:to>
      <xdr:col>199</xdr:col>
      <xdr:colOff>0</xdr:colOff>
      <xdr:row>71</xdr:row>
      <xdr:rowOff>0</xdr:rowOff>
    </xdr:to>
    <xdr:cxnSp macro="">
      <xdr:nvCxnSpPr>
        <xdr:cNvPr id="67889" name="직선 화살표 연결선 67888"/>
        <xdr:cNvCxnSpPr/>
      </xdr:nvCxnSpPr>
      <xdr:spPr>
        <a:xfrm>
          <a:off x="1179861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0</xdr:colOff>
      <xdr:row>3</xdr:row>
      <xdr:rowOff>76073</xdr:rowOff>
    </xdr:from>
    <xdr:to>
      <xdr:col>227</xdr:col>
      <xdr:colOff>0</xdr:colOff>
      <xdr:row>71</xdr:row>
      <xdr:rowOff>0</xdr:rowOff>
    </xdr:to>
    <xdr:cxnSp macro="">
      <xdr:nvCxnSpPr>
        <xdr:cNvPr id="67890" name="직선 화살표 연결선 67889"/>
        <xdr:cNvCxnSpPr/>
      </xdr:nvCxnSpPr>
      <xdr:spPr>
        <a:xfrm>
          <a:off x="1358550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255</xdr:col>
      <xdr:colOff>0</xdr:colOff>
      <xdr:row>3</xdr:row>
      <xdr:rowOff>76073</xdr:rowOff>
    </xdr:from>
    <xdr:to>
      <xdr:col>255</xdr:col>
      <xdr:colOff>0</xdr:colOff>
      <xdr:row>71</xdr:row>
      <xdr:rowOff>0</xdr:rowOff>
    </xdr:to>
    <xdr:cxnSp macro="">
      <xdr:nvCxnSpPr>
        <xdr:cNvPr id="67891" name="직선 화살표 연결선 67890"/>
        <xdr:cNvCxnSpPr/>
      </xdr:nvCxnSpPr>
      <xdr:spPr>
        <a:xfrm>
          <a:off x="1537239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283</xdr:col>
      <xdr:colOff>0</xdr:colOff>
      <xdr:row>3</xdr:row>
      <xdr:rowOff>76073</xdr:rowOff>
    </xdr:from>
    <xdr:to>
      <xdr:col>283</xdr:col>
      <xdr:colOff>0</xdr:colOff>
      <xdr:row>71</xdr:row>
      <xdr:rowOff>0</xdr:rowOff>
    </xdr:to>
    <xdr:cxnSp macro="">
      <xdr:nvCxnSpPr>
        <xdr:cNvPr id="67892" name="직선 화살표 연결선 67891"/>
        <xdr:cNvCxnSpPr/>
      </xdr:nvCxnSpPr>
      <xdr:spPr>
        <a:xfrm>
          <a:off x="171592875" y="819023"/>
          <a:ext cx="0" cy="107157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0</xdr:colOff>
      <xdr:row>3</xdr:row>
      <xdr:rowOff>76073</xdr:rowOff>
    </xdr:from>
    <xdr:to>
      <xdr:col>242</xdr:col>
      <xdr:colOff>0</xdr:colOff>
      <xdr:row>71</xdr:row>
      <xdr:rowOff>0</xdr:rowOff>
    </xdr:to>
    <xdr:cxnSp macro="">
      <xdr:nvCxnSpPr>
        <xdr:cNvPr id="67893" name="직선 화살표 연결선 67892"/>
        <xdr:cNvCxnSpPr/>
      </xdr:nvCxnSpPr>
      <xdr:spPr>
        <a:xfrm>
          <a:off x="22831425" y="819023"/>
          <a:ext cx="0" cy="10715752"/>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244</xdr:col>
      <xdr:colOff>0</xdr:colOff>
      <xdr:row>70</xdr:row>
      <xdr:rowOff>19050</xdr:rowOff>
    </xdr:from>
    <xdr:to>
      <xdr:col>275</xdr:col>
      <xdr:colOff>1270</xdr:colOff>
      <xdr:row>70</xdr:row>
      <xdr:rowOff>133350</xdr:rowOff>
    </xdr:to>
    <xdr:sp macro="" textlink="">
      <xdr:nvSpPr>
        <xdr:cNvPr id="67894" name="67"/>
        <xdr:cNvSpPr/>
      </xdr:nvSpPr>
      <xdr:spPr>
        <a:xfrm>
          <a:off x="22945725" y="1140142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244</xdr:col>
      <xdr:colOff>0</xdr:colOff>
      <xdr:row>70</xdr:row>
      <xdr:rowOff>76200</xdr:rowOff>
    </xdr:from>
    <xdr:to>
      <xdr:col>244</xdr:col>
      <xdr:colOff>0</xdr:colOff>
      <xdr:row>70</xdr:row>
      <xdr:rowOff>76200</xdr:rowOff>
    </xdr:to>
    <xdr:cxnSp macro="">
      <xdr:nvCxnSpPr>
        <xdr:cNvPr id="67895" name="직선 화살표 연결선 67894"/>
        <xdr:cNvCxnSpPr/>
      </xdr:nvCxnSpPr>
      <xdr:spPr>
        <a:xfrm>
          <a:off x="22945725" y="114585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244</xdr:col>
      <xdr:colOff>0</xdr:colOff>
      <xdr:row>69</xdr:row>
      <xdr:rowOff>19050</xdr:rowOff>
    </xdr:from>
    <xdr:to>
      <xdr:col>275</xdr:col>
      <xdr:colOff>1270</xdr:colOff>
      <xdr:row>69</xdr:row>
      <xdr:rowOff>133350</xdr:rowOff>
    </xdr:to>
    <xdr:sp macro="" textlink="">
      <xdr:nvSpPr>
        <xdr:cNvPr id="67896" name="66"/>
        <xdr:cNvSpPr/>
      </xdr:nvSpPr>
      <xdr:spPr>
        <a:xfrm>
          <a:off x="22945725" y="11249025"/>
          <a:ext cx="1772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244</xdr:col>
      <xdr:colOff>0</xdr:colOff>
      <xdr:row>69</xdr:row>
      <xdr:rowOff>76200</xdr:rowOff>
    </xdr:from>
    <xdr:to>
      <xdr:col>244</xdr:col>
      <xdr:colOff>0</xdr:colOff>
      <xdr:row>69</xdr:row>
      <xdr:rowOff>76200</xdr:rowOff>
    </xdr:to>
    <xdr:cxnSp macro="">
      <xdr:nvCxnSpPr>
        <xdr:cNvPr id="67897" name="직선 화살표 연결선 67896"/>
        <xdr:cNvCxnSpPr/>
      </xdr:nvCxnSpPr>
      <xdr:spPr>
        <a:xfrm>
          <a:off x="22945725" y="113061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244</xdr:col>
      <xdr:colOff>0</xdr:colOff>
      <xdr:row>68</xdr:row>
      <xdr:rowOff>19050</xdr:rowOff>
    </xdr:from>
    <xdr:to>
      <xdr:col>246</xdr:col>
      <xdr:colOff>12700</xdr:colOff>
      <xdr:row>68</xdr:row>
      <xdr:rowOff>146050</xdr:rowOff>
    </xdr:to>
    <xdr:sp macro="" textlink="">
      <xdr:nvSpPr>
        <xdr:cNvPr id="67898" name="65"/>
        <xdr:cNvSpPr/>
      </xdr:nvSpPr>
      <xdr:spPr>
        <a:xfrm>
          <a:off x="22945725" y="11096625"/>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243</xdr:col>
      <xdr:colOff>0</xdr:colOff>
      <xdr:row>67</xdr:row>
      <xdr:rowOff>19050</xdr:rowOff>
    </xdr:from>
    <xdr:to>
      <xdr:col>244</xdr:col>
      <xdr:colOff>1270</xdr:colOff>
      <xdr:row>67</xdr:row>
      <xdr:rowOff>133350</xdr:rowOff>
    </xdr:to>
    <xdr:sp macro="" textlink="">
      <xdr:nvSpPr>
        <xdr:cNvPr id="67899" name="64"/>
        <xdr:cNvSpPr/>
      </xdr:nvSpPr>
      <xdr:spPr>
        <a:xfrm>
          <a:off x="22888575" y="10944225"/>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243</xdr:col>
      <xdr:colOff>0</xdr:colOff>
      <xdr:row>67</xdr:row>
      <xdr:rowOff>76200</xdr:rowOff>
    </xdr:from>
    <xdr:to>
      <xdr:col>243</xdr:col>
      <xdr:colOff>0</xdr:colOff>
      <xdr:row>67</xdr:row>
      <xdr:rowOff>76200</xdr:rowOff>
    </xdr:to>
    <xdr:cxnSp macro="">
      <xdr:nvCxnSpPr>
        <xdr:cNvPr id="67900" name="직선 화살표 연결선 67899"/>
        <xdr:cNvCxnSpPr/>
      </xdr:nvCxnSpPr>
      <xdr:spPr>
        <a:xfrm>
          <a:off x="22888575" y="110013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241</xdr:col>
      <xdr:colOff>0</xdr:colOff>
      <xdr:row>66</xdr:row>
      <xdr:rowOff>19050</xdr:rowOff>
    </xdr:from>
    <xdr:to>
      <xdr:col>243</xdr:col>
      <xdr:colOff>1270</xdr:colOff>
      <xdr:row>66</xdr:row>
      <xdr:rowOff>133350</xdr:rowOff>
    </xdr:to>
    <xdr:sp macro="" textlink="">
      <xdr:nvSpPr>
        <xdr:cNvPr id="67901" name="63"/>
        <xdr:cNvSpPr/>
      </xdr:nvSpPr>
      <xdr:spPr>
        <a:xfrm>
          <a:off x="22774275" y="10791825"/>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241</xdr:col>
      <xdr:colOff>0</xdr:colOff>
      <xdr:row>66</xdr:row>
      <xdr:rowOff>76200</xdr:rowOff>
    </xdr:from>
    <xdr:to>
      <xdr:col>241</xdr:col>
      <xdr:colOff>0</xdr:colOff>
      <xdr:row>66</xdr:row>
      <xdr:rowOff>76200</xdr:rowOff>
    </xdr:to>
    <xdr:cxnSp macro="">
      <xdr:nvCxnSpPr>
        <xdr:cNvPr id="67902" name="직선 화살표 연결선 67901"/>
        <xdr:cNvCxnSpPr/>
      </xdr:nvCxnSpPr>
      <xdr:spPr>
        <a:xfrm>
          <a:off x="22774275" y="108489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234</xdr:col>
      <xdr:colOff>0</xdr:colOff>
      <xdr:row>65</xdr:row>
      <xdr:rowOff>19050</xdr:rowOff>
    </xdr:from>
    <xdr:to>
      <xdr:col>235</xdr:col>
      <xdr:colOff>1270</xdr:colOff>
      <xdr:row>65</xdr:row>
      <xdr:rowOff>133350</xdr:rowOff>
    </xdr:to>
    <xdr:sp macro="" textlink="">
      <xdr:nvSpPr>
        <xdr:cNvPr id="67903" name="62"/>
        <xdr:cNvSpPr/>
      </xdr:nvSpPr>
      <xdr:spPr>
        <a:xfrm>
          <a:off x="22374225" y="10639425"/>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234</xdr:col>
      <xdr:colOff>0</xdr:colOff>
      <xdr:row>65</xdr:row>
      <xdr:rowOff>76200</xdr:rowOff>
    </xdr:from>
    <xdr:to>
      <xdr:col>234</xdr:col>
      <xdr:colOff>0</xdr:colOff>
      <xdr:row>65</xdr:row>
      <xdr:rowOff>76200</xdr:rowOff>
    </xdr:to>
    <xdr:cxnSp macro="">
      <xdr:nvCxnSpPr>
        <xdr:cNvPr id="67904" name="직선 화살표 연결선 67903"/>
        <xdr:cNvCxnSpPr/>
      </xdr:nvCxnSpPr>
      <xdr:spPr>
        <a:xfrm>
          <a:off x="22374225" y="106965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234</xdr:col>
      <xdr:colOff>0</xdr:colOff>
      <xdr:row>64</xdr:row>
      <xdr:rowOff>19050</xdr:rowOff>
    </xdr:from>
    <xdr:to>
      <xdr:col>236</xdr:col>
      <xdr:colOff>12700</xdr:colOff>
      <xdr:row>64</xdr:row>
      <xdr:rowOff>146050</xdr:rowOff>
    </xdr:to>
    <xdr:sp macro="" textlink="">
      <xdr:nvSpPr>
        <xdr:cNvPr id="67905" name="61"/>
        <xdr:cNvSpPr/>
      </xdr:nvSpPr>
      <xdr:spPr>
        <a:xfrm>
          <a:off x="22374225" y="10487025"/>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234</xdr:col>
      <xdr:colOff>0</xdr:colOff>
      <xdr:row>63</xdr:row>
      <xdr:rowOff>19050</xdr:rowOff>
    </xdr:from>
    <xdr:to>
      <xdr:col>235</xdr:col>
      <xdr:colOff>1270</xdr:colOff>
      <xdr:row>63</xdr:row>
      <xdr:rowOff>133350</xdr:rowOff>
    </xdr:to>
    <xdr:sp macro="" textlink="">
      <xdr:nvSpPr>
        <xdr:cNvPr id="67906" name="60"/>
        <xdr:cNvSpPr/>
      </xdr:nvSpPr>
      <xdr:spPr>
        <a:xfrm>
          <a:off x="22374225" y="10334625"/>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234</xdr:col>
      <xdr:colOff>0</xdr:colOff>
      <xdr:row>63</xdr:row>
      <xdr:rowOff>76200</xdr:rowOff>
    </xdr:from>
    <xdr:to>
      <xdr:col>234</xdr:col>
      <xdr:colOff>0</xdr:colOff>
      <xdr:row>63</xdr:row>
      <xdr:rowOff>76200</xdr:rowOff>
    </xdr:to>
    <xdr:cxnSp macro="">
      <xdr:nvCxnSpPr>
        <xdr:cNvPr id="67907" name="직선 화살표 연결선 67906"/>
        <xdr:cNvCxnSpPr/>
      </xdr:nvCxnSpPr>
      <xdr:spPr>
        <a:xfrm>
          <a:off x="22374225" y="103917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234</xdr:col>
      <xdr:colOff>0</xdr:colOff>
      <xdr:row>62</xdr:row>
      <xdr:rowOff>19050</xdr:rowOff>
    </xdr:from>
    <xdr:to>
      <xdr:col>235</xdr:col>
      <xdr:colOff>1270</xdr:colOff>
      <xdr:row>62</xdr:row>
      <xdr:rowOff>133350</xdr:rowOff>
    </xdr:to>
    <xdr:sp macro="" textlink="">
      <xdr:nvSpPr>
        <xdr:cNvPr id="67908" name="59"/>
        <xdr:cNvSpPr/>
      </xdr:nvSpPr>
      <xdr:spPr>
        <a:xfrm>
          <a:off x="22374225" y="10182225"/>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234</xdr:col>
      <xdr:colOff>0</xdr:colOff>
      <xdr:row>62</xdr:row>
      <xdr:rowOff>76200</xdr:rowOff>
    </xdr:from>
    <xdr:to>
      <xdr:col>234</xdr:col>
      <xdr:colOff>0</xdr:colOff>
      <xdr:row>62</xdr:row>
      <xdr:rowOff>76200</xdr:rowOff>
    </xdr:to>
    <xdr:cxnSp macro="">
      <xdr:nvCxnSpPr>
        <xdr:cNvPr id="67909" name="직선 화살표 연결선 67908"/>
        <xdr:cNvCxnSpPr/>
      </xdr:nvCxnSpPr>
      <xdr:spPr>
        <a:xfrm>
          <a:off x="22374225" y="102393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234</xdr:col>
      <xdr:colOff>0</xdr:colOff>
      <xdr:row>61</xdr:row>
      <xdr:rowOff>19050</xdr:rowOff>
    </xdr:from>
    <xdr:to>
      <xdr:col>275</xdr:col>
      <xdr:colOff>1270</xdr:colOff>
      <xdr:row>61</xdr:row>
      <xdr:rowOff>133350</xdr:rowOff>
    </xdr:to>
    <xdr:sp macro="" textlink="">
      <xdr:nvSpPr>
        <xdr:cNvPr id="67910" name="58"/>
        <xdr:cNvSpPr/>
      </xdr:nvSpPr>
      <xdr:spPr>
        <a:xfrm>
          <a:off x="22374225" y="10029825"/>
          <a:ext cx="2344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234</xdr:col>
      <xdr:colOff>0</xdr:colOff>
      <xdr:row>61</xdr:row>
      <xdr:rowOff>76200</xdr:rowOff>
    </xdr:from>
    <xdr:to>
      <xdr:col>234</xdr:col>
      <xdr:colOff>0</xdr:colOff>
      <xdr:row>61</xdr:row>
      <xdr:rowOff>76200</xdr:rowOff>
    </xdr:to>
    <xdr:cxnSp macro="">
      <xdr:nvCxnSpPr>
        <xdr:cNvPr id="67911" name="직선 화살표 연결선 67910"/>
        <xdr:cNvCxnSpPr/>
      </xdr:nvCxnSpPr>
      <xdr:spPr>
        <a:xfrm>
          <a:off x="22374225" y="100869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213</xdr:col>
      <xdr:colOff>0</xdr:colOff>
      <xdr:row>60</xdr:row>
      <xdr:rowOff>19050</xdr:rowOff>
    </xdr:from>
    <xdr:to>
      <xdr:col>225</xdr:col>
      <xdr:colOff>1270</xdr:colOff>
      <xdr:row>60</xdr:row>
      <xdr:rowOff>133350</xdr:rowOff>
    </xdr:to>
    <xdr:sp macro="" textlink="">
      <xdr:nvSpPr>
        <xdr:cNvPr id="67912" name="57"/>
        <xdr:cNvSpPr/>
      </xdr:nvSpPr>
      <xdr:spPr>
        <a:xfrm>
          <a:off x="21174075" y="98774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213</xdr:col>
      <xdr:colOff>0</xdr:colOff>
      <xdr:row>60</xdr:row>
      <xdr:rowOff>76200</xdr:rowOff>
    </xdr:from>
    <xdr:to>
      <xdr:col>213</xdr:col>
      <xdr:colOff>0</xdr:colOff>
      <xdr:row>60</xdr:row>
      <xdr:rowOff>76200</xdr:rowOff>
    </xdr:to>
    <xdr:cxnSp macro="">
      <xdr:nvCxnSpPr>
        <xdr:cNvPr id="67913" name="직선 화살표 연결선 67912"/>
        <xdr:cNvCxnSpPr/>
      </xdr:nvCxnSpPr>
      <xdr:spPr>
        <a:xfrm>
          <a:off x="21174075" y="99345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213</xdr:col>
      <xdr:colOff>0</xdr:colOff>
      <xdr:row>59</xdr:row>
      <xdr:rowOff>19050</xdr:rowOff>
    </xdr:from>
    <xdr:to>
      <xdr:col>225</xdr:col>
      <xdr:colOff>1270</xdr:colOff>
      <xdr:row>59</xdr:row>
      <xdr:rowOff>133350</xdr:rowOff>
    </xdr:to>
    <xdr:sp macro="" textlink="">
      <xdr:nvSpPr>
        <xdr:cNvPr id="67914" name="56"/>
        <xdr:cNvSpPr/>
      </xdr:nvSpPr>
      <xdr:spPr>
        <a:xfrm>
          <a:off x="21174075" y="9725025"/>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213</xdr:col>
      <xdr:colOff>0</xdr:colOff>
      <xdr:row>59</xdr:row>
      <xdr:rowOff>76200</xdr:rowOff>
    </xdr:from>
    <xdr:to>
      <xdr:col>213</xdr:col>
      <xdr:colOff>0</xdr:colOff>
      <xdr:row>59</xdr:row>
      <xdr:rowOff>76200</xdr:rowOff>
    </xdr:to>
    <xdr:cxnSp macro="">
      <xdr:nvCxnSpPr>
        <xdr:cNvPr id="67915" name="직선 화살표 연결선 67914"/>
        <xdr:cNvCxnSpPr/>
      </xdr:nvCxnSpPr>
      <xdr:spPr>
        <a:xfrm>
          <a:off x="21174075" y="97821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213</xdr:col>
      <xdr:colOff>0</xdr:colOff>
      <xdr:row>58</xdr:row>
      <xdr:rowOff>19050</xdr:rowOff>
    </xdr:from>
    <xdr:to>
      <xdr:col>275</xdr:col>
      <xdr:colOff>1270</xdr:colOff>
      <xdr:row>58</xdr:row>
      <xdr:rowOff>133350</xdr:rowOff>
    </xdr:to>
    <xdr:sp macro="" textlink="">
      <xdr:nvSpPr>
        <xdr:cNvPr id="67916" name="55"/>
        <xdr:cNvSpPr/>
      </xdr:nvSpPr>
      <xdr:spPr>
        <a:xfrm>
          <a:off x="21174075" y="9572625"/>
          <a:ext cx="35445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213</xdr:col>
      <xdr:colOff>0</xdr:colOff>
      <xdr:row>58</xdr:row>
      <xdr:rowOff>76200</xdr:rowOff>
    </xdr:from>
    <xdr:to>
      <xdr:col>213</xdr:col>
      <xdr:colOff>0</xdr:colOff>
      <xdr:row>58</xdr:row>
      <xdr:rowOff>76200</xdr:rowOff>
    </xdr:to>
    <xdr:cxnSp macro="">
      <xdr:nvCxnSpPr>
        <xdr:cNvPr id="67917" name="직선 화살표 연결선 67916"/>
        <xdr:cNvCxnSpPr/>
      </xdr:nvCxnSpPr>
      <xdr:spPr>
        <a:xfrm>
          <a:off x="21174075" y="96297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234</xdr:col>
      <xdr:colOff>0</xdr:colOff>
      <xdr:row>57</xdr:row>
      <xdr:rowOff>19050</xdr:rowOff>
    </xdr:from>
    <xdr:to>
      <xdr:col>239</xdr:col>
      <xdr:colOff>1270</xdr:colOff>
      <xdr:row>57</xdr:row>
      <xdr:rowOff>133350</xdr:rowOff>
    </xdr:to>
    <xdr:sp macro="" textlink="">
      <xdr:nvSpPr>
        <xdr:cNvPr id="67918" name="54"/>
        <xdr:cNvSpPr/>
      </xdr:nvSpPr>
      <xdr:spPr>
        <a:xfrm>
          <a:off x="22374225" y="94202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234</xdr:col>
      <xdr:colOff>0</xdr:colOff>
      <xdr:row>57</xdr:row>
      <xdr:rowOff>76200</xdr:rowOff>
    </xdr:from>
    <xdr:to>
      <xdr:col>234</xdr:col>
      <xdr:colOff>0</xdr:colOff>
      <xdr:row>57</xdr:row>
      <xdr:rowOff>76200</xdr:rowOff>
    </xdr:to>
    <xdr:cxnSp macro="">
      <xdr:nvCxnSpPr>
        <xdr:cNvPr id="67919" name="직선 화살표 연결선 67918"/>
        <xdr:cNvCxnSpPr/>
      </xdr:nvCxnSpPr>
      <xdr:spPr>
        <a:xfrm>
          <a:off x="22374225" y="94773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0</xdr:colOff>
      <xdr:row>56</xdr:row>
      <xdr:rowOff>19050</xdr:rowOff>
    </xdr:from>
    <xdr:to>
      <xdr:col>232</xdr:col>
      <xdr:colOff>1270</xdr:colOff>
      <xdr:row>56</xdr:row>
      <xdr:rowOff>133350</xdr:rowOff>
    </xdr:to>
    <xdr:sp macro="" textlink="">
      <xdr:nvSpPr>
        <xdr:cNvPr id="67920" name="53"/>
        <xdr:cNvSpPr/>
      </xdr:nvSpPr>
      <xdr:spPr>
        <a:xfrm>
          <a:off x="21974175" y="92678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227</xdr:col>
      <xdr:colOff>0</xdr:colOff>
      <xdr:row>56</xdr:row>
      <xdr:rowOff>76200</xdr:rowOff>
    </xdr:from>
    <xdr:to>
      <xdr:col>227</xdr:col>
      <xdr:colOff>0</xdr:colOff>
      <xdr:row>56</xdr:row>
      <xdr:rowOff>76200</xdr:rowOff>
    </xdr:to>
    <xdr:cxnSp macro="">
      <xdr:nvCxnSpPr>
        <xdr:cNvPr id="67969" name="직선 화살표 연결선 67968"/>
        <xdr:cNvCxnSpPr/>
      </xdr:nvCxnSpPr>
      <xdr:spPr>
        <a:xfrm>
          <a:off x="21974175" y="93249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222</xdr:col>
      <xdr:colOff>0</xdr:colOff>
      <xdr:row>55</xdr:row>
      <xdr:rowOff>19050</xdr:rowOff>
    </xdr:from>
    <xdr:to>
      <xdr:col>225</xdr:col>
      <xdr:colOff>1270</xdr:colOff>
      <xdr:row>55</xdr:row>
      <xdr:rowOff>133350</xdr:rowOff>
    </xdr:to>
    <xdr:sp macro="" textlink="">
      <xdr:nvSpPr>
        <xdr:cNvPr id="67970" name="52"/>
        <xdr:cNvSpPr/>
      </xdr:nvSpPr>
      <xdr:spPr>
        <a:xfrm>
          <a:off x="21688425" y="9115425"/>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222</xdr:col>
      <xdr:colOff>0</xdr:colOff>
      <xdr:row>55</xdr:row>
      <xdr:rowOff>76200</xdr:rowOff>
    </xdr:from>
    <xdr:to>
      <xdr:col>222</xdr:col>
      <xdr:colOff>0</xdr:colOff>
      <xdr:row>55</xdr:row>
      <xdr:rowOff>76200</xdr:rowOff>
    </xdr:to>
    <xdr:cxnSp macro="">
      <xdr:nvCxnSpPr>
        <xdr:cNvPr id="67971" name="직선 화살표 연결선 67970"/>
        <xdr:cNvCxnSpPr/>
      </xdr:nvCxnSpPr>
      <xdr:spPr>
        <a:xfrm>
          <a:off x="21688425" y="91725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222</xdr:col>
      <xdr:colOff>0</xdr:colOff>
      <xdr:row>54</xdr:row>
      <xdr:rowOff>19050</xdr:rowOff>
    </xdr:from>
    <xdr:to>
      <xdr:col>239</xdr:col>
      <xdr:colOff>1270</xdr:colOff>
      <xdr:row>54</xdr:row>
      <xdr:rowOff>133350</xdr:rowOff>
    </xdr:to>
    <xdr:sp macro="" textlink="">
      <xdr:nvSpPr>
        <xdr:cNvPr id="67972" name="51"/>
        <xdr:cNvSpPr/>
      </xdr:nvSpPr>
      <xdr:spPr>
        <a:xfrm>
          <a:off x="21688425" y="8963025"/>
          <a:ext cx="9728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222</xdr:col>
      <xdr:colOff>0</xdr:colOff>
      <xdr:row>54</xdr:row>
      <xdr:rowOff>76200</xdr:rowOff>
    </xdr:from>
    <xdr:to>
      <xdr:col>222</xdr:col>
      <xdr:colOff>0</xdr:colOff>
      <xdr:row>54</xdr:row>
      <xdr:rowOff>76200</xdr:rowOff>
    </xdr:to>
    <xdr:cxnSp macro="">
      <xdr:nvCxnSpPr>
        <xdr:cNvPr id="67973" name="직선 화살표 연결선 67972"/>
        <xdr:cNvCxnSpPr/>
      </xdr:nvCxnSpPr>
      <xdr:spPr>
        <a:xfrm>
          <a:off x="21688425" y="90201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222</xdr:col>
      <xdr:colOff>0</xdr:colOff>
      <xdr:row>53</xdr:row>
      <xdr:rowOff>19050</xdr:rowOff>
    </xdr:from>
    <xdr:to>
      <xdr:col>239</xdr:col>
      <xdr:colOff>1270</xdr:colOff>
      <xdr:row>53</xdr:row>
      <xdr:rowOff>133350</xdr:rowOff>
    </xdr:to>
    <xdr:sp macro="" textlink="">
      <xdr:nvSpPr>
        <xdr:cNvPr id="67974" name="50"/>
        <xdr:cNvSpPr/>
      </xdr:nvSpPr>
      <xdr:spPr>
        <a:xfrm>
          <a:off x="21688425" y="8810625"/>
          <a:ext cx="9728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222</xdr:col>
      <xdr:colOff>0</xdr:colOff>
      <xdr:row>53</xdr:row>
      <xdr:rowOff>76200</xdr:rowOff>
    </xdr:from>
    <xdr:to>
      <xdr:col>222</xdr:col>
      <xdr:colOff>0</xdr:colOff>
      <xdr:row>53</xdr:row>
      <xdr:rowOff>76200</xdr:rowOff>
    </xdr:to>
    <xdr:cxnSp macro="">
      <xdr:nvCxnSpPr>
        <xdr:cNvPr id="67975" name="직선 화살표 연결선 67974"/>
        <xdr:cNvCxnSpPr/>
      </xdr:nvCxnSpPr>
      <xdr:spPr>
        <a:xfrm>
          <a:off x="21688425" y="886777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192</xdr:col>
      <xdr:colOff>0</xdr:colOff>
      <xdr:row>52</xdr:row>
      <xdr:rowOff>19050</xdr:rowOff>
    </xdr:from>
    <xdr:to>
      <xdr:col>197</xdr:col>
      <xdr:colOff>1270</xdr:colOff>
      <xdr:row>52</xdr:row>
      <xdr:rowOff>133350</xdr:rowOff>
    </xdr:to>
    <xdr:sp macro="" textlink="">
      <xdr:nvSpPr>
        <xdr:cNvPr id="67976" name="49"/>
        <xdr:cNvSpPr/>
      </xdr:nvSpPr>
      <xdr:spPr>
        <a:xfrm>
          <a:off x="19973925" y="86582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192</xdr:col>
      <xdr:colOff>0</xdr:colOff>
      <xdr:row>52</xdr:row>
      <xdr:rowOff>76200</xdr:rowOff>
    </xdr:from>
    <xdr:to>
      <xdr:col>207</xdr:col>
      <xdr:colOff>0</xdr:colOff>
      <xdr:row>52</xdr:row>
      <xdr:rowOff>76200</xdr:rowOff>
    </xdr:to>
    <xdr:cxnSp macro="">
      <xdr:nvCxnSpPr>
        <xdr:cNvPr id="67977" name="직선 화살표 연결선 67976"/>
        <xdr:cNvCxnSpPr/>
      </xdr:nvCxnSpPr>
      <xdr:spPr>
        <a:xfrm>
          <a:off x="19973925" y="8715375"/>
          <a:ext cx="857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192</xdr:col>
      <xdr:colOff>0</xdr:colOff>
      <xdr:row>51</xdr:row>
      <xdr:rowOff>19050</xdr:rowOff>
    </xdr:from>
    <xdr:to>
      <xdr:col>197</xdr:col>
      <xdr:colOff>1270</xdr:colOff>
      <xdr:row>51</xdr:row>
      <xdr:rowOff>133350</xdr:rowOff>
    </xdr:to>
    <xdr:sp macro="" textlink="">
      <xdr:nvSpPr>
        <xdr:cNvPr id="67978" name="48"/>
        <xdr:cNvSpPr/>
      </xdr:nvSpPr>
      <xdr:spPr>
        <a:xfrm>
          <a:off x="19973925" y="85058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192</xdr:col>
      <xdr:colOff>0</xdr:colOff>
      <xdr:row>51</xdr:row>
      <xdr:rowOff>76200</xdr:rowOff>
    </xdr:from>
    <xdr:to>
      <xdr:col>207</xdr:col>
      <xdr:colOff>0</xdr:colOff>
      <xdr:row>51</xdr:row>
      <xdr:rowOff>76200</xdr:rowOff>
    </xdr:to>
    <xdr:cxnSp macro="">
      <xdr:nvCxnSpPr>
        <xdr:cNvPr id="67979" name="직선 화살표 연결선 67978"/>
        <xdr:cNvCxnSpPr/>
      </xdr:nvCxnSpPr>
      <xdr:spPr>
        <a:xfrm>
          <a:off x="19973925" y="8562975"/>
          <a:ext cx="857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206</xdr:col>
      <xdr:colOff>0</xdr:colOff>
      <xdr:row>50</xdr:row>
      <xdr:rowOff>19050</xdr:rowOff>
    </xdr:from>
    <xdr:to>
      <xdr:col>211</xdr:col>
      <xdr:colOff>1270</xdr:colOff>
      <xdr:row>50</xdr:row>
      <xdr:rowOff>133350</xdr:rowOff>
    </xdr:to>
    <xdr:sp macro="" textlink="">
      <xdr:nvSpPr>
        <xdr:cNvPr id="67980" name="47"/>
        <xdr:cNvSpPr/>
      </xdr:nvSpPr>
      <xdr:spPr>
        <a:xfrm>
          <a:off x="20774025" y="83534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199</xdr:col>
      <xdr:colOff>0</xdr:colOff>
      <xdr:row>50</xdr:row>
      <xdr:rowOff>76200</xdr:rowOff>
    </xdr:from>
    <xdr:to>
      <xdr:col>202</xdr:col>
      <xdr:colOff>28575</xdr:colOff>
      <xdr:row>50</xdr:row>
      <xdr:rowOff>76200</xdr:rowOff>
    </xdr:to>
    <xdr:cxnSp macro="">
      <xdr:nvCxnSpPr>
        <xdr:cNvPr id="67981" name="직선 화살표 연결선 67980"/>
        <xdr:cNvCxnSpPr/>
      </xdr:nvCxnSpPr>
      <xdr:spPr>
        <a:xfrm>
          <a:off x="20373975" y="8410575"/>
          <a:ext cx="200025"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192</xdr:col>
      <xdr:colOff>0</xdr:colOff>
      <xdr:row>49</xdr:row>
      <xdr:rowOff>19050</xdr:rowOff>
    </xdr:from>
    <xdr:to>
      <xdr:col>204</xdr:col>
      <xdr:colOff>1270</xdr:colOff>
      <xdr:row>49</xdr:row>
      <xdr:rowOff>133350</xdr:rowOff>
    </xdr:to>
    <xdr:sp macro="" textlink="">
      <xdr:nvSpPr>
        <xdr:cNvPr id="67983" name="46"/>
        <xdr:cNvSpPr/>
      </xdr:nvSpPr>
      <xdr:spPr>
        <a:xfrm>
          <a:off x="19973925" y="82010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192</xdr:col>
      <xdr:colOff>0</xdr:colOff>
      <xdr:row>49</xdr:row>
      <xdr:rowOff>76200</xdr:rowOff>
    </xdr:from>
    <xdr:to>
      <xdr:col>208</xdr:col>
      <xdr:colOff>0</xdr:colOff>
      <xdr:row>49</xdr:row>
      <xdr:rowOff>76200</xdr:rowOff>
    </xdr:to>
    <xdr:cxnSp macro="">
      <xdr:nvCxnSpPr>
        <xdr:cNvPr id="67984" name="직선 화살표 연결선 67983"/>
        <xdr:cNvCxnSpPr/>
      </xdr:nvCxnSpPr>
      <xdr:spPr>
        <a:xfrm>
          <a:off x="19973925" y="8258175"/>
          <a:ext cx="914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192</xdr:col>
      <xdr:colOff>0</xdr:colOff>
      <xdr:row>48</xdr:row>
      <xdr:rowOff>19050</xdr:rowOff>
    </xdr:from>
    <xdr:to>
      <xdr:col>211</xdr:col>
      <xdr:colOff>1270</xdr:colOff>
      <xdr:row>48</xdr:row>
      <xdr:rowOff>133350</xdr:rowOff>
    </xdr:to>
    <xdr:sp macro="" textlink="">
      <xdr:nvSpPr>
        <xdr:cNvPr id="67985" name="45"/>
        <xdr:cNvSpPr/>
      </xdr:nvSpPr>
      <xdr:spPr>
        <a:xfrm>
          <a:off x="19973925" y="8048625"/>
          <a:ext cx="1087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192</xdr:col>
      <xdr:colOff>0</xdr:colOff>
      <xdr:row>48</xdr:row>
      <xdr:rowOff>76200</xdr:rowOff>
    </xdr:from>
    <xdr:to>
      <xdr:col>209</xdr:col>
      <xdr:colOff>5714</xdr:colOff>
      <xdr:row>48</xdr:row>
      <xdr:rowOff>76200</xdr:rowOff>
    </xdr:to>
    <xdr:cxnSp macro="">
      <xdr:nvCxnSpPr>
        <xdr:cNvPr id="67986" name="직선 화살표 연결선 67985"/>
        <xdr:cNvCxnSpPr/>
      </xdr:nvCxnSpPr>
      <xdr:spPr>
        <a:xfrm>
          <a:off x="19973925" y="8105775"/>
          <a:ext cx="9772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164</xdr:col>
      <xdr:colOff>0</xdr:colOff>
      <xdr:row>47</xdr:row>
      <xdr:rowOff>19050</xdr:rowOff>
    </xdr:from>
    <xdr:to>
      <xdr:col>183</xdr:col>
      <xdr:colOff>1270</xdr:colOff>
      <xdr:row>47</xdr:row>
      <xdr:rowOff>133350</xdr:rowOff>
    </xdr:to>
    <xdr:sp macro="" textlink="">
      <xdr:nvSpPr>
        <xdr:cNvPr id="67987" name="44"/>
        <xdr:cNvSpPr/>
      </xdr:nvSpPr>
      <xdr:spPr>
        <a:xfrm>
          <a:off x="18373725" y="7896225"/>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161</xdr:col>
      <xdr:colOff>0</xdr:colOff>
      <xdr:row>47</xdr:row>
      <xdr:rowOff>76200</xdr:rowOff>
    </xdr:from>
    <xdr:to>
      <xdr:col>183</xdr:col>
      <xdr:colOff>0</xdr:colOff>
      <xdr:row>47</xdr:row>
      <xdr:rowOff>76200</xdr:rowOff>
    </xdr:to>
    <xdr:cxnSp macro="">
      <xdr:nvCxnSpPr>
        <xdr:cNvPr id="67988" name="직선 화살표 연결선 67987"/>
        <xdr:cNvCxnSpPr/>
      </xdr:nvCxnSpPr>
      <xdr:spPr>
        <a:xfrm>
          <a:off x="18202275" y="7953375"/>
          <a:ext cx="12573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46</xdr:row>
      <xdr:rowOff>19050</xdr:rowOff>
    </xdr:from>
    <xdr:to>
      <xdr:col>190</xdr:col>
      <xdr:colOff>1270</xdr:colOff>
      <xdr:row>46</xdr:row>
      <xdr:rowOff>133350</xdr:rowOff>
    </xdr:to>
    <xdr:sp macro="" textlink="">
      <xdr:nvSpPr>
        <xdr:cNvPr id="67989" name="43"/>
        <xdr:cNvSpPr/>
      </xdr:nvSpPr>
      <xdr:spPr>
        <a:xfrm>
          <a:off x="18773775" y="7743825"/>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161</xdr:col>
      <xdr:colOff>0</xdr:colOff>
      <xdr:row>46</xdr:row>
      <xdr:rowOff>76200</xdr:rowOff>
    </xdr:from>
    <xdr:to>
      <xdr:col>187</xdr:col>
      <xdr:colOff>0</xdr:colOff>
      <xdr:row>46</xdr:row>
      <xdr:rowOff>76200</xdr:rowOff>
    </xdr:to>
    <xdr:cxnSp macro="">
      <xdr:nvCxnSpPr>
        <xdr:cNvPr id="67990" name="직선 화살표 연결선 67989"/>
        <xdr:cNvCxnSpPr/>
      </xdr:nvCxnSpPr>
      <xdr:spPr>
        <a:xfrm>
          <a:off x="18202275" y="7800975"/>
          <a:ext cx="1485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164</xdr:col>
      <xdr:colOff>0</xdr:colOff>
      <xdr:row>45</xdr:row>
      <xdr:rowOff>19050</xdr:rowOff>
    </xdr:from>
    <xdr:to>
      <xdr:col>176</xdr:col>
      <xdr:colOff>1270</xdr:colOff>
      <xdr:row>45</xdr:row>
      <xdr:rowOff>133350</xdr:rowOff>
    </xdr:to>
    <xdr:sp macro="" textlink="">
      <xdr:nvSpPr>
        <xdr:cNvPr id="67991" name="42"/>
        <xdr:cNvSpPr/>
      </xdr:nvSpPr>
      <xdr:spPr>
        <a:xfrm>
          <a:off x="18373725" y="75914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143</xdr:col>
      <xdr:colOff>0</xdr:colOff>
      <xdr:row>45</xdr:row>
      <xdr:rowOff>76200</xdr:rowOff>
    </xdr:from>
    <xdr:to>
      <xdr:col>197</xdr:col>
      <xdr:colOff>0</xdr:colOff>
      <xdr:row>45</xdr:row>
      <xdr:rowOff>76200</xdr:rowOff>
    </xdr:to>
    <xdr:cxnSp macro="">
      <xdr:nvCxnSpPr>
        <xdr:cNvPr id="67992" name="직선 화살표 연결선 67991"/>
        <xdr:cNvCxnSpPr/>
      </xdr:nvCxnSpPr>
      <xdr:spPr>
        <a:xfrm>
          <a:off x="17173575" y="7648575"/>
          <a:ext cx="30861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164</xdr:col>
      <xdr:colOff>0</xdr:colOff>
      <xdr:row>44</xdr:row>
      <xdr:rowOff>19050</xdr:rowOff>
    </xdr:from>
    <xdr:to>
      <xdr:col>190</xdr:col>
      <xdr:colOff>1270</xdr:colOff>
      <xdr:row>44</xdr:row>
      <xdr:rowOff>133350</xdr:rowOff>
    </xdr:to>
    <xdr:sp macro="" textlink="">
      <xdr:nvSpPr>
        <xdr:cNvPr id="67993" name="41"/>
        <xdr:cNvSpPr/>
      </xdr:nvSpPr>
      <xdr:spPr>
        <a:xfrm>
          <a:off x="18373725" y="7439025"/>
          <a:ext cx="1487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143</xdr:col>
      <xdr:colOff>0</xdr:colOff>
      <xdr:row>44</xdr:row>
      <xdr:rowOff>76200</xdr:rowOff>
    </xdr:from>
    <xdr:to>
      <xdr:col>197</xdr:col>
      <xdr:colOff>0</xdr:colOff>
      <xdr:row>44</xdr:row>
      <xdr:rowOff>76200</xdr:rowOff>
    </xdr:to>
    <xdr:cxnSp macro="">
      <xdr:nvCxnSpPr>
        <xdr:cNvPr id="67994" name="직선 화살표 연결선 67993"/>
        <xdr:cNvCxnSpPr/>
      </xdr:nvCxnSpPr>
      <xdr:spPr>
        <a:xfrm>
          <a:off x="17173575" y="7496175"/>
          <a:ext cx="30861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43</xdr:row>
      <xdr:rowOff>19050</xdr:rowOff>
    </xdr:from>
    <xdr:to>
      <xdr:col>183</xdr:col>
      <xdr:colOff>1270</xdr:colOff>
      <xdr:row>43</xdr:row>
      <xdr:rowOff>133350</xdr:rowOff>
    </xdr:to>
    <xdr:sp macro="" textlink="">
      <xdr:nvSpPr>
        <xdr:cNvPr id="67995" name="40"/>
        <xdr:cNvSpPr/>
      </xdr:nvSpPr>
      <xdr:spPr>
        <a:xfrm>
          <a:off x="18773775" y="72866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172</xdr:col>
      <xdr:colOff>0</xdr:colOff>
      <xdr:row>43</xdr:row>
      <xdr:rowOff>76200</xdr:rowOff>
    </xdr:from>
    <xdr:to>
      <xdr:col>180</xdr:col>
      <xdr:colOff>0</xdr:colOff>
      <xdr:row>43</xdr:row>
      <xdr:rowOff>76200</xdr:rowOff>
    </xdr:to>
    <xdr:cxnSp macro="">
      <xdr:nvCxnSpPr>
        <xdr:cNvPr id="67996" name="직선 화살표 연결선 67995"/>
        <xdr:cNvCxnSpPr/>
      </xdr:nvCxnSpPr>
      <xdr:spPr>
        <a:xfrm>
          <a:off x="18830925" y="7343775"/>
          <a:ext cx="4572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141</xdr:col>
      <xdr:colOff>0</xdr:colOff>
      <xdr:row>42</xdr:row>
      <xdr:rowOff>19050</xdr:rowOff>
    </xdr:from>
    <xdr:to>
      <xdr:col>146</xdr:col>
      <xdr:colOff>1270</xdr:colOff>
      <xdr:row>42</xdr:row>
      <xdr:rowOff>133350</xdr:rowOff>
    </xdr:to>
    <xdr:sp macro="" textlink="">
      <xdr:nvSpPr>
        <xdr:cNvPr id="67997" name="39"/>
        <xdr:cNvSpPr/>
      </xdr:nvSpPr>
      <xdr:spPr>
        <a:xfrm>
          <a:off x="17059275" y="71342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141</xdr:col>
      <xdr:colOff>0</xdr:colOff>
      <xdr:row>42</xdr:row>
      <xdr:rowOff>76200</xdr:rowOff>
    </xdr:from>
    <xdr:to>
      <xdr:col>146</xdr:col>
      <xdr:colOff>0</xdr:colOff>
      <xdr:row>42</xdr:row>
      <xdr:rowOff>76200</xdr:rowOff>
    </xdr:to>
    <xdr:cxnSp macro="">
      <xdr:nvCxnSpPr>
        <xdr:cNvPr id="67998" name="직선 화살표 연결선 67997"/>
        <xdr:cNvCxnSpPr/>
      </xdr:nvCxnSpPr>
      <xdr:spPr>
        <a:xfrm>
          <a:off x="17059275" y="71913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150</xdr:col>
      <xdr:colOff>0</xdr:colOff>
      <xdr:row>41</xdr:row>
      <xdr:rowOff>19050</xdr:rowOff>
    </xdr:from>
    <xdr:to>
      <xdr:col>177</xdr:col>
      <xdr:colOff>1270</xdr:colOff>
      <xdr:row>41</xdr:row>
      <xdr:rowOff>133350</xdr:rowOff>
    </xdr:to>
    <xdr:sp macro="" textlink="">
      <xdr:nvSpPr>
        <xdr:cNvPr id="67999" name="38"/>
        <xdr:cNvSpPr/>
      </xdr:nvSpPr>
      <xdr:spPr>
        <a:xfrm>
          <a:off x="17573625" y="6981825"/>
          <a:ext cx="1544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150</xdr:col>
      <xdr:colOff>0</xdr:colOff>
      <xdr:row>41</xdr:row>
      <xdr:rowOff>76200</xdr:rowOff>
    </xdr:from>
    <xdr:to>
      <xdr:col>180</xdr:col>
      <xdr:colOff>0</xdr:colOff>
      <xdr:row>41</xdr:row>
      <xdr:rowOff>76200</xdr:rowOff>
    </xdr:to>
    <xdr:cxnSp macro="">
      <xdr:nvCxnSpPr>
        <xdr:cNvPr id="18020" name="직선 화살표 연결선 18019"/>
        <xdr:cNvCxnSpPr/>
      </xdr:nvCxnSpPr>
      <xdr:spPr>
        <a:xfrm>
          <a:off x="17573625" y="7038975"/>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141</xdr:col>
      <xdr:colOff>0</xdr:colOff>
      <xdr:row>40</xdr:row>
      <xdr:rowOff>19050</xdr:rowOff>
    </xdr:from>
    <xdr:to>
      <xdr:col>183</xdr:col>
      <xdr:colOff>1270</xdr:colOff>
      <xdr:row>40</xdr:row>
      <xdr:rowOff>133350</xdr:rowOff>
    </xdr:to>
    <xdr:sp macro="" textlink="">
      <xdr:nvSpPr>
        <xdr:cNvPr id="18021" name="37"/>
        <xdr:cNvSpPr/>
      </xdr:nvSpPr>
      <xdr:spPr>
        <a:xfrm>
          <a:off x="17059275" y="6829425"/>
          <a:ext cx="24015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141</xdr:col>
      <xdr:colOff>0</xdr:colOff>
      <xdr:row>40</xdr:row>
      <xdr:rowOff>76200</xdr:rowOff>
    </xdr:from>
    <xdr:to>
      <xdr:col>180</xdr:col>
      <xdr:colOff>0</xdr:colOff>
      <xdr:row>40</xdr:row>
      <xdr:rowOff>76200</xdr:rowOff>
    </xdr:to>
    <xdr:cxnSp macro="">
      <xdr:nvCxnSpPr>
        <xdr:cNvPr id="18022" name="직선 화살표 연결선 18021"/>
        <xdr:cNvCxnSpPr/>
      </xdr:nvCxnSpPr>
      <xdr:spPr>
        <a:xfrm>
          <a:off x="17059275" y="6886575"/>
          <a:ext cx="2228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0</xdr:colOff>
      <xdr:row>39</xdr:row>
      <xdr:rowOff>19050</xdr:rowOff>
    </xdr:from>
    <xdr:to>
      <xdr:col>169</xdr:col>
      <xdr:colOff>1270</xdr:colOff>
      <xdr:row>39</xdr:row>
      <xdr:rowOff>133350</xdr:rowOff>
    </xdr:to>
    <xdr:sp macro="" textlink="">
      <xdr:nvSpPr>
        <xdr:cNvPr id="18023" name="36"/>
        <xdr:cNvSpPr/>
      </xdr:nvSpPr>
      <xdr:spPr>
        <a:xfrm>
          <a:off x="16373475" y="667702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129</xdr:col>
      <xdr:colOff>0</xdr:colOff>
      <xdr:row>39</xdr:row>
      <xdr:rowOff>76200</xdr:rowOff>
    </xdr:from>
    <xdr:to>
      <xdr:col>169</xdr:col>
      <xdr:colOff>0</xdr:colOff>
      <xdr:row>39</xdr:row>
      <xdr:rowOff>76200</xdr:rowOff>
    </xdr:to>
    <xdr:cxnSp macro="">
      <xdr:nvCxnSpPr>
        <xdr:cNvPr id="18024" name="직선 화살표 연결선 18023"/>
        <xdr:cNvCxnSpPr/>
      </xdr:nvCxnSpPr>
      <xdr:spPr>
        <a:xfrm>
          <a:off x="16373475" y="6734175"/>
          <a:ext cx="22860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136</xdr:col>
      <xdr:colOff>0</xdr:colOff>
      <xdr:row>38</xdr:row>
      <xdr:rowOff>19050</xdr:rowOff>
    </xdr:from>
    <xdr:to>
      <xdr:col>148</xdr:col>
      <xdr:colOff>1270</xdr:colOff>
      <xdr:row>38</xdr:row>
      <xdr:rowOff>133350</xdr:rowOff>
    </xdr:to>
    <xdr:sp macro="" textlink="">
      <xdr:nvSpPr>
        <xdr:cNvPr id="18029" name="35"/>
        <xdr:cNvSpPr/>
      </xdr:nvSpPr>
      <xdr:spPr>
        <a:xfrm>
          <a:off x="16773525" y="65246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136</xdr:col>
      <xdr:colOff>0</xdr:colOff>
      <xdr:row>38</xdr:row>
      <xdr:rowOff>76200</xdr:rowOff>
    </xdr:from>
    <xdr:to>
      <xdr:col>148</xdr:col>
      <xdr:colOff>0</xdr:colOff>
      <xdr:row>38</xdr:row>
      <xdr:rowOff>76200</xdr:rowOff>
    </xdr:to>
    <xdr:cxnSp macro="">
      <xdr:nvCxnSpPr>
        <xdr:cNvPr id="18031" name="직선 화살표 연결선 18030"/>
        <xdr:cNvCxnSpPr/>
      </xdr:nvCxnSpPr>
      <xdr:spPr>
        <a:xfrm>
          <a:off x="16773525" y="6581775"/>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134</xdr:col>
      <xdr:colOff>0</xdr:colOff>
      <xdr:row>37</xdr:row>
      <xdr:rowOff>19050</xdr:rowOff>
    </xdr:from>
    <xdr:to>
      <xdr:col>139</xdr:col>
      <xdr:colOff>1270</xdr:colOff>
      <xdr:row>37</xdr:row>
      <xdr:rowOff>133350</xdr:rowOff>
    </xdr:to>
    <xdr:sp macro="" textlink="">
      <xdr:nvSpPr>
        <xdr:cNvPr id="18032" name="34"/>
        <xdr:cNvSpPr/>
      </xdr:nvSpPr>
      <xdr:spPr>
        <a:xfrm>
          <a:off x="16659225" y="63722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134</xdr:col>
      <xdr:colOff>0</xdr:colOff>
      <xdr:row>37</xdr:row>
      <xdr:rowOff>76200</xdr:rowOff>
    </xdr:from>
    <xdr:to>
      <xdr:col>139</xdr:col>
      <xdr:colOff>0</xdr:colOff>
      <xdr:row>37</xdr:row>
      <xdr:rowOff>76200</xdr:rowOff>
    </xdr:to>
    <xdr:cxnSp macro="">
      <xdr:nvCxnSpPr>
        <xdr:cNvPr id="18033" name="직선 화살표 연결선 18032"/>
        <xdr:cNvCxnSpPr/>
      </xdr:nvCxnSpPr>
      <xdr:spPr>
        <a:xfrm>
          <a:off x="16659225" y="64293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0</xdr:colOff>
      <xdr:row>36</xdr:row>
      <xdr:rowOff>19050</xdr:rowOff>
    </xdr:from>
    <xdr:to>
      <xdr:col>141</xdr:col>
      <xdr:colOff>1270</xdr:colOff>
      <xdr:row>36</xdr:row>
      <xdr:rowOff>133350</xdr:rowOff>
    </xdr:to>
    <xdr:sp macro="" textlink="">
      <xdr:nvSpPr>
        <xdr:cNvPr id="18034" name="33"/>
        <xdr:cNvSpPr/>
      </xdr:nvSpPr>
      <xdr:spPr>
        <a:xfrm>
          <a:off x="15973425" y="6219825"/>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0</xdr:colOff>
      <xdr:row>36</xdr:row>
      <xdr:rowOff>76200</xdr:rowOff>
    </xdr:from>
    <xdr:to>
      <xdr:col>141</xdr:col>
      <xdr:colOff>0</xdr:colOff>
      <xdr:row>36</xdr:row>
      <xdr:rowOff>76200</xdr:rowOff>
    </xdr:to>
    <xdr:cxnSp macro="">
      <xdr:nvCxnSpPr>
        <xdr:cNvPr id="18035" name="직선 화살표 연결선 18034"/>
        <xdr:cNvCxnSpPr/>
      </xdr:nvCxnSpPr>
      <xdr:spPr>
        <a:xfrm>
          <a:off x="15973425" y="6276975"/>
          <a:ext cx="1085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0</xdr:colOff>
      <xdr:row>35</xdr:row>
      <xdr:rowOff>19050</xdr:rowOff>
    </xdr:from>
    <xdr:to>
      <xdr:col>148</xdr:col>
      <xdr:colOff>1270</xdr:colOff>
      <xdr:row>35</xdr:row>
      <xdr:rowOff>133350</xdr:rowOff>
    </xdr:to>
    <xdr:sp macro="" textlink="">
      <xdr:nvSpPr>
        <xdr:cNvPr id="68032" name="32"/>
        <xdr:cNvSpPr/>
      </xdr:nvSpPr>
      <xdr:spPr>
        <a:xfrm>
          <a:off x="15973425" y="606742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0</xdr:colOff>
      <xdr:row>35</xdr:row>
      <xdr:rowOff>76200</xdr:rowOff>
    </xdr:from>
    <xdr:to>
      <xdr:col>148</xdr:col>
      <xdr:colOff>0</xdr:colOff>
      <xdr:row>35</xdr:row>
      <xdr:rowOff>76200</xdr:rowOff>
    </xdr:to>
    <xdr:cxnSp macro="">
      <xdr:nvCxnSpPr>
        <xdr:cNvPr id="68033" name="직선 화살표 연결선 68032"/>
        <xdr:cNvCxnSpPr/>
      </xdr:nvCxnSpPr>
      <xdr:spPr>
        <a:xfrm>
          <a:off x="15973425" y="612457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0</xdr:colOff>
      <xdr:row>34</xdr:row>
      <xdr:rowOff>19050</xdr:rowOff>
    </xdr:from>
    <xdr:to>
      <xdr:col>132</xdr:col>
      <xdr:colOff>1270</xdr:colOff>
      <xdr:row>34</xdr:row>
      <xdr:rowOff>133350</xdr:rowOff>
    </xdr:to>
    <xdr:sp macro="" textlink="">
      <xdr:nvSpPr>
        <xdr:cNvPr id="68034" name="31"/>
        <xdr:cNvSpPr/>
      </xdr:nvSpPr>
      <xdr:spPr>
        <a:xfrm>
          <a:off x="15973425" y="5915025"/>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0</xdr:colOff>
      <xdr:row>34</xdr:row>
      <xdr:rowOff>76200</xdr:rowOff>
    </xdr:from>
    <xdr:to>
      <xdr:col>132</xdr:col>
      <xdr:colOff>0</xdr:colOff>
      <xdr:row>34</xdr:row>
      <xdr:rowOff>76200</xdr:rowOff>
    </xdr:to>
    <xdr:cxnSp macro="">
      <xdr:nvCxnSpPr>
        <xdr:cNvPr id="68035" name="직선 화살표 연결선 68034"/>
        <xdr:cNvCxnSpPr/>
      </xdr:nvCxnSpPr>
      <xdr:spPr>
        <a:xfrm>
          <a:off x="15973425" y="5972175"/>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0</xdr:colOff>
      <xdr:row>33</xdr:row>
      <xdr:rowOff>19050</xdr:rowOff>
    </xdr:from>
    <xdr:to>
      <xdr:col>169</xdr:col>
      <xdr:colOff>1270</xdr:colOff>
      <xdr:row>33</xdr:row>
      <xdr:rowOff>133350</xdr:rowOff>
    </xdr:to>
    <xdr:sp macro="" textlink="">
      <xdr:nvSpPr>
        <xdr:cNvPr id="68036" name="30"/>
        <xdr:cNvSpPr/>
      </xdr:nvSpPr>
      <xdr:spPr>
        <a:xfrm>
          <a:off x="15973425" y="5762625"/>
          <a:ext cx="2687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0</xdr:colOff>
      <xdr:row>33</xdr:row>
      <xdr:rowOff>76200</xdr:rowOff>
    </xdr:from>
    <xdr:to>
      <xdr:col>169</xdr:col>
      <xdr:colOff>0</xdr:colOff>
      <xdr:row>33</xdr:row>
      <xdr:rowOff>76200</xdr:rowOff>
    </xdr:to>
    <xdr:cxnSp macro="">
      <xdr:nvCxnSpPr>
        <xdr:cNvPr id="68037" name="직선 화살표 연결선 68036"/>
        <xdr:cNvCxnSpPr/>
      </xdr:nvCxnSpPr>
      <xdr:spPr>
        <a:xfrm>
          <a:off x="15973425" y="5819775"/>
          <a:ext cx="2686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32</xdr:row>
      <xdr:rowOff>19050</xdr:rowOff>
    </xdr:from>
    <xdr:to>
      <xdr:col>116</xdr:col>
      <xdr:colOff>1270</xdr:colOff>
      <xdr:row>32</xdr:row>
      <xdr:rowOff>133350</xdr:rowOff>
    </xdr:to>
    <xdr:sp macro="" textlink="">
      <xdr:nvSpPr>
        <xdr:cNvPr id="68038" name="29"/>
        <xdr:cNvSpPr/>
      </xdr:nvSpPr>
      <xdr:spPr>
        <a:xfrm>
          <a:off x="15573375" y="5610225"/>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0</xdr:colOff>
      <xdr:row>32</xdr:row>
      <xdr:rowOff>76200</xdr:rowOff>
    </xdr:from>
    <xdr:to>
      <xdr:col>120</xdr:col>
      <xdr:colOff>0</xdr:colOff>
      <xdr:row>32</xdr:row>
      <xdr:rowOff>76200</xdr:rowOff>
    </xdr:to>
    <xdr:cxnSp macro="">
      <xdr:nvCxnSpPr>
        <xdr:cNvPr id="68039" name="직선 화살표 연결선 68038"/>
        <xdr:cNvCxnSpPr/>
      </xdr:nvCxnSpPr>
      <xdr:spPr>
        <a:xfrm>
          <a:off x="15801975" y="5667375"/>
          <a:ext cx="571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31</xdr:row>
      <xdr:rowOff>19050</xdr:rowOff>
    </xdr:from>
    <xdr:to>
      <xdr:col>120</xdr:col>
      <xdr:colOff>1270</xdr:colOff>
      <xdr:row>31</xdr:row>
      <xdr:rowOff>133350</xdr:rowOff>
    </xdr:to>
    <xdr:sp macro="" textlink="">
      <xdr:nvSpPr>
        <xdr:cNvPr id="68040" name="28"/>
        <xdr:cNvSpPr/>
      </xdr:nvSpPr>
      <xdr:spPr>
        <a:xfrm>
          <a:off x="15573375" y="54578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115</xdr:col>
      <xdr:colOff>0</xdr:colOff>
      <xdr:row>31</xdr:row>
      <xdr:rowOff>76200</xdr:rowOff>
    </xdr:from>
    <xdr:to>
      <xdr:col>120</xdr:col>
      <xdr:colOff>0</xdr:colOff>
      <xdr:row>31</xdr:row>
      <xdr:rowOff>76200</xdr:rowOff>
    </xdr:to>
    <xdr:cxnSp macro="">
      <xdr:nvCxnSpPr>
        <xdr:cNvPr id="68041" name="직선 화살표 연결선 68040"/>
        <xdr:cNvCxnSpPr/>
      </xdr:nvCxnSpPr>
      <xdr:spPr>
        <a:xfrm>
          <a:off x="15573375" y="55149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30</xdr:row>
      <xdr:rowOff>19050</xdr:rowOff>
    </xdr:from>
    <xdr:to>
      <xdr:col>190</xdr:col>
      <xdr:colOff>1270</xdr:colOff>
      <xdr:row>30</xdr:row>
      <xdr:rowOff>133350</xdr:rowOff>
    </xdr:to>
    <xdr:sp macro="" textlink="">
      <xdr:nvSpPr>
        <xdr:cNvPr id="68090" name="27"/>
        <xdr:cNvSpPr/>
      </xdr:nvSpPr>
      <xdr:spPr>
        <a:xfrm>
          <a:off x="15573375" y="5305425"/>
          <a:ext cx="4287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115</xdr:col>
      <xdr:colOff>0</xdr:colOff>
      <xdr:row>30</xdr:row>
      <xdr:rowOff>76200</xdr:rowOff>
    </xdr:from>
    <xdr:to>
      <xdr:col>197</xdr:col>
      <xdr:colOff>0</xdr:colOff>
      <xdr:row>30</xdr:row>
      <xdr:rowOff>76200</xdr:rowOff>
    </xdr:to>
    <xdr:cxnSp macro="">
      <xdr:nvCxnSpPr>
        <xdr:cNvPr id="68091" name="직선 화살표 연결선 68090"/>
        <xdr:cNvCxnSpPr/>
      </xdr:nvCxnSpPr>
      <xdr:spPr>
        <a:xfrm>
          <a:off x="15573375" y="5362575"/>
          <a:ext cx="4686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29</xdr:row>
      <xdr:rowOff>19050</xdr:rowOff>
    </xdr:from>
    <xdr:to>
      <xdr:col>211</xdr:col>
      <xdr:colOff>1270</xdr:colOff>
      <xdr:row>29</xdr:row>
      <xdr:rowOff>133350</xdr:rowOff>
    </xdr:to>
    <xdr:sp macro="" textlink="">
      <xdr:nvSpPr>
        <xdr:cNvPr id="68092" name="26"/>
        <xdr:cNvSpPr/>
      </xdr:nvSpPr>
      <xdr:spPr>
        <a:xfrm>
          <a:off x="15573375" y="5153025"/>
          <a:ext cx="5487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115</xdr:col>
      <xdr:colOff>0</xdr:colOff>
      <xdr:row>29</xdr:row>
      <xdr:rowOff>76200</xdr:rowOff>
    </xdr:from>
    <xdr:to>
      <xdr:col>210</xdr:col>
      <xdr:colOff>10123</xdr:colOff>
      <xdr:row>29</xdr:row>
      <xdr:rowOff>76200</xdr:rowOff>
    </xdr:to>
    <xdr:cxnSp macro="">
      <xdr:nvCxnSpPr>
        <xdr:cNvPr id="68093" name="직선 화살표 연결선 68092"/>
        <xdr:cNvCxnSpPr/>
      </xdr:nvCxnSpPr>
      <xdr:spPr>
        <a:xfrm>
          <a:off x="15573375" y="5210175"/>
          <a:ext cx="54393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28</xdr:row>
      <xdr:rowOff>19050</xdr:rowOff>
    </xdr:from>
    <xdr:to>
      <xdr:col>113</xdr:col>
      <xdr:colOff>1270</xdr:colOff>
      <xdr:row>28</xdr:row>
      <xdr:rowOff>133350</xdr:rowOff>
    </xdr:to>
    <xdr:sp macro="" textlink="">
      <xdr:nvSpPr>
        <xdr:cNvPr id="68094" name="25"/>
        <xdr:cNvSpPr/>
      </xdr:nvSpPr>
      <xdr:spPr>
        <a:xfrm>
          <a:off x="14773275" y="50006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101</xdr:col>
      <xdr:colOff>0</xdr:colOff>
      <xdr:row>28</xdr:row>
      <xdr:rowOff>76200</xdr:rowOff>
    </xdr:from>
    <xdr:to>
      <xdr:col>120</xdr:col>
      <xdr:colOff>0</xdr:colOff>
      <xdr:row>28</xdr:row>
      <xdr:rowOff>76200</xdr:rowOff>
    </xdr:to>
    <xdr:cxnSp macro="">
      <xdr:nvCxnSpPr>
        <xdr:cNvPr id="68095" name="직선 화살표 연결선 68094"/>
        <xdr:cNvCxnSpPr/>
      </xdr:nvCxnSpPr>
      <xdr:spPr>
        <a:xfrm>
          <a:off x="14773275" y="5057775"/>
          <a:ext cx="1085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27</xdr:row>
      <xdr:rowOff>42863</xdr:rowOff>
    </xdr:from>
    <xdr:to>
      <xdr:col>113</xdr:col>
      <xdr:colOff>1270</xdr:colOff>
      <xdr:row>27</xdr:row>
      <xdr:rowOff>157163</xdr:rowOff>
    </xdr:to>
    <xdr:sp macro="" textlink="">
      <xdr:nvSpPr>
        <xdr:cNvPr id="18173" name="24"/>
        <xdr:cNvSpPr/>
      </xdr:nvSpPr>
      <xdr:spPr>
        <a:xfrm>
          <a:off x="14773275" y="4824413"/>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101</xdr:col>
      <xdr:colOff>0</xdr:colOff>
      <xdr:row>27</xdr:row>
      <xdr:rowOff>100013</xdr:rowOff>
    </xdr:from>
    <xdr:to>
      <xdr:col>120</xdr:col>
      <xdr:colOff>0</xdr:colOff>
      <xdr:row>27</xdr:row>
      <xdr:rowOff>100013</xdr:rowOff>
    </xdr:to>
    <xdr:cxnSp macro="">
      <xdr:nvCxnSpPr>
        <xdr:cNvPr id="18174" name="직선 화살표 연결선 18173"/>
        <xdr:cNvCxnSpPr/>
      </xdr:nvCxnSpPr>
      <xdr:spPr>
        <a:xfrm>
          <a:off x="14773275" y="4881563"/>
          <a:ext cx="1085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26</xdr:row>
      <xdr:rowOff>19050</xdr:rowOff>
    </xdr:from>
    <xdr:to>
      <xdr:col>117</xdr:col>
      <xdr:colOff>1270</xdr:colOff>
      <xdr:row>26</xdr:row>
      <xdr:rowOff>133350</xdr:rowOff>
    </xdr:to>
    <xdr:sp macro="" textlink="">
      <xdr:nvSpPr>
        <xdr:cNvPr id="18175" name="23"/>
        <xdr:cNvSpPr/>
      </xdr:nvSpPr>
      <xdr:spPr>
        <a:xfrm>
          <a:off x="14773275" y="4648200"/>
          <a:ext cx="9156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101</xdr:col>
      <xdr:colOff>0</xdr:colOff>
      <xdr:row>26</xdr:row>
      <xdr:rowOff>76200</xdr:rowOff>
    </xdr:from>
    <xdr:to>
      <xdr:col>120</xdr:col>
      <xdr:colOff>0</xdr:colOff>
      <xdr:row>26</xdr:row>
      <xdr:rowOff>76200</xdr:rowOff>
    </xdr:to>
    <xdr:cxnSp macro="">
      <xdr:nvCxnSpPr>
        <xdr:cNvPr id="71456" name="직선 화살표 연결선 71455"/>
        <xdr:cNvCxnSpPr/>
      </xdr:nvCxnSpPr>
      <xdr:spPr>
        <a:xfrm>
          <a:off x="14773275" y="4705350"/>
          <a:ext cx="1085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25</xdr:row>
      <xdr:rowOff>19050</xdr:rowOff>
    </xdr:from>
    <xdr:to>
      <xdr:col>120</xdr:col>
      <xdr:colOff>1270</xdr:colOff>
      <xdr:row>25</xdr:row>
      <xdr:rowOff>133350</xdr:rowOff>
    </xdr:to>
    <xdr:sp macro="" textlink="">
      <xdr:nvSpPr>
        <xdr:cNvPr id="71457" name="22"/>
        <xdr:cNvSpPr/>
      </xdr:nvSpPr>
      <xdr:spPr>
        <a:xfrm>
          <a:off x="14773275" y="449580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101</xdr:col>
      <xdr:colOff>0</xdr:colOff>
      <xdr:row>25</xdr:row>
      <xdr:rowOff>76200</xdr:rowOff>
    </xdr:from>
    <xdr:to>
      <xdr:col>168</xdr:col>
      <xdr:colOff>0</xdr:colOff>
      <xdr:row>25</xdr:row>
      <xdr:rowOff>76200</xdr:rowOff>
    </xdr:to>
    <xdr:cxnSp macro="">
      <xdr:nvCxnSpPr>
        <xdr:cNvPr id="71458" name="직선 화살표 연결선 71457"/>
        <xdr:cNvCxnSpPr/>
      </xdr:nvCxnSpPr>
      <xdr:spPr>
        <a:xfrm>
          <a:off x="14773275" y="4552950"/>
          <a:ext cx="382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94</xdr:col>
      <xdr:colOff>0</xdr:colOff>
      <xdr:row>24</xdr:row>
      <xdr:rowOff>19050</xdr:rowOff>
    </xdr:from>
    <xdr:to>
      <xdr:col>117</xdr:col>
      <xdr:colOff>1270</xdr:colOff>
      <xdr:row>24</xdr:row>
      <xdr:rowOff>133350</xdr:rowOff>
    </xdr:to>
    <xdr:sp macro="" textlink="">
      <xdr:nvSpPr>
        <xdr:cNvPr id="71459" name="21"/>
        <xdr:cNvSpPr/>
      </xdr:nvSpPr>
      <xdr:spPr>
        <a:xfrm>
          <a:off x="14373225" y="4343400"/>
          <a:ext cx="1315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94</xdr:col>
      <xdr:colOff>0</xdr:colOff>
      <xdr:row>24</xdr:row>
      <xdr:rowOff>76200</xdr:rowOff>
    </xdr:from>
    <xdr:to>
      <xdr:col>196</xdr:col>
      <xdr:colOff>0</xdr:colOff>
      <xdr:row>24</xdr:row>
      <xdr:rowOff>76200</xdr:rowOff>
    </xdr:to>
    <xdr:cxnSp macro="">
      <xdr:nvCxnSpPr>
        <xdr:cNvPr id="71460" name="직선 화살표 연결선 71459"/>
        <xdr:cNvCxnSpPr/>
      </xdr:nvCxnSpPr>
      <xdr:spPr>
        <a:xfrm>
          <a:off x="14373225" y="4400550"/>
          <a:ext cx="5829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23</xdr:row>
      <xdr:rowOff>95250</xdr:rowOff>
    </xdr:from>
    <xdr:to>
      <xdr:col>117</xdr:col>
      <xdr:colOff>1270</xdr:colOff>
      <xdr:row>23</xdr:row>
      <xdr:rowOff>209550</xdr:rowOff>
    </xdr:to>
    <xdr:sp macro="" textlink="">
      <xdr:nvSpPr>
        <xdr:cNvPr id="71461" name="20"/>
        <xdr:cNvSpPr/>
      </xdr:nvSpPr>
      <xdr:spPr>
        <a:xfrm>
          <a:off x="14087475" y="4114800"/>
          <a:ext cx="1601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94</xdr:col>
      <xdr:colOff>0</xdr:colOff>
      <xdr:row>23</xdr:row>
      <xdr:rowOff>152400</xdr:rowOff>
    </xdr:from>
    <xdr:to>
      <xdr:col>117</xdr:col>
      <xdr:colOff>0</xdr:colOff>
      <xdr:row>23</xdr:row>
      <xdr:rowOff>152400</xdr:rowOff>
    </xdr:to>
    <xdr:cxnSp macro="">
      <xdr:nvCxnSpPr>
        <xdr:cNvPr id="71462" name="직선 화살표 연결선 71461"/>
        <xdr:cNvCxnSpPr/>
      </xdr:nvCxnSpPr>
      <xdr:spPr>
        <a:xfrm>
          <a:off x="14373225" y="4171950"/>
          <a:ext cx="13144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22</xdr:row>
      <xdr:rowOff>19050</xdr:rowOff>
    </xdr:from>
    <xdr:to>
      <xdr:col>120</xdr:col>
      <xdr:colOff>1270</xdr:colOff>
      <xdr:row>22</xdr:row>
      <xdr:rowOff>133350</xdr:rowOff>
    </xdr:to>
    <xdr:sp macro="" textlink="">
      <xdr:nvSpPr>
        <xdr:cNvPr id="71463" name="19"/>
        <xdr:cNvSpPr/>
      </xdr:nvSpPr>
      <xdr:spPr>
        <a:xfrm>
          <a:off x="14087475" y="3886200"/>
          <a:ext cx="1772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94</xdr:col>
      <xdr:colOff>0</xdr:colOff>
      <xdr:row>22</xdr:row>
      <xdr:rowOff>76200</xdr:rowOff>
    </xdr:from>
    <xdr:to>
      <xdr:col>196</xdr:col>
      <xdr:colOff>0</xdr:colOff>
      <xdr:row>22</xdr:row>
      <xdr:rowOff>76200</xdr:rowOff>
    </xdr:to>
    <xdr:cxnSp macro="">
      <xdr:nvCxnSpPr>
        <xdr:cNvPr id="71464" name="직선 화살표 연결선 71463"/>
        <xdr:cNvCxnSpPr/>
      </xdr:nvCxnSpPr>
      <xdr:spPr>
        <a:xfrm>
          <a:off x="14373225" y="3943350"/>
          <a:ext cx="58293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21</xdr:row>
      <xdr:rowOff>19050</xdr:rowOff>
    </xdr:from>
    <xdr:to>
      <xdr:col>120</xdr:col>
      <xdr:colOff>1270</xdr:colOff>
      <xdr:row>21</xdr:row>
      <xdr:rowOff>133350</xdr:rowOff>
    </xdr:to>
    <xdr:sp macro="" textlink="">
      <xdr:nvSpPr>
        <xdr:cNvPr id="71465" name="18"/>
        <xdr:cNvSpPr/>
      </xdr:nvSpPr>
      <xdr:spPr>
        <a:xfrm>
          <a:off x="14087475" y="3733800"/>
          <a:ext cx="1772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94</xdr:col>
      <xdr:colOff>0</xdr:colOff>
      <xdr:row>21</xdr:row>
      <xdr:rowOff>76200</xdr:rowOff>
    </xdr:from>
    <xdr:to>
      <xdr:col>196</xdr:col>
      <xdr:colOff>0</xdr:colOff>
      <xdr:row>21</xdr:row>
      <xdr:rowOff>76200</xdr:rowOff>
    </xdr:to>
    <xdr:cxnSp macro="">
      <xdr:nvCxnSpPr>
        <xdr:cNvPr id="71466" name="직선 화살표 연결선 71465"/>
        <xdr:cNvCxnSpPr/>
      </xdr:nvCxnSpPr>
      <xdr:spPr>
        <a:xfrm>
          <a:off x="14373225" y="3790950"/>
          <a:ext cx="58293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20</xdr:row>
      <xdr:rowOff>171450</xdr:rowOff>
    </xdr:from>
    <xdr:to>
      <xdr:col>89</xdr:col>
      <xdr:colOff>1270</xdr:colOff>
      <xdr:row>20</xdr:row>
      <xdr:rowOff>285750</xdr:rowOff>
    </xdr:to>
    <xdr:sp macro="" textlink="">
      <xdr:nvSpPr>
        <xdr:cNvPr id="71467" name="17"/>
        <xdr:cNvSpPr/>
      </xdr:nvSpPr>
      <xdr:spPr>
        <a:xfrm>
          <a:off x="14030325" y="34290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20</xdr:row>
      <xdr:rowOff>228600</xdr:rowOff>
    </xdr:from>
    <xdr:to>
      <xdr:col>89</xdr:col>
      <xdr:colOff>0</xdr:colOff>
      <xdr:row>20</xdr:row>
      <xdr:rowOff>228600</xdr:rowOff>
    </xdr:to>
    <xdr:cxnSp macro="">
      <xdr:nvCxnSpPr>
        <xdr:cNvPr id="71468" name="직선 화살표 연결선 71467"/>
        <xdr:cNvCxnSpPr/>
      </xdr:nvCxnSpPr>
      <xdr:spPr>
        <a:xfrm>
          <a:off x="14030325" y="34861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19</xdr:row>
      <xdr:rowOff>19050</xdr:rowOff>
    </xdr:from>
    <xdr:to>
      <xdr:col>89</xdr:col>
      <xdr:colOff>1270</xdr:colOff>
      <xdr:row>19</xdr:row>
      <xdr:rowOff>133350</xdr:rowOff>
    </xdr:to>
    <xdr:sp macro="" textlink="">
      <xdr:nvSpPr>
        <xdr:cNvPr id="71469" name="16"/>
        <xdr:cNvSpPr/>
      </xdr:nvSpPr>
      <xdr:spPr>
        <a:xfrm>
          <a:off x="14030325" y="312420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19</xdr:row>
      <xdr:rowOff>76200</xdr:rowOff>
    </xdr:from>
    <xdr:to>
      <xdr:col>89</xdr:col>
      <xdr:colOff>0</xdr:colOff>
      <xdr:row>19</xdr:row>
      <xdr:rowOff>76200</xdr:rowOff>
    </xdr:to>
    <xdr:cxnSp macro="">
      <xdr:nvCxnSpPr>
        <xdr:cNvPr id="71470" name="직선 화살표 연결선 71469"/>
        <xdr:cNvCxnSpPr/>
      </xdr:nvCxnSpPr>
      <xdr:spPr>
        <a:xfrm>
          <a:off x="14030325" y="31813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18</xdr:row>
      <xdr:rowOff>19050</xdr:rowOff>
    </xdr:from>
    <xdr:to>
      <xdr:col>75</xdr:col>
      <xdr:colOff>1270</xdr:colOff>
      <xdr:row>18</xdr:row>
      <xdr:rowOff>133350</xdr:rowOff>
    </xdr:to>
    <xdr:sp macro="" textlink="">
      <xdr:nvSpPr>
        <xdr:cNvPr id="71471" name="15"/>
        <xdr:cNvSpPr/>
      </xdr:nvSpPr>
      <xdr:spPr>
        <a:xfrm>
          <a:off x="11572875" y="2971800"/>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18</xdr:row>
      <xdr:rowOff>76200</xdr:rowOff>
    </xdr:from>
    <xdr:to>
      <xdr:col>75</xdr:col>
      <xdr:colOff>0</xdr:colOff>
      <xdr:row>18</xdr:row>
      <xdr:rowOff>76200</xdr:rowOff>
    </xdr:to>
    <xdr:cxnSp macro="">
      <xdr:nvCxnSpPr>
        <xdr:cNvPr id="71472" name="직선 화살표 연결선 71471"/>
        <xdr:cNvCxnSpPr/>
      </xdr:nvCxnSpPr>
      <xdr:spPr>
        <a:xfrm>
          <a:off x="11572875" y="3028950"/>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17</xdr:row>
      <xdr:rowOff>19050</xdr:rowOff>
    </xdr:from>
    <xdr:to>
      <xdr:col>46</xdr:col>
      <xdr:colOff>1270</xdr:colOff>
      <xdr:row>17</xdr:row>
      <xdr:rowOff>133350</xdr:rowOff>
    </xdr:to>
    <xdr:sp macro="" textlink="">
      <xdr:nvSpPr>
        <xdr:cNvPr id="71473" name="14"/>
        <xdr:cNvSpPr/>
      </xdr:nvSpPr>
      <xdr:spPr>
        <a:xfrm>
          <a:off x="11572875" y="28194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17</xdr:row>
      <xdr:rowOff>76200</xdr:rowOff>
    </xdr:from>
    <xdr:to>
      <xdr:col>46</xdr:col>
      <xdr:colOff>0</xdr:colOff>
      <xdr:row>17</xdr:row>
      <xdr:rowOff>76200</xdr:rowOff>
    </xdr:to>
    <xdr:cxnSp macro="">
      <xdr:nvCxnSpPr>
        <xdr:cNvPr id="71474" name="직선 화살표 연결선 71473"/>
        <xdr:cNvCxnSpPr/>
      </xdr:nvCxnSpPr>
      <xdr:spPr>
        <a:xfrm>
          <a:off x="11572875" y="28765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16</xdr:row>
      <xdr:rowOff>19050</xdr:rowOff>
    </xdr:from>
    <xdr:to>
      <xdr:col>75</xdr:col>
      <xdr:colOff>1270</xdr:colOff>
      <xdr:row>16</xdr:row>
      <xdr:rowOff>133350</xdr:rowOff>
    </xdr:to>
    <xdr:sp macro="" textlink="">
      <xdr:nvSpPr>
        <xdr:cNvPr id="71475" name="13"/>
        <xdr:cNvSpPr/>
      </xdr:nvSpPr>
      <xdr:spPr>
        <a:xfrm>
          <a:off x="11572875" y="2667000"/>
          <a:ext cx="17157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16</xdr:row>
      <xdr:rowOff>76200</xdr:rowOff>
    </xdr:from>
    <xdr:to>
      <xdr:col>75</xdr:col>
      <xdr:colOff>0</xdr:colOff>
      <xdr:row>16</xdr:row>
      <xdr:rowOff>76200</xdr:rowOff>
    </xdr:to>
    <xdr:cxnSp macro="">
      <xdr:nvCxnSpPr>
        <xdr:cNvPr id="71476" name="직선 화살표 연결선 71475"/>
        <xdr:cNvCxnSpPr/>
      </xdr:nvCxnSpPr>
      <xdr:spPr>
        <a:xfrm>
          <a:off x="11572875" y="2724150"/>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15</xdr:row>
      <xdr:rowOff>19050</xdr:rowOff>
    </xdr:from>
    <xdr:to>
      <xdr:col>89</xdr:col>
      <xdr:colOff>1270</xdr:colOff>
      <xdr:row>15</xdr:row>
      <xdr:rowOff>133350</xdr:rowOff>
    </xdr:to>
    <xdr:sp macro="" textlink="">
      <xdr:nvSpPr>
        <xdr:cNvPr id="71477" name="12"/>
        <xdr:cNvSpPr/>
      </xdr:nvSpPr>
      <xdr:spPr>
        <a:xfrm>
          <a:off x="11572875" y="2514600"/>
          <a:ext cx="2515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15</xdr:row>
      <xdr:rowOff>76200</xdr:rowOff>
    </xdr:from>
    <xdr:to>
      <xdr:col>89</xdr:col>
      <xdr:colOff>0</xdr:colOff>
      <xdr:row>15</xdr:row>
      <xdr:rowOff>76200</xdr:rowOff>
    </xdr:to>
    <xdr:cxnSp macro="">
      <xdr:nvCxnSpPr>
        <xdr:cNvPr id="71478" name="직선 화살표 연결선 71477"/>
        <xdr:cNvCxnSpPr/>
      </xdr:nvCxnSpPr>
      <xdr:spPr>
        <a:xfrm>
          <a:off x="11572875" y="2571750"/>
          <a:ext cx="2514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274</xdr:col>
      <xdr:colOff>0</xdr:colOff>
      <xdr:row>14</xdr:row>
      <xdr:rowOff>19050</xdr:rowOff>
    </xdr:from>
    <xdr:to>
      <xdr:col>275</xdr:col>
      <xdr:colOff>1270</xdr:colOff>
      <xdr:row>14</xdr:row>
      <xdr:rowOff>133350</xdr:rowOff>
    </xdr:to>
    <xdr:sp macro="" textlink="">
      <xdr:nvSpPr>
        <xdr:cNvPr id="71479" name="11"/>
        <xdr:cNvSpPr/>
      </xdr:nvSpPr>
      <xdr:spPr>
        <a:xfrm>
          <a:off x="24660225" y="23622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274</xdr:col>
      <xdr:colOff>0</xdr:colOff>
      <xdr:row>14</xdr:row>
      <xdr:rowOff>76200</xdr:rowOff>
    </xdr:from>
    <xdr:to>
      <xdr:col>274</xdr:col>
      <xdr:colOff>0</xdr:colOff>
      <xdr:row>14</xdr:row>
      <xdr:rowOff>76200</xdr:rowOff>
    </xdr:to>
    <xdr:cxnSp macro="">
      <xdr:nvCxnSpPr>
        <xdr:cNvPr id="71480" name="직선 화살표 연결선 71479"/>
        <xdr:cNvCxnSpPr/>
      </xdr:nvCxnSpPr>
      <xdr:spPr>
        <a:xfrm>
          <a:off x="24660225" y="2419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269</xdr:col>
      <xdr:colOff>0</xdr:colOff>
      <xdr:row>13</xdr:row>
      <xdr:rowOff>19050</xdr:rowOff>
    </xdr:from>
    <xdr:to>
      <xdr:col>273</xdr:col>
      <xdr:colOff>1270</xdr:colOff>
      <xdr:row>13</xdr:row>
      <xdr:rowOff>133350</xdr:rowOff>
    </xdr:to>
    <xdr:sp macro="" textlink="">
      <xdr:nvSpPr>
        <xdr:cNvPr id="71481" name="10"/>
        <xdr:cNvSpPr/>
      </xdr:nvSpPr>
      <xdr:spPr>
        <a:xfrm>
          <a:off x="24374475" y="220980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269</xdr:col>
      <xdr:colOff>0</xdr:colOff>
      <xdr:row>13</xdr:row>
      <xdr:rowOff>76200</xdr:rowOff>
    </xdr:from>
    <xdr:to>
      <xdr:col>269</xdr:col>
      <xdr:colOff>0</xdr:colOff>
      <xdr:row>13</xdr:row>
      <xdr:rowOff>76200</xdr:rowOff>
    </xdr:to>
    <xdr:cxnSp macro="">
      <xdr:nvCxnSpPr>
        <xdr:cNvPr id="71482" name="직선 화살표 연결선 71481"/>
        <xdr:cNvCxnSpPr/>
      </xdr:nvCxnSpPr>
      <xdr:spPr>
        <a:xfrm>
          <a:off x="24374475" y="2266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269</xdr:col>
      <xdr:colOff>0</xdr:colOff>
      <xdr:row>12</xdr:row>
      <xdr:rowOff>19050</xdr:rowOff>
    </xdr:from>
    <xdr:to>
      <xdr:col>275</xdr:col>
      <xdr:colOff>1270</xdr:colOff>
      <xdr:row>12</xdr:row>
      <xdr:rowOff>133350</xdr:rowOff>
    </xdr:to>
    <xdr:sp macro="" textlink="">
      <xdr:nvSpPr>
        <xdr:cNvPr id="71483" name="9"/>
        <xdr:cNvSpPr/>
      </xdr:nvSpPr>
      <xdr:spPr>
        <a:xfrm>
          <a:off x="24374475" y="2057400"/>
          <a:ext cx="344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269</xdr:col>
      <xdr:colOff>0</xdr:colOff>
      <xdr:row>12</xdr:row>
      <xdr:rowOff>76200</xdr:rowOff>
    </xdr:from>
    <xdr:to>
      <xdr:col>269</xdr:col>
      <xdr:colOff>0</xdr:colOff>
      <xdr:row>12</xdr:row>
      <xdr:rowOff>76200</xdr:rowOff>
    </xdr:to>
    <xdr:cxnSp macro="">
      <xdr:nvCxnSpPr>
        <xdr:cNvPr id="71484" name="직선 화살표 연결선 71483"/>
        <xdr:cNvCxnSpPr/>
      </xdr:nvCxnSpPr>
      <xdr:spPr>
        <a:xfrm>
          <a:off x="24374475" y="2114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270</xdr:col>
      <xdr:colOff>0</xdr:colOff>
      <xdr:row>11</xdr:row>
      <xdr:rowOff>19050</xdr:rowOff>
    </xdr:from>
    <xdr:to>
      <xdr:col>271</xdr:col>
      <xdr:colOff>1270</xdr:colOff>
      <xdr:row>11</xdr:row>
      <xdr:rowOff>133350</xdr:rowOff>
    </xdr:to>
    <xdr:sp macro="" textlink="">
      <xdr:nvSpPr>
        <xdr:cNvPr id="71485" name="8"/>
        <xdr:cNvSpPr/>
      </xdr:nvSpPr>
      <xdr:spPr>
        <a:xfrm>
          <a:off x="24431625" y="19050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270</xdr:col>
      <xdr:colOff>0</xdr:colOff>
      <xdr:row>11</xdr:row>
      <xdr:rowOff>76200</xdr:rowOff>
    </xdr:from>
    <xdr:to>
      <xdr:col>270</xdr:col>
      <xdr:colOff>0</xdr:colOff>
      <xdr:row>11</xdr:row>
      <xdr:rowOff>76200</xdr:rowOff>
    </xdr:to>
    <xdr:cxnSp macro="">
      <xdr:nvCxnSpPr>
        <xdr:cNvPr id="71486" name="직선 화살표 연결선 71485"/>
        <xdr:cNvCxnSpPr/>
      </xdr:nvCxnSpPr>
      <xdr:spPr>
        <a:xfrm>
          <a:off x="24431625" y="1962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131</xdr:col>
      <xdr:colOff>0</xdr:colOff>
      <xdr:row>10</xdr:row>
      <xdr:rowOff>19050</xdr:rowOff>
    </xdr:from>
    <xdr:to>
      <xdr:col>132</xdr:col>
      <xdr:colOff>1270</xdr:colOff>
      <xdr:row>10</xdr:row>
      <xdr:rowOff>133350</xdr:rowOff>
    </xdr:to>
    <xdr:sp macro="" textlink="">
      <xdr:nvSpPr>
        <xdr:cNvPr id="71487" name="7"/>
        <xdr:cNvSpPr/>
      </xdr:nvSpPr>
      <xdr:spPr>
        <a:xfrm>
          <a:off x="16487775" y="17526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145</xdr:col>
      <xdr:colOff>0</xdr:colOff>
      <xdr:row>10</xdr:row>
      <xdr:rowOff>76200</xdr:rowOff>
    </xdr:from>
    <xdr:to>
      <xdr:col>146</xdr:col>
      <xdr:colOff>0</xdr:colOff>
      <xdr:row>10</xdr:row>
      <xdr:rowOff>76200</xdr:rowOff>
    </xdr:to>
    <xdr:cxnSp macro="">
      <xdr:nvCxnSpPr>
        <xdr:cNvPr id="71488" name="직선 화살표 연결선 71487"/>
        <xdr:cNvCxnSpPr/>
      </xdr:nvCxnSpPr>
      <xdr:spPr>
        <a:xfrm>
          <a:off x="17287875" y="1809750"/>
          <a:ext cx="571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9</xdr:row>
      <xdr:rowOff>19050</xdr:rowOff>
    </xdr:from>
    <xdr:to>
      <xdr:col>39</xdr:col>
      <xdr:colOff>1270</xdr:colOff>
      <xdr:row>9</xdr:row>
      <xdr:rowOff>133350</xdr:rowOff>
    </xdr:to>
    <xdr:sp macro="" textlink="">
      <xdr:nvSpPr>
        <xdr:cNvPr id="71489" name="6"/>
        <xdr:cNvSpPr/>
      </xdr:nvSpPr>
      <xdr:spPr>
        <a:xfrm>
          <a:off x="11172825" y="16002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9</xdr:row>
      <xdr:rowOff>76200</xdr:rowOff>
    </xdr:from>
    <xdr:to>
      <xdr:col>39</xdr:col>
      <xdr:colOff>0</xdr:colOff>
      <xdr:row>9</xdr:row>
      <xdr:rowOff>76200</xdr:rowOff>
    </xdr:to>
    <xdr:cxnSp macro="">
      <xdr:nvCxnSpPr>
        <xdr:cNvPr id="71490" name="직선 화살표 연결선 71489"/>
        <xdr:cNvCxnSpPr/>
      </xdr:nvCxnSpPr>
      <xdr:spPr>
        <a:xfrm>
          <a:off x="11172825" y="16573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8</xdr:row>
      <xdr:rowOff>19050</xdr:rowOff>
    </xdr:from>
    <xdr:to>
      <xdr:col>271</xdr:col>
      <xdr:colOff>1270</xdr:colOff>
      <xdr:row>8</xdr:row>
      <xdr:rowOff>133350</xdr:rowOff>
    </xdr:to>
    <xdr:sp macro="" textlink="">
      <xdr:nvSpPr>
        <xdr:cNvPr id="71491" name="5"/>
        <xdr:cNvSpPr/>
      </xdr:nvSpPr>
      <xdr:spPr>
        <a:xfrm>
          <a:off x="11172825" y="1447800"/>
          <a:ext cx="13317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8</xdr:row>
      <xdr:rowOff>76200</xdr:rowOff>
    </xdr:from>
    <xdr:to>
      <xdr:col>193</xdr:col>
      <xdr:colOff>19050</xdr:colOff>
      <xdr:row>8</xdr:row>
      <xdr:rowOff>76200</xdr:rowOff>
    </xdr:to>
    <xdr:cxnSp macro="">
      <xdr:nvCxnSpPr>
        <xdr:cNvPr id="71492" name="직선 화살표 연결선 71491"/>
        <xdr:cNvCxnSpPr/>
      </xdr:nvCxnSpPr>
      <xdr:spPr>
        <a:xfrm>
          <a:off x="11172825" y="1504950"/>
          <a:ext cx="8877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xdr:row>
      <xdr:rowOff>19050</xdr:rowOff>
    </xdr:from>
    <xdr:to>
      <xdr:col>43</xdr:col>
      <xdr:colOff>1270</xdr:colOff>
      <xdr:row>7</xdr:row>
      <xdr:rowOff>133350</xdr:rowOff>
    </xdr:to>
    <xdr:sp macro="" textlink="">
      <xdr:nvSpPr>
        <xdr:cNvPr id="71493" name="4"/>
        <xdr:cNvSpPr/>
      </xdr:nvSpPr>
      <xdr:spPr>
        <a:xfrm>
          <a:off x="10772775" y="129540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7</xdr:row>
      <xdr:rowOff>76200</xdr:rowOff>
    </xdr:from>
    <xdr:to>
      <xdr:col>43</xdr:col>
      <xdr:colOff>0</xdr:colOff>
      <xdr:row>7</xdr:row>
      <xdr:rowOff>76200</xdr:rowOff>
    </xdr:to>
    <xdr:cxnSp macro="">
      <xdr:nvCxnSpPr>
        <xdr:cNvPr id="71494" name="직선 화살표 연결선 71493"/>
        <xdr:cNvCxnSpPr/>
      </xdr:nvCxnSpPr>
      <xdr:spPr>
        <a:xfrm>
          <a:off x="11172825" y="1352550"/>
          <a:ext cx="2857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xdr:row>
      <xdr:rowOff>19050</xdr:rowOff>
    </xdr:from>
    <xdr:to>
      <xdr:col>32</xdr:col>
      <xdr:colOff>1270</xdr:colOff>
      <xdr:row>6</xdr:row>
      <xdr:rowOff>133350</xdr:rowOff>
    </xdr:to>
    <xdr:sp macro="" textlink="">
      <xdr:nvSpPr>
        <xdr:cNvPr id="71495" name="3"/>
        <xdr:cNvSpPr/>
      </xdr:nvSpPr>
      <xdr:spPr>
        <a:xfrm>
          <a:off x="10772775" y="114300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6</xdr:row>
      <xdr:rowOff>76200</xdr:rowOff>
    </xdr:from>
    <xdr:to>
      <xdr:col>32</xdr:col>
      <xdr:colOff>0</xdr:colOff>
      <xdr:row>6</xdr:row>
      <xdr:rowOff>76200</xdr:rowOff>
    </xdr:to>
    <xdr:cxnSp macro="">
      <xdr:nvCxnSpPr>
        <xdr:cNvPr id="71496" name="직선 화살표 연결선 71495"/>
        <xdr:cNvCxnSpPr/>
      </xdr:nvCxnSpPr>
      <xdr:spPr>
        <a:xfrm>
          <a:off x="10772775" y="120015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xdr:row>
      <xdr:rowOff>19050</xdr:rowOff>
    </xdr:from>
    <xdr:to>
      <xdr:col>43</xdr:col>
      <xdr:colOff>1270</xdr:colOff>
      <xdr:row>5</xdr:row>
      <xdr:rowOff>133350</xdr:rowOff>
    </xdr:to>
    <xdr:sp macro="" textlink="">
      <xdr:nvSpPr>
        <xdr:cNvPr id="71497" name="2"/>
        <xdr:cNvSpPr/>
      </xdr:nvSpPr>
      <xdr:spPr>
        <a:xfrm>
          <a:off x="10772775" y="99060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5</xdr:row>
      <xdr:rowOff>76200</xdr:rowOff>
    </xdr:from>
    <xdr:to>
      <xdr:col>43</xdr:col>
      <xdr:colOff>0</xdr:colOff>
      <xdr:row>5</xdr:row>
      <xdr:rowOff>76200</xdr:rowOff>
    </xdr:to>
    <xdr:cxnSp macro="">
      <xdr:nvCxnSpPr>
        <xdr:cNvPr id="71498" name="직선 화살표 연결선 71497"/>
        <xdr:cNvCxnSpPr/>
      </xdr:nvCxnSpPr>
      <xdr:spPr>
        <a:xfrm>
          <a:off x="10772775" y="104775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xdr:row>
      <xdr:rowOff>19050</xdr:rowOff>
    </xdr:from>
    <xdr:to>
      <xdr:col>275</xdr:col>
      <xdr:colOff>1270</xdr:colOff>
      <xdr:row>4</xdr:row>
      <xdr:rowOff>133350</xdr:rowOff>
    </xdr:to>
    <xdr:sp macro="" textlink="">
      <xdr:nvSpPr>
        <xdr:cNvPr id="71499" name="1"/>
        <xdr:cNvSpPr/>
      </xdr:nvSpPr>
      <xdr:spPr>
        <a:xfrm>
          <a:off x="10772775" y="838200"/>
          <a:ext cx="13945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4</xdr:row>
      <xdr:rowOff>76200</xdr:rowOff>
    </xdr:from>
    <xdr:to>
      <xdr:col>234</xdr:col>
      <xdr:colOff>54051</xdr:colOff>
      <xdr:row>4</xdr:row>
      <xdr:rowOff>76200</xdr:rowOff>
    </xdr:to>
    <xdr:cxnSp macro="">
      <xdr:nvCxnSpPr>
        <xdr:cNvPr id="71500" name="직선 화살표 연결선 71499"/>
        <xdr:cNvCxnSpPr/>
      </xdr:nvCxnSpPr>
      <xdr:spPr>
        <a:xfrm>
          <a:off x="10772775" y="895350"/>
          <a:ext cx="116555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5"/>
  <sheetViews>
    <sheetView showGridLines="0" topLeftCell="A25" zoomScale="90" zoomScaleNormal="90" workbookViewId="0">
      <selection activeCell="L31" sqref="L31"/>
    </sheetView>
  </sheetViews>
  <sheetFormatPr defaultRowHeight="15.75"/>
  <cols>
    <col min="1" max="1" width="5.875" style="84" customWidth="1"/>
    <col min="2" max="2" width="29.875" style="106" customWidth="1"/>
    <col min="3" max="3" width="1.25" style="84" customWidth="1"/>
    <col min="4" max="11" width="9" style="84"/>
    <col min="12" max="12" width="19.5" style="84" customWidth="1"/>
    <col min="13" max="21" width="9" style="84"/>
    <col min="22" max="22" width="0" style="84" hidden="1" customWidth="1"/>
    <col min="23" max="26" width="9" style="84"/>
    <col min="27" max="28" width="0" style="84" hidden="1" customWidth="1"/>
    <col min="29" max="16384" width="9" style="84"/>
  </cols>
  <sheetData>
    <row r="1" spans="1:13" ht="20.25" customHeight="1">
      <c r="A1" s="259" t="s">
        <v>1362</v>
      </c>
      <c r="B1" s="260"/>
      <c r="C1" s="260"/>
      <c r="D1" s="260"/>
      <c r="E1" s="260"/>
      <c r="F1" s="260"/>
      <c r="G1" s="260"/>
      <c r="H1" s="117"/>
      <c r="I1" s="117"/>
      <c r="J1" s="263" t="s">
        <v>725</v>
      </c>
      <c r="K1" s="264"/>
      <c r="L1" s="264"/>
      <c r="M1" s="118"/>
    </row>
    <row r="2" spans="1:13" s="85" customFormat="1" ht="33.75" customHeight="1">
      <c r="A2" s="261"/>
      <c r="B2" s="262"/>
      <c r="C2" s="262"/>
      <c r="D2" s="262"/>
      <c r="E2" s="262"/>
      <c r="F2" s="262"/>
      <c r="G2" s="262"/>
      <c r="H2" s="257" t="s">
        <v>1363</v>
      </c>
      <c r="I2" s="258"/>
      <c r="J2" s="258"/>
      <c r="K2" s="258"/>
      <c r="L2" s="258"/>
      <c r="M2" s="119"/>
    </row>
    <row r="4" spans="1:13" ht="17.25" customHeight="1">
      <c r="B4" s="265" t="s">
        <v>1364</v>
      </c>
      <c r="C4" s="266"/>
      <c r="D4" s="266"/>
      <c r="E4" s="266"/>
      <c r="F4" s="266"/>
      <c r="G4" s="266"/>
      <c r="H4" s="266"/>
      <c r="I4" s="266"/>
      <c r="J4" s="266"/>
      <c r="K4" s="266"/>
      <c r="L4" s="266"/>
    </row>
    <row r="5" spans="1:13" ht="27.75" customHeight="1">
      <c r="B5" s="266"/>
      <c r="C5" s="266"/>
      <c r="D5" s="266"/>
      <c r="E5" s="266"/>
      <c r="F5" s="266"/>
      <c r="G5" s="266"/>
      <c r="H5" s="266"/>
      <c r="I5" s="266"/>
      <c r="J5" s="266"/>
      <c r="K5" s="266"/>
      <c r="L5" s="266"/>
    </row>
    <row r="6" spans="1:13" s="85" customFormat="1" ht="12.75">
      <c r="B6" s="86"/>
    </row>
    <row r="7" spans="1:13" s="85" customFormat="1" ht="18.75">
      <c r="B7" s="87" t="s">
        <v>1365</v>
      </c>
      <c r="D7" s="88"/>
    </row>
    <row r="8" spans="1:13" s="85" customFormat="1" ht="7.5" customHeight="1">
      <c r="B8" s="86"/>
    </row>
    <row r="9" spans="1:13" s="85" customFormat="1" ht="29.25" customHeight="1" thickBot="1">
      <c r="A9" s="89"/>
      <c r="B9" s="90" t="s">
        <v>449</v>
      </c>
      <c r="C9" s="89"/>
      <c r="D9" s="256" t="s">
        <v>1366</v>
      </c>
      <c r="E9" s="256"/>
      <c r="F9" s="256"/>
      <c r="G9" s="256"/>
      <c r="H9" s="256"/>
      <c r="I9" s="256"/>
      <c r="J9" s="256"/>
      <c r="K9" s="256"/>
      <c r="L9" s="256"/>
    </row>
    <row r="10" spans="1:13" s="85" customFormat="1" ht="29.25" customHeight="1" thickTop="1" thickBot="1">
      <c r="A10" s="89"/>
      <c r="B10" s="91" t="s">
        <v>450</v>
      </c>
      <c r="C10" s="89"/>
      <c r="D10" s="256" t="s">
        <v>1367</v>
      </c>
      <c r="E10" s="256"/>
      <c r="F10" s="256"/>
      <c r="G10" s="256"/>
      <c r="H10" s="256"/>
      <c r="I10" s="256"/>
      <c r="J10" s="256"/>
      <c r="K10" s="256"/>
      <c r="L10" s="256"/>
    </row>
    <row r="11" spans="1:13" s="85" customFormat="1" ht="29.25" customHeight="1" thickTop="1" thickBot="1">
      <c r="A11" s="89"/>
      <c r="B11" s="92" t="s">
        <v>451</v>
      </c>
      <c r="C11" s="89"/>
      <c r="D11" s="256" t="s">
        <v>1368</v>
      </c>
      <c r="E11" s="256"/>
      <c r="F11" s="256"/>
      <c r="G11" s="256"/>
      <c r="H11" s="256"/>
      <c r="I11" s="256"/>
      <c r="J11" s="256"/>
      <c r="K11" s="256"/>
      <c r="L11" s="256"/>
    </row>
    <row r="12" spans="1:13" s="85" customFormat="1" ht="29.25" customHeight="1" thickTop="1" thickBot="1">
      <c r="A12" s="89"/>
      <c r="B12" s="93" t="s">
        <v>452</v>
      </c>
      <c r="C12" s="89"/>
      <c r="D12" s="256" t="s">
        <v>1369</v>
      </c>
      <c r="E12" s="256"/>
      <c r="F12" s="256"/>
      <c r="G12" s="256"/>
      <c r="H12" s="256"/>
      <c r="I12" s="256"/>
      <c r="J12" s="256"/>
      <c r="K12" s="256"/>
      <c r="L12" s="256"/>
    </row>
    <row r="13" spans="1:13" s="85" customFormat="1" ht="29.25" customHeight="1" thickTop="1" thickBot="1">
      <c r="A13" s="89"/>
      <c r="B13" s="94" t="s">
        <v>537</v>
      </c>
      <c r="C13" s="89"/>
      <c r="D13" s="256" t="s">
        <v>1370</v>
      </c>
      <c r="E13" s="256"/>
      <c r="F13" s="256"/>
      <c r="G13" s="256"/>
      <c r="H13" s="256"/>
      <c r="I13" s="256"/>
      <c r="J13" s="256"/>
      <c r="K13" s="256"/>
      <c r="L13" s="256"/>
    </row>
    <row r="14" spans="1:13" s="85" customFormat="1" ht="29.25" customHeight="1" thickTop="1" thickBot="1">
      <c r="A14" s="89"/>
      <c r="B14" s="95" t="s">
        <v>453</v>
      </c>
      <c r="C14" s="89"/>
      <c r="D14" s="256" t="s">
        <v>1371</v>
      </c>
      <c r="E14" s="256"/>
      <c r="F14" s="256"/>
      <c r="G14" s="256"/>
      <c r="H14" s="256"/>
      <c r="I14" s="256"/>
      <c r="J14" s="256"/>
      <c r="K14" s="256"/>
      <c r="L14" s="256"/>
    </row>
    <row r="15" spans="1:13" ht="16.5" thickTop="1">
      <c r="A15" s="96"/>
      <c r="B15" s="97"/>
      <c r="C15" s="96"/>
      <c r="D15" s="98"/>
      <c r="E15" s="98"/>
      <c r="F15" s="98"/>
      <c r="G15" s="98"/>
      <c r="H15" s="98"/>
      <c r="I15" s="98"/>
      <c r="J15" s="98"/>
      <c r="K15" s="98"/>
      <c r="L15" s="98"/>
    </row>
    <row r="16" spans="1:13" s="85" customFormat="1" ht="18.75">
      <c r="B16" s="87" t="s">
        <v>1372</v>
      </c>
      <c r="D16" s="88"/>
    </row>
    <row r="17" spans="2:12" s="85" customFormat="1" ht="5.25" customHeight="1">
      <c r="B17" s="99"/>
      <c r="D17" s="88"/>
    </row>
    <row r="18" spans="2:12" s="85" customFormat="1" ht="26.25" customHeight="1" thickBot="1">
      <c r="B18" s="100" t="s">
        <v>1373</v>
      </c>
      <c r="D18" s="255" t="s">
        <v>1385</v>
      </c>
      <c r="E18" s="255"/>
      <c r="F18" s="255"/>
      <c r="G18" s="255"/>
      <c r="H18" s="255"/>
      <c r="I18" s="255"/>
      <c r="J18" s="255"/>
      <c r="K18" s="255"/>
      <c r="L18" s="107" t="s">
        <v>1397</v>
      </c>
    </row>
    <row r="19" spans="2:12" s="85" customFormat="1" ht="53.25" customHeight="1" thickTop="1" thickBot="1">
      <c r="B19" s="100" t="s">
        <v>559</v>
      </c>
      <c r="D19" s="255" t="s">
        <v>1386</v>
      </c>
      <c r="E19" s="255"/>
      <c r="F19" s="255"/>
      <c r="G19" s="255"/>
      <c r="H19" s="255"/>
      <c r="I19" s="255"/>
      <c r="J19" s="255"/>
      <c r="K19" s="255"/>
      <c r="L19" s="107" t="s">
        <v>1397</v>
      </c>
    </row>
    <row r="20" spans="2:12" s="85" customFormat="1" ht="26.25" customHeight="1" thickTop="1" thickBot="1">
      <c r="B20" s="100" t="s">
        <v>1374</v>
      </c>
      <c r="D20" s="255" t="s">
        <v>1387</v>
      </c>
      <c r="E20" s="255"/>
      <c r="F20" s="255"/>
      <c r="G20" s="255"/>
      <c r="H20" s="255"/>
      <c r="I20" s="255"/>
      <c r="J20" s="255"/>
      <c r="K20" s="255"/>
      <c r="L20" s="107" t="s">
        <v>1397</v>
      </c>
    </row>
    <row r="21" spans="2:12" s="85" customFormat="1" ht="26.25" customHeight="1" thickTop="1" thickBot="1">
      <c r="B21" s="100" t="s">
        <v>1375</v>
      </c>
      <c r="D21" s="255" t="s">
        <v>1388</v>
      </c>
      <c r="E21" s="255"/>
      <c r="F21" s="255"/>
      <c r="G21" s="255"/>
      <c r="H21" s="255"/>
      <c r="I21" s="255"/>
      <c r="J21" s="255"/>
      <c r="K21" s="255"/>
      <c r="L21" s="107" t="s">
        <v>1397</v>
      </c>
    </row>
    <row r="22" spans="2:12" s="85" customFormat="1" ht="33.75" customHeight="1" thickTop="1" thickBot="1">
      <c r="B22" s="100" t="s">
        <v>1376</v>
      </c>
      <c r="D22" s="255" t="s">
        <v>1389</v>
      </c>
      <c r="E22" s="255"/>
      <c r="F22" s="255"/>
      <c r="G22" s="255"/>
      <c r="H22" s="255"/>
      <c r="I22" s="255"/>
      <c r="J22" s="255"/>
      <c r="K22" s="255"/>
      <c r="L22" s="107" t="s">
        <v>1397</v>
      </c>
    </row>
    <row r="23" spans="2:12" s="85" customFormat="1" ht="52.5" customHeight="1" thickTop="1" thickBot="1">
      <c r="B23" s="100" t="s">
        <v>1377</v>
      </c>
      <c r="D23" s="255" t="s">
        <v>1390</v>
      </c>
      <c r="E23" s="255"/>
      <c r="F23" s="255"/>
      <c r="G23" s="255"/>
      <c r="H23" s="255"/>
      <c r="I23" s="255"/>
      <c r="J23" s="255"/>
      <c r="K23" s="255"/>
      <c r="L23" s="107" t="s">
        <v>1397</v>
      </c>
    </row>
    <row r="24" spans="2:12" s="85" customFormat="1" ht="47.25" customHeight="1" thickTop="1" thickBot="1">
      <c r="B24" s="100" t="s">
        <v>1378</v>
      </c>
      <c r="D24" s="255" t="s">
        <v>1391</v>
      </c>
      <c r="E24" s="255"/>
      <c r="F24" s="255"/>
      <c r="G24" s="255"/>
      <c r="H24" s="255"/>
      <c r="I24" s="255"/>
      <c r="J24" s="255"/>
      <c r="K24" s="255"/>
      <c r="L24" s="107" t="s">
        <v>1397</v>
      </c>
    </row>
    <row r="25" spans="2:12" s="85" customFormat="1" ht="33.75" customHeight="1" thickTop="1" thickBot="1">
      <c r="B25" s="100" t="s">
        <v>1379</v>
      </c>
      <c r="D25" s="255" t="s">
        <v>1392</v>
      </c>
      <c r="E25" s="255"/>
      <c r="F25" s="255"/>
      <c r="G25" s="255"/>
      <c r="H25" s="255"/>
      <c r="I25" s="255"/>
      <c r="J25" s="255"/>
      <c r="K25" s="255"/>
      <c r="L25" s="107" t="s">
        <v>1397</v>
      </c>
    </row>
    <row r="26" spans="2:12" s="85" customFormat="1" ht="53.25" customHeight="1" thickTop="1" thickBot="1">
      <c r="B26" s="100" t="s">
        <v>1380</v>
      </c>
      <c r="D26" s="255" t="s">
        <v>1393</v>
      </c>
      <c r="E26" s="255"/>
      <c r="F26" s="255"/>
      <c r="G26" s="255"/>
      <c r="H26" s="255"/>
      <c r="I26" s="255"/>
      <c r="J26" s="255"/>
      <c r="K26" s="255"/>
      <c r="L26" s="107" t="s">
        <v>1397</v>
      </c>
    </row>
    <row r="27" spans="2:12" s="85" customFormat="1" ht="35.25" customHeight="1" thickTop="1" thickBot="1">
      <c r="B27" s="100" t="s">
        <v>1381</v>
      </c>
      <c r="D27" s="255" t="s">
        <v>1394</v>
      </c>
      <c r="E27" s="255"/>
      <c r="F27" s="255"/>
      <c r="G27" s="255"/>
      <c r="H27" s="255"/>
      <c r="I27" s="255"/>
      <c r="J27" s="255"/>
      <c r="K27" s="255"/>
      <c r="L27" s="107" t="s">
        <v>1397</v>
      </c>
    </row>
    <row r="28" spans="2:12" s="85" customFormat="1" ht="43.5" customHeight="1" thickTop="1" thickBot="1">
      <c r="B28" s="100" t="s">
        <v>452</v>
      </c>
      <c r="D28" s="255" t="s">
        <v>1395</v>
      </c>
      <c r="E28" s="255"/>
      <c r="F28" s="255"/>
      <c r="G28" s="255"/>
      <c r="H28" s="255"/>
      <c r="I28" s="255"/>
      <c r="J28" s="255"/>
      <c r="K28" s="255"/>
      <c r="L28" s="107" t="s">
        <v>1397</v>
      </c>
    </row>
    <row r="29" spans="2:12" s="85" customFormat="1" ht="49.5" customHeight="1" thickTop="1" thickBot="1">
      <c r="B29" s="100" t="s">
        <v>1382</v>
      </c>
      <c r="D29" s="255" t="s">
        <v>1396</v>
      </c>
      <c r="E29" s="255"/>
      <c r="F29" s="255"/>
      <c r="G29" s="255"/>
      <c r="H29" s="255"/>
      <c r="I29" s="255"/>
      <c r="J29" s="255"/>
      <c r="K29" s="255"/>
      <c r="L29" s="107" t="s">
        <v>1397</v>
      </c>
    </row>
    <row r="30" spans="2:12" s="85" customFormat="1" ht="24.75" customHeight="1" thickTop="1" thickBot="1">
      <c r="B30" s="171" t="s">
        <v>1383</v>
      </c>
      <c r="D30" s="255" t="s">
        <v>1344</v>
      </c>
      <c r="E30" s="255"/>
      <c r="F30" s="255"/>
      <c r="G30" s="255"/>
      <c r="H30" s="255"/>
      <c r="I30" s="255"/>
      <c r="J30" s="255"/>
      <c r="K30" s="255"/>
      <c r="L30" s="107" t="s">
        <v>1397</v>
      </c>
    </row>
    <row r="31" spans="2:12" s="85" customFormat="1" ht="24.75" customHeight="1" thickTop="1" thickBot="1">
      <c r="B31" s="100" t="s">
        <v>1384</v>
      </c>
      <c r="D31" s="255" t="s">
        <v>1345</v>
      </c>
      <c r="E31" s="255"/>
      <c r="F31" s="255"/>
      <c r="G31" s="255"/>
      <c r="H31" s="255"/>
      <c r="I31" s="255"/>
      <c r="J31" s="255"/>
      <c r="K31" s="255"/>
      <c r="L31" s="107" t="s">
        <v>1397</v>
      </c>
    </row>
    <row r="32" spans="2:12" s="85" customFormat="1" ht="24.75" customHeight="1" thickTop="1" thickBot="1">
      <c r="B32" s="100" t="s">
        <v>1356</v>
      </c>
      <c r="D32" s="255" t="s">
        <v>1360</v>
      </c>
      <c r="E32" s="255"/>
      <c r="F32" s="255"/>
      <c r="G32" s="255"/>
      <c r="H32" s="255"/>
      <c r="I32" s="255"/>
      <c r="J32" s="255"/>
      <c r="K32" s="255"/>
      <c r="L32" s="107" t="s">
        <v>1397</v>
      </c>
    </row>
    <row r="33" spans="2:12" s="85" customFormat="1" thickTop="1">
      <c r="B33" s="101"/>
      <c r="D33" s="88"/>
      <c r="L33" s="89"/>
    </row>
    <row r="34" spans="2:12" s="85" customFormat="1" ht="18.75" customHeight="1">
      <c r="B34" s="102" t="s">
        <v>1398</v>
      </c>
      <c r="C34" s="103"/>
      <c r="D34" s="104"/>
      <c r="E34" s="103"/>
      <c r="F34" s="103"/>
      <c r="G34" s="103"/>
      <c r="H34" s="103"/>
      <c r="I34" s="103"/>
      <c r="J34" s="103"/>
      <c r="K34" s="103"/>
      <c r="L34" s="105"/>
    </row>
    <row r="35" spans="2:12" s="85" customFormat="1" ht="59.25" customHeight="1">
      <c r="B35" s="267" t="s">
        <v>1399</v>
      </c>
      <c r="C35" s="267"/>
      <c r="D35" s="267"/>
      <c r="E35" s="267"/>
      <c r="F35" s="267"/>
      <c r="G35" s="267"/>
      <c r="H35" s="267"/>
      <c r="I35" s="267"/>
      <c r="J35" s="267"/>
      <c r="K35" s="267"/>
      <c r="L35" s="267"/>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JW74"/>
  <sheetViews>
    <sheetView tabSelected="1" zoomScale="115" zoomScaleNormal="115" zoomScaleSheetLayoutView="115" zoomScalePageLayoutView="55" workbookViewId="0">
      <pane ySplit="4" topLeftCell="A5" activePane="bottomLeft" state="frozen"/>
      <selection activeCell="D1" sqref="D1"/>
      <selection pane="bottomLeft" activeCell="D5" sqref="D5"/>
    </sheetView>
  </sheetViews>
  <sheetFormatPr defaultColWidth="8.375" defaultRowHeight="12" customHeight="1" outlineLevelRow="4"/>
  <cols>
    <col min="1" max="1" width="4" style="130" hidden="1" customWidth="1"/>
    <col min="2" max="2" width="5.625" style="130" hidden="1" customWidth="1"/>
    <col min="3" max="3" width="7.625" style="130" hidden="1" customWidth="1"/>
    <col min="4" max="4" width="3.25" style="131" customWidth="1"/>
    <col min="5" max="5" width="2.125" style="132" customWidth="1"/>
    <col min="6" max="6" width="3.25" style="132" customWidth="1"/>
    <col min="7" max="7" width="2.625" style="132" customWidth="1"/>
    <col min="8" max="8" width="3.625" style="132" customWidth="1"/>
    <col min="9" max="9" width="16.5" style="132" customWidth="1"/>
    <col min="10" max="10" width="4.75" style="132" customWidth="1"/>
    <col min="11" max="14" width="8.375" style="132" hidden="1" customWidth="1"/>
    <col min="15" max="15" width="4.5" style="132" bestFit="1" customWidth="1"/>
    <col min="16" max="16" width="11.25" style="133" customWidth="1"/>
    <col min="17" max="17" width="10.875" style="133" customWidth="1"/>
    <col min="18" max="18" width="0" style="132" hidden="1" customWidth="1"/>
    <col min="19" max="22" width="0" style="134" hidden="1" customWidth="1"/>
    <col min="23" max="24" width="9.75" style="133" bestFit="1" customWidth="1"/>
    <col min="25" max="25" width="8.375" style="135" customWidth="1"/>
    <col min="26" max="26" width="0" style="136" hidden="1" customWidth="1"/>
    <col min="27" max="27" width="8.375" style="134" customWidth="1"/>
    <col min="28" max="28" width="0" style="132" hidden="1" customWidth="1"/>
    <col min="29" max="29" width="24.125" style="137" customWidth="1"/>
    <col min="30" max="30" width="8.375" style="138"/>
    <col min="31" max="31" width="9.875" style="139" bestFit="1" customWidth="1"/>
    <col min="32" max="283" width="0.75" style="121" customWidth="1"/>
    <col min="284" max="16384" width="8.375" style="121"/>
  </cols>
  <sheetData>
    <row r="1" spans="1:283" s="122" customFormat="1" ht="24.95" customHeight="1">
      <c r="A1" s="202"/>
      <c r="B1" s="203"/>
      <c r="C1" s="204"/>
      <c r="D1" s="205" t="str">
        <f t="array" aca="1" ref="D1" ca="1">xlgantt.ProjectName()</f>
        <v>WMS 구축</v>
      </c>
      <c r="E1" s="206"/>
      <c r="F1" s="206"/>
      <c r="G1" s="206"/>
      <c r="H1" s="206"/>
      <c r="I1" s="206"/>
      <c r="J1" s="206"/>
      <c r="K1" s="206"/>
      <c r="L1" s="206"/>
      <c r="M1" s="206"/>
      <c r="N1" s="206"/>
      <c r="O1" s="206"/>
      <c r="P1" s="206"/>
      <c r="Q1" s="207"/>
      <c r="R1" s="208"/>
      <c r="S1" s="209"/>
      <c r="T1" s="210"/>
      <c r="U1" s="211"/>
      <c r="V1" s="211"/>
      <c r="W1" s="212"/>
      <c r="X1" s="212"/>
      <c r="Y1" s="203"/>
      <c r="Z1" s="213"/>
      <c r="AA1" s="214"/>
      <c r="AB1" s="215"/>
      <c r="AC1" s="216"/>
      <c r="AD1" s="217"/>
      <c r="AE1" s="218" t="str">
        <f ca="1">xlgantt.ProjectProgressString()</f>
        <v>2025-06-02~2026-01-31 [계획:91.27% 실적:83.58%]</v>
      </c>
      <c r="AF1" s="226" t="s">
        <v>1920</v>
      </c>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c r="BE1" s="185"/>
      <c r="BF1" s="185"/>
      <c r="BG1" s="185"/>
      <c r="BH1" s="185"/>
      <c r="BI1" s="185"/>
      <c r="BJ1" s="185"/>
    </row>
    <row r="2" spans="1:283" s="122" customFormat="1" ht="15" customHeight="1">
      <c r="A2" s="219"/>
      <c r="B2" s="219"/>
      <c r="C2" s="220"/>
      <c r="D2" s="282"/>
      <c r="E2" s="282"/>
      <c r="F2" s="282"/>
      <c r="G2" s="221"/>
      <c r="H2" s="222"/>
      <c r="I2" s="221"/>
      <c r="J2" s="221"/>
      <c r="K2" s="221"/>
      <c r="L2" s="221"/>
      <c r="M2" s="221"/>
      <c r="N2" s="221"/>
      <c r="O2" s="221"/>
      <c r="P2" s="221"/>
      <c r="Q2" s="221"/>
      <c r="R2" s="221"/>
      <c r="S2" s="223"/>
      <c r="T2" s="223"/>
      <c r="U2" s="223"/>
      <c r="V2" s="223"/>
      <c r="W2" s="221"/>
      <c r="X2" s="221"/>
      <c r="Y2" s="221"/>
      <c r="Z2" s="221"/>
      <c r="AA2" s="221"/>
      <c r="AB2" s="221"/>
      <c r="AC2" s="224"/>
      <c r="AD2" s="225"/>
      <c r="AE2" s="221" t="str">
        <f t="array" aca="1" ref="AE2" ca="1">xlgantt.CommentOnHeadArea()</f>
        <v>별(*)표시는 필수입력</v>
      </c>
      <c r="AF2" s="270" t="s">
        <v>726</v>
      </c>
      <c r="AG2" s="270"/>
      <c r="AH2" s="270"/>
      <c r="AI2" s="270"/>
      <c r="AJ2" s="270"/>
      <c r="AK2" s="270"/>
      <c r="AL2" s="270"/>
      <c r="AM2" s="270" t="s">
        <v>1607</v>
      </c>
      <c r="AN2" s="270"/>
      <c r="AO2" s="270"/>
      <c r="AP2" s="270"/>
      <c r="AQ2" s="270"/>
      <c r="AR2" s="270"/>
      <c r="AS2" s="270"/>
      <c r="AT2" s="270" t="s">
        <v>1608</v>
      </c>
      <c r="AU2" s="270"/>
      <c r="AV2" s="270"/>
      <c r="AW2" s="270"/>
      <c r="AX2" s="270"/>
      <c r="AY2" s="270"/>
      <c r="AZ2" s="270"/>
      <c r="BA2" s="270" t="s">
        <v>1609</v>
      </c>
      <c r="BB2" s="270"/>
      <c r="BC2" s="270"/>
      <c r="BD2" s="270"/>
      <c r="BE2" s="270"/>
      <c r="BF2" s="270"/>
      <c r="BG2" s="270"/>
      <c r="BH2" s="270" t="s">
        <v>1478</v>
      </c>
      <c r="BI2" s="270"/>
      <c r="BJ2" s="270"/>
      <c r="BK2" s="270"/>
      <c r="BL2" s="270"/>
      <c r="BM2" s="270"/>
      <c r="BN2" s="270"/>
      <c r="BO2" s="270" t="s">
        <v>1610</v>
      </c>
      <c r="BP2" s="270"/>
      <c r="BQ2" s="270"/>
      <c r="BR2" s="270"/>
      <c r="BS2" s="270"/>
      <c r="BT2" s="270"/>
      <c r="BU2" s="270"/>
      <c r="BV2" s="270" t="s">
        <v>1611</v>
      </c>
      <c r="BW2" s="270"/>
      <c r="BX2" s="270"/>
      <c r="BY2" s="270"/>
      <c r="BZ2" s="270"/>
      <c r="CA2" s="270"/>
      <c r="CB2" s="270"/>
      <c r="CC2" s="270" t="s">
        <v>1612</v>
      </c>
      <c r="CD2" s="270"/>
      <c r="CE2" s="270"/>
      <c r="CF2" s="270"/>
      <c r="CG2" s="270"/>
      <c r="CH2" s="270"/>
      <c r="CI2" s="270"/>
      <c r="CJ2" s="270" t="s">
        <v>1479</v>
      </c>
      <c r="CK2" s="270"/>
      <c r="CL2" s="270"/>
      <c r="CM2" s="270"/>
      <c r="CN2" s="270"/>
      <c r="CO2" s="270"/>
      <c r="CP2" s="270"/>
      <c r="CQ2" s="270" t="s">
        <v>1613</v>
      </c>
      <c r="CR2" s="270"/>
      <c r="CS2" s="270"/>
      <c r="CT2" s="270"/>
      <c r="CU2" s="270"/>
      <c r="CV2" s="270"/>
      <c r="CW2" s="270"/>
      <c r="CX2" s="270" t="s">
        <v>1614</v>
      </c>
      <c r="CY2" s="270"/>
      <c r="CZ2" s="270"/>
      <c r="DA2" s="270"/>
      <c r="DB2" s="270"/>
      <c r="DC2" s="270"/>
      <c r="DD2" s="270"/>
      <c r="DE2" s="270" t="s">
        <v>1615</v>
      </c>
      <c r="DF2" s="270"/>
      <c r="DG2" s="270"/>
      <c r="DH2" s="270"/>
      <c r="DI2" s="270"/>
      <c r="DJ2" s="270"/>
      <c r="DK2" s="270"/>
      <c r="DL2" s="270" t="s">
        <v>1434</v>
      </c>
      <c r="DM2" s="270"/>
      <c r="DN2" s="270"/>
      <c r="DO2" s="270"/>
      <c r="DP2" s="270"/>
      <c r="DQ2" s="270"/>
      <c r="DR2" s="270"/>
      <c r="DS2" s="270" t="s">
        <v>1616</v>
      </c>
      <c r="DT2" s="270"/>
      <c r="DU2" s="270"/>
      <c r="DV2" s="270"/>
      <c r="DW2" s="270"/>
      <c r="DX2" s="270"/>
      <c r="DY2" s="270"/>
      <c r="DZ2" s="270" t="s">
        <v>1617</v>
      </c>
      <c r="EA2" s="270"/>
      <c r="EB2" s="270"/>
      <c r="EC2" s="270"/>
      <c r="ED2" s="270"/>
      <c r="EE2" s="270"/>
      <c r="EF2" s="270"/>
      <c r="EG2" s="270" t="s">
        <v>1618</v>
      </c>
      <c r="EH2" s="270"/>
      <c r="EI2" s="270"/>
      <c r="EJ2" s="270"/>
      <c r="EK2" s="270"/>
      <c r="EL2" s="270"/>
      <c r="EM2" s="270"/>
      <c r="EN2" s="270" t="s">
        <v>1480</v>
      </c>
      <c r="EO2" s="270"/>
      <c r="EP2" s="270"/>
      <c r="EQ2" s="270"/>
      <c r="ER2" s="270"/>
      <c r="ES2" s="270"/>
      <c r="ET2" s="270"/>
      <c r="EU2" s="270" t="s">
        <v>1619</v>
      </c>
      <c r="EV2" s="270"/>
      <c r="EW2" s="270"/>
      <c r="EX2" s="270"/>
      <c r="EY2" s="270"/>
      <c r="EZ2" s="270"/>
      <c r="FA2" s="270"/>
      <c r="FB2" s="270" t="s">
        <v>1620</v>
      </c>
      <c r="FC2" s="270"/>
      <c r="FD2" s="270"/>
      <c r="FE2" s="270"/>
      <c r="FF2" s="270"/>
      <c r="FG2" s="270"/>
      <c r="FH2" s="270"/>
      <c r="FI2" s="270" t="s">
        <v>1621</v>
      </c>
      <c r="FJ2" s="270"/>
      <c r="FK2" s="270"/>
      <c r="FL2" s="270"/>
      <c r="FM2" s="270"/>
      <c r="FN2" s="270"/>
      <c r="FO2" s="270"/>
      <c r="FP2" s="270" t="s">
        <v>1481</v>
      </c>
      <c r="FQ2" s="270"/>
      <c r="FR2" s="270"/>
      <c r="FS2" s="270"/>
      <c r="FT2" s="270"/>
      <c r="FU2" s="270"/>
      <c r="FV2" s="270"/>
      <c r="FW2" s="270" t="s">
        <v>1622</v>
      </c>
      <c r="FX2" s="270"/>
      <c r="FY2" s="270"/>
      <c r="FZ2" s="270"/>
      <c r="GA2" s="270"/>
      <c r="GB2" s="270"/>
      <c r="GC2" s="270"/>
      <c r="GD2" s="270" t="s">
        <v>1623</v>
      </c>
      <c r="GE2" s="270"/>
      <c r="GF2" s="270"/>
      <c r="GG2" s="270"/>
      <c r="GH2" s="270"/>
      <c r="GI2" s="270"/>
      <c r="GJ2" s="270"/>
      <c r="GK2" s="270" t="s">
        <v>1624</v>
      </c>
      <c r="GL2" s="270"/>
      <c r="GM2" s="270"/>
      <c r="GN2" s="270"/>
      <c r="GO2" s="270"/>
      <c r="GP2" s="270"/>
      <c r="GQ2" s="270"/>
      <c r="GR2" s="270" t="s">
        <v>1492</v>
      </c>
      <c r="GS2" s="270"/>
      <c r="GT2" s="270"/>
      <c r="GU2" s="270"/>
      <c r="GV2" s="270"/>
      <c r="GW2" s="270"/>
      <c r="GX2" s="270"/>
      <c r="GY2" s="270" t="s">
        <v>1878</v>
      </c>
      <c r="GZ2" s="270"/>
      <c r="HA2" s="270"/>
      <c r="HB2" s="270"/>
      <c r="HC2" s="270"/>
      <c r="HD2" s="270"/>
      <c r="HE2" s="270"/>
      <c r="HF2" s="270" t="s">
        <v>1909</v>
      </c>
      <c r="HG2" s="270"/>
      <c r="HH2" s="270"/>
      <c r="HI2" s="270"/>
      <c r="HJ2" s="270"/>
      <c r="HK2" s="270"/>
      <c r="HL2" s="270"/>
      <c r="HM2" s="270" t="s">
        <v>1911</v>
      </c>
      <c r="HN2" s="270"/>
      <c r="HO2" s="270"/>
      <c r="HP2" s="270"/>
      <c r="HQ2" s="270"/>
      <c r="HR2" s="270"/>
      <c r="HS2" s="270"/>
      <c r="HT2" s="270" t="s">
        <v>1912</v>
      </c>
      <c r="HU2" s="270"/>
      <c r="HV2" s="270"/>
      <c r="HW2" s="270"/>
      <c r="HX2" s="270"/>
      <c r="HY2" s="270"/>
      <c r="HZ2" s="270"/>
      <c r="IA2" s="270" t="s">
        <v>1913</v>
      </c>
      <c r="IB2" s="270"/>
      <c r="IC2" s="270"/>
      <c r="ID2" s="270"/>
      <c r="IE2" s="270"/>
      <c r="IF2" s="270"/>
      <c r="IG2" s="270"/>
      <c r="IH2" s="270" t="s">
        <v>1914</v>
      </c>
      <c r="II2" s="270"/>
      <c r="IJ2" s="270"/>
      <c r="IK2" s="270"/>
      <c r="IL2" s="270"/>
      <c r="IM2" s="270"/>
      <c r="IN2" s="270"/>
      <c r="IO2" s="270" t="s">
        <v>1915</v>
      </c>
      <c r="IP2" s="270"/>
      <c r="IQ2" s="270"/>
      <c r="IR2" s="270"/>
      <c r="IS2" s="270"/>
      <c r="IT2" s="270"/>
      <c r="IU2" s="270"/>
      <c r="IV2" s="270" t="s">
        <v>1916</v>
      </c>
      <c r="IW2" s="270"/>
      <c r="IX2" s="270"/>
      <c r="IY2" s="270"/>
      <c r="IZ2" s="270"/>
      <c r="JA2" s="270"/>
      <c r="JB2" s="270"/>
      <c r="JC2" s="270" t="s">
        <v>1923</v>
      </c>
      <c r="JD2" s="270"/>
      <c r="JE2" s="270"/>
      <c r="JF2" s="270"/>
      <c r="JG2" s="270"/>
      <c r="JH2" s="270"/>
      <c r="JI2" s="270"/>
      <c r="JJ2" s="270" t="s">
        <v>1924</v>
      </c>
      <c r="JK2" s="270"/>
      <c r="JL2" s="270"/>
      <c r="JM2" s="270"/>
      <c r="JN2" s="270"/>
      <c r="JO2" s="270"/>
      <c r="JP2" s="270"/>
      <c r="JQ2" s="270" t="s">
        <v>1925</v>
      </c>
      <c r="JR2" s="270"/>
      <c r="JS2" s="270"/>
      <c r="JT2" s="270"/>
      <c r="JU2" s="270"/>
      <c r="JV2" s="270"/>
      <c r="JW2" s="270"/>
    </row>
    <row r="3" spans="1:283" s="120" customFormat="1" ht="18.95" customHeight="1">
      <c r="A3" s="272" t="s">
        <v>2054</v>
      </c>
      <c r="B3" s="274" t="s">
        <v>2055</v>
      </c>
      <c r="C3" s="276" t="s">
        <v>2059</v>
      </c>
      <c r="D3" s="277" t="s">
        <v>2046</v>
      </c>
      <c r="E3" s="279" t="s">
        <v>2039</v>
      </c>
      <c r="F3" s="280"/>
      <c r="G3" s="280"/>
      <c r="H3" s="280"/>
      <c r="I3" s="280"/>
      <c r="J3" s="280"/>
      <c r="K3" s="280"/>
      <c r="L3" s="280"/>
      <c r="M3" s="280"/>
      <c r="N3" s="280"/>
      <c r="O3" s="285" t="s">
        <v>2056</v>
      </c>
      <c r="P3" s="285" t="s">
        <v>2040</v>
      </c>
      <c r="Q3" s="285" t="s">
        <v>2060</v>
      </c>
      <c r="R3" s="277" t="s">
        <v>2057</v>
      </c>
      <c r="S3" s="287" t="s">
        <v>2061</v>
      </c>
      <c r="T3" s="290" t="s">
        <v>2051</v>
      </c>
      <c r="U3" s="287" t="s">
        <v>2047</v>
      </c>
      <c r="V3" s="287" t="s">
        <v>2048</v>
      </c>
      <c r="W3" s="289" t="s">
        <v>2049</v>
      </c>
      <c r="X3" s="289" t="s">
        <v>2052</v>
      </c>
      <c r="Y3" s="296" t="s">
        <v>2053</v>
      </c>
      <c r="Z3" s="298" t="s">
        <v>2041</v>
      </c>
      <c r="AA3" s="283" t="s">
        <v>2042</v>
      </c>
      <c r="AB3" s="285" t="s">
        <v>2050</v>
      </c>
      <c r="AC3" s="277" t="s">
        <v>2037</v>
      </c>
      <c r="AD3" s="292" t="s">
        <v>2045</v>
      </c>
      <c r="AE3" s="294" t="s">
        <v>2043</v>
      </c>
      <c r="AF3" s="271" t="s">
        <v>1926</v>
      </c>
      <c r="AG3" s="269"/>
      <c r="AH3" s="269"/>
      <c r="AI3" s="269"/>
      <c r="AJ3" s="269"/>
      <c r="AK3" s="269"/>
      <c r="AL3" s="269"/>
      <c r="AM3" s="268" t="s">
        <v>1927</v>
      </c>
      <c r="AN3" s="269"/>
      <c r="AO3" s="269"/>
      <c r="AP3" s="269"/>
      <c r="AQ3" s="269"/>
      <c r="AR3" s="269"/>
      <c r="AS3" s="269"/>
      <c r="AT3" s="268" t="s">
        <v>1928</v>
      </c>
      <c r="AU3" s="269"/>
      <c r="AV3" s="269"/>
      <c r="AW3" s="269"/>
      <c r="AX3" s="269"/>
      <c r="AY3" s="269"/>
      <c r="AZ3" s="269"/>
      <c r="BA3" s="268" t="s">
        <v>1929</v>
      </c>
      <c r="BB3" s="269"/>
      <c r="BC3" s="269"/>
      <c r="BD3" s="269"/>
      <c r="BE3" s="269"/>
      <c r="BF3" s="269"/>
      <c r="BG3" s="269"/>
      <c r="BH3" s="268" t="s">
        <v>1930</v>
      </c>
      <c r="BI3" s="269"/>
      <c r="BJ3" s="269"/>
      <c r="BK3" s="269"/>
      <c r="BL3" s="269"/>
      <c r="BM3" s="269"/>
      <c r="BN3" s="269"/>
      <c r="BO3" s="268" t="s">
        <v>1931</v>
      </c>
      <c r="BP3" s="269"/>
      <c r="BQ3" s="269"/>
      <c r="BR3" s="269"/>
      <c r="BS3" s="269"/>
      <c r="BT3" s="269"/>
      <c r="BU3" s="269"/>
      <c r="BV3" s="268" t="s">
        <v>1932</v>
      </c>
      <c r="BW3" s="269"/>
      <c r="BX3" s="269"/>
      <c r="BY3" s="269"/>
      <c r="BZ3" s="269"/>
      <c r="CA3" s="269"/>
      <c r="CB3" s="269"/>
      <c r="CC3" s="268" t="s">
        <v>1933</v>
      </c>
      <c r="CD3" s="269"/>
      <c r="CE3" s="269"/>
      <c r="CF3" s="269"/>
      <c r="CG3" s="269"/>
      <c r="CH3" s="269"/>
      <c r="CI3" s="269"/>
      <c r="CJ3" s="268" t="s">
        <v>1936</v>
      </c>
      <c r="CK3" s="269"/>
      <c r="CL3" s="269"/>
      <c r="CM3" s="269"/>
      <c r="CN3" s="269"/>
      <c r="CO3" s="269"/>
      <c r="CP3" s="269"/>
      <c r="CQ3" s="268" t="s">
        <v>1937</v>
      </c>
      <c r="CR3" s="269"/>
      <c r="CS3" s="269"/>
      <c r="CT3" s="269"/>
      <c r="CU3" s="269"/>
      <c r="CV3" s="269"/>
      <c r="CW3" s="269"/>
      <c r="CX3" s="268" t="s">
        <v>1938</v>
      </c>
      <c r="CY3" s="269"/>
      <c r="CZ3" s="269"/>
      <c r="DA3" s="269"/>
      <c r="DB3" s="269"/>
      <c r="DC3" s="269"/>
      <c r="DD3" s="269"/>
      <c r="DE3" s="268" t="s">
        <v>1939</v>
      </c>
      <c r="DF3" s="269"/>
      <c r="DG3" s="269"/>
      <c r="DH3" s="269"/>
      <c r="DI3" s="269"/>
      <c r="DJ3" s="269"/>
      <c r="DK3" s="269"/>
      <c r="DL3" s="268" t="s">
        <v>1940</v>
      </c>
      <c r="DM3" s="269"/>
      <c r="DN3" s="269"/>
      <c r="DO3" s="269"/>
      <c r="DP3" s="269"/>
      <c r="DQ3" s="269"/>
      <c r="DR3" s="269"/>
      <c r="DS3" s="268" t="s">
        <v>1941</v>
      </c>
      <c r="DT3" s="269"/>
      <c r="DU3" s="269"/>
      <c r="DV3" s="269"/>
      <c r="DW3" s="269"/>
      <c r="DX3" s="269"/>
      <c r="DY3" s="269"/>
      <c r="DZ3" s="268" t="s">
        <v>1942</v>
      </c>
      <c r="EA3" s="269"/>
      <c r="EB3" s="269"/>
      <c r="EC3" s="269"/>
      <c r="ED3" s="269"/>
      <c r="EE3" s="269"/>
      <c r="EF3" s="269"/>
      <c r="EG3" s="268" t="s">
        <v>1943</v>
      </c>
      <c r="EH3" s="269"/>
      <c r="EI3" s="269"/>
      <c r="EJ3" s="269"/>
      <c r="EK3" s="269"/>
      <c r="EL3" s="269"/>
      <c r="EM3" s="269"/>
      <c r="EN3" s="268" t="s">
        <v>1944</v>
      </c>
      <c r="EO3" s="269"/>
      <c r="EP3" s="269"/>
      <c r="EQ3" s="269"/>
      <c r="ER3" s="269"/>
      <c r="ES3" s="269"/>
      <c r="ET3" s="269"/>
      <c r="EU3" s="268" t="s">
        <v>1945</v>
      </c>
      <c r="EV3" s="269"/>
      <c r="EW3" s="269"/>
      <c r="EX3" s="269"/>
      <c r="EY3" s="269"/>
      <c r="EZ3" s="269"/>
      <c r="FA3" s="269"/>
      <c r="FB3" s="268" t="s">
        <v>1946</v>
      </c>
      <c r="FC3" s="269"/>
      <c r="FD3" s="269"/>
      <c r="FE3" s="269"/>
      <c r="FF3" s="269"/>
      <c r="FG3" s="269"/>
      <c r="FH3" s="269"/>
      <c r="FI3" s="268" t="s">
        <v>1947</v>
      </c>
      <c r="FJ3" s="269"/>
      <c r="FK3" s="269"/>
      <c r="FL3" s="269"/>
      <c r="FM3" s="269"/>
      <c r="FN3" s="269"/>
      <c r="FO3" s="269"/>
      <c r="FP3" s="268" t="s">
        <v>1948</v>
      </c>
      <c r="FQ3" s="269"/>
      <c r="FR3" s="269"/>
      <c r="FS3" s="269"/>
      <c r="FT3" s="269"/>
      <c r="FU3" s="269"/>
      <c r="FV3" s="269"/>
      <c r="FW3" s="268" t="s">
        <v>1949</v>
      </c>
      <c r="FX3" s="269"/>
      <c r="FY3" s="269"/>
      <c r="FZ3" s="269"/>
      <c r="GA3" s="269"/>
      <c r="GB3" s="269"/>
      <c r="GC3" s="269"/>
      <c r="GD3" s="268" t="s">
        <v>1950</v>
      </c>
      <c r="GE3" s="269"/>
      <c r="GF3" s="269"/>
      <c r="GG3" s="269"/>
      <c r="GH3" s="269"/>
      <c r="GI3" s="269"/>
      <c r="GJ3" s="269"/>
      <c r="GK3" s="268" t="s">
        <v>1951</v>
      </c>
      <c r="GL3" s="269"/>
      <c r="GM3" s="269"/>
      <c r="GN3" s="269"/>
      <c r="GO3" s="269"/>
      <c r="GP3" s="269"/>
      <c r="GQ3" s="269"/>
      <c r="GR3" s="268" t="s">
        <v>1952</v>
      </c>
      <c r="GS3" s="269"/>
      <c r="GT3" s="269"/>
      <c r="GU3" s="269"/>
      <c r="GV3" s="269"/>
      <c r="GW3" s="269"/>
      <c r="GX3" s="269"/>
      <c r="GY3" s="268" t="s">
        <v>1953</v>
      </c>
      <c r="GZ3" s="269"/>
      <c r="HA3" s="269"/>
      <c r="HB3" s="269"/>
      <c r="HC3" s="269"/>
      <c r="HD3" s="269"/>
      <c r="HE3" s="269"/>
      <c r="HF3" s="268" t="s">
        <v>1954</v>
      </c>
      <c r="HG3" s="269"/>
      <c r="HH3" s="269"/>
      <c r="HI3" s="269"/>
      <c r="HJ3" s="269"/>
      <c r="HK3" s="269"/>
      <c r="HL3" s="269"/>
      <c r="HM3" s="268" t="s">
        <v>1955</v>
      </c>
      <c r="HN3" s="269"/>
      <c r="HO3" s="269"/>
      <c r="HP3" s="269"/>
      <c r="HQ3" s="269"/>
      <c r="HR3" s="269"/>
      <c r="HS3" s="269"/>
      <c r="HT3" s="268" t="s">
        <v>1956</v>
      </c>
      <c r="HU3" s="269"/>
      <c r="HV3" s="269"/>
      <c r="HW3" s="269"/>
      <c r="HX3" s="269"/>
      <c r="HY3" s="269"/>
      <c r="HZ3" s="269"/>
      <c r="IA3" s="268" t="s">
        <v>1957</v>
      </c>
      <c r="IB3" s="269"/>
      <c r="IC3" s="269"/>
      <c r="ID3" s="269"/>
      <c r="IE3" s="269"/>
      <c r="IF3" s="269"/>
      <c r="IG3" s="269"/>
      <c r="IH3" s="268" t="s">
        <v>1958</v>
      </c>
      <c r="II3" s="269"/>
      <c r="IJ3" s="269"/>
      <c r="IK3" s="269"/>
      <c r="IL3" s="269"/>
      <c r="IM3" s="269"/>
      <c r="IN3" s="269"/>
      <c r="IO3" s="268" t="s">
        <v>1959</v>
      </c>
      <c r="IP3" s="269"/>
      <c r="IQ3" s="269"/>
      <c r="IR3" s="269"/>
      <c r="IS3" s="269"/>
      <c r="IT3" s="269"/>
      <c r="IU3" s="269"/>
      <c r="IV3" s="268" t="s">
        <v>1960</v>
      </c>
      <c r="IW3" s="269"/>
      <c r="IX3" s="269"/>
      <c r="IY3" s="269"/>
      <c r="IZ3" s="269"/>
      <c r="JA3" s="269"/>
      <c r="JB3" s="269"/>
      <c r="JC3" s="268" t="s">
        <v>1961</v>
      </c>
      <c r="JD3" s="269"/>
      <c r="JE3" s="269"/>
      <c r="JF3" s="269"/>
      <c r="JG3" s="269"/>
      <c r="JH3" s="269"/>
      <c r="JI3" s="269"/>
      <c r="JJ3" s="268" t="s">
        <v>1962</v>
      </c>
      <c r="JK3" s="269"/>
      <c r="JL3" s="269"/>
      <c r="JM3" s="269"/>
      <c r="JN3" s="269"/>
      <c r="JO3" s="269"/>
      <c r="JP3" s="269"/>
      <c r="JQ3" s="268" t="s">
        <v>1963</v>
      </c>
      <c r="JR3" s="269"/>
      <c r="JS3" s="269"/>
      <c r="JT3" s="269"/>
      <c r="JU3" s="269"/>
      <c r="JV3" s="269"/>
      <c r="JW3" s="300"/>
    </row>
    <row r="4" spans="1:283" s="120" customFormat="1" ht="6" customHeight="1">
      <c r="A4" s="273"/>
      <c r="B4" s="275"/>
      <c r="C4" s="272"/>
      <c r="D4" s="278"/>
      <c r="E4" s="281"/>
      <c r="F4" s="280"/>
      <c r="G4" s="280"/>
      <c r="H4" s="280"/>
      <c r="I4" s="280"/>
      <c r="J4" s="280"/>
      <c r="K4" s="280"/>
      <c r="L4" s="280"/>
      <c r="M4" s="280"/>
      <c r="N4" s="280"/>
      <c r="O4" s="286"/>
      <c r="P4" s="286"/>
      <c r="Q4" s="286"/>
      <c r="R4" s="278"/>
      <c r="S4" s="288"/>
      <c r="T4" s="291"/>
      <c r="U4" s="288"/>
      <c r="V4" s="288"/>
      <c r="W4" s="286"/>
      <c r="X4" s="286"/>
      <c r="Y4" s="297"/>
      <c r="Z4" s="299"/>
      <c r="AA4" s="284"/>
      <c r="AB4" s="286"/>
      <c r="AC4" s="278"/>
      <c r="AD4" s="293"/>
      <c r="AE4" s="295"/>
      <c r="AF4" s="199">
        <v>45810</v>
      </c>
      <c r="AG4" s="200">
        <v>45811</v>
      </c>
      <c r="AH4" s="200">
        <v>45812</v>
      </c>
      <c r="AI4" s="200">
        <v>45813</v>
      </c>
      <c r="AJ4" s="200">
        <v>45814</v>
      </c>
      <c r="AK4" s="200">
        <v>45815</v>
      </c>
      <c r="AL4" s="200">
        <v>45816</v>
      </c>
      <c r="AM4" s="200">
        <v>45817</v>
      </c>
      <c r="AN4" s="200">
        <v>45818</v>
      </c>
      <c r="AO4" s="200">
        <v>45819</v>
      </c>
      <c r="AP4" s="200">
        <v>45820</v>
      </c>
      <c r="AQ4" s="200">
        <v>45821</v>
      </c>
      <c r="AR4" s="200">
        <v>45822</v>
      </c>
      <c r="AS4" s="200">
        <v>45823</v>
      </c>
      <c r="AT4" s="200">
        <v>45824</v>
      </c>
      <c r="AU4" s="200">
        <v>45825</v>
      </c>
      <c r="AV4" s="200">
        <v>45826</v>
      </c>
      <c r="AW4" s="200">
        <v>45827</v>
      </c>
      <c r="AX4" s="200">
        <v>45828</v>
      </c>
      <c r="AY4" s="200">
        <v>45829</v>
      </c>
      <c r="AZ4" s="200">
        <v>45830</v>
      </c>
      <c r="BA4" s="200">
        <v>45831</v>
      </c>
      <c r="BB4" s="200">
        <v>45832</v>
      </c>
      <c r="BC4" s="200">
        <v>45833</v>
      </c>
      <c r="BD4" s="200">
        <v>45834</v>
      </c>
      <c r="BE4" s="200">
        <v>45835</v>
      </c>
      <c r="BF4" s="200">
        <v>45836</v>
      </c>
      <c r="BG4" s="200">
        <v>45837</v>
      </c>
      <c r="BH4" s="200">
        <v>45838</v>
      </c>
      <c r="BI4" s="200">
        <v>45839</v>
      </c>
      <c r="BJ4" s="200">
        <v>45840</v>
      </c>
      <c r="BK4" s="200">
        <v>45841</v>
      </c>
      <c r="BL4" s="200">
        <v>45842</v>
      </c>
      <c r="BM4" s="200">
        <v>45843</v>
      </c>
      <c r="BN4" s="200">
        <v>45844</v>
      </c>
      <c r="BO4" s="200">
        <v>45845</v>
      </c>
      <c r="BP4" s="200">
        <v>45846</v>
      </c>
      <c r="BQ4" s="200">
        <v>45847</v>
      </c>
      <c r="BR4" s="200">
        <v>45848</v>
      </c>
      <c r="BS4" s="200">
        <v>45849</v>
      </c>
      <c r="BT4" s="200">
        <v>45850</v>
      </c>
      <c r="BU4" s="200">
        <v>45851</v>
      </c>
      <c r="BV4" s="200">
        <v>45852</v>
      </c>
      <c r="BW4" s="200">
        <v>45853</v>
      </c>
      <c r="BX4" s="200">
        <v>45854</v>
      </c>
      <c r="BY4" s="200">
        <v>45855</v>
      </c>
      <c r="BZ4" s="200">
        <v>45856</v>
      </c>
      <c r="CA4" s="200">
        <v>45857</v>
      </c>
      <c r="CB4" s="200">
        <v>45858</v>
      </c>
      <c r="CC4" s="200">
        <v>45859</v>
      </c>
      <c r="CD4" s="200">
        <v>45860</v>
      </c>
      <c r="CE4" s="200">
        <v>45861</v>
      </c>
      <c r="CF4" s="200">
        <v>45862</v>
      </c>
      <c r="CG4" s="200">
        <v>45863</v>
      </c>
      <c r="CH4" s="200">
        <v>45864</v>
      </c>
      <c r="CI4" s="200">
        <v>45865</v>
      </c>
      <c r="CJ4" s="200">
        <v>45866</v>
      </c>
      <c r="CK4" s="200">
        <v>45867</v>
      </c>
      <c r="CL4" s="200">
        <v>45868</v>
      </c>
      <c r="CM4" s="200">
        <v>45869</v>
      </c>
      <c r="CN4" s="200">
        <v>45870</v>
      </c>
      <c r="CO4" s="200">
        <v>45871</v>
      </c>
      <c r="CP4" s="200">
        <v>45872</v>
      </c>
      <c r="CQ4" s="200">
        <v>45873</v>
      </c>
      <c r="CR4" s="200">
        <v>45874</v>
      </c>
      <c r="CS4" s="200">
        <v>45875</v>
      </c>
      <c r="CT4" s="200">
        <v>45876</v>
      </c>
      <c r="CU4" s="200">
        <v>45877</v>
      </c>
      <c r="CV4" s="200">
        <v>45878</v>
      </c>
      <c r="CW4" s="200">
        <v>45879</v>
      </c>
      <c r="CX4" s="200">
        <v>45880</v>
      </c>
      <c r="CY4" s="200">
        <v>45881</v>
      </c>
      <c r="CZ4" s="200">
        <v>45882</v>
      </c>
      <c r="DA4" s="200">
        <v>45883</v>
      </c>
      <c r="DB4" s="200">
        <v>45884</v>
      </c>
      <c r="DC4" s="200">
        <v>45885</v>
      </c>
      <c r="DD4" s="200">
        <v>45886</v>
      </c>
      <c r="DE4" s="200">
        <v>45887</v>
      </c>
      <c r="DF4" s="200">
        <v>45888</v>
      </c>
      <c r="DG4" s="200">
        <v>45889</v>
      </c>
      <c r="DH4" s="200">
        <v>45890</v>
      </c>
      <c r="DI4" s="200">
        <v>45891</v>
      </c>
      <c r="DJ4" s="200">
        <v>45892</v>
      </c>
      <c r="DK4" s="200">
        <v>45893</v>
      </c>
      <c r="DL4" s="200">
        <v>45894</v>
      </c>
      <c r="DM4" s="200">
        <v>45895</v>
      </c>
      <c r="DN4" s="200">
        <v>45896</v>
      </c>
      <c r="DO4" s="200">
        <v>45897</v>
      </c>
      <c r="DP4" s="200">
        <v>45898</v>
      </c>
      <c r="DQ4" s="200">
        <v>45899</v>
      </c>
      <c r="DR4" s="200">
        <v>45900</v>
      </c>
      <c r="DS4" s="200">
        <v>45901</v>
      </c>
      <c r="DT4" s="200">
        <v>45902</v>
      </c>
      <c r="DU4" s="200">
        <v>45903</v>
      </c>
      <c r="DV4" s="200">
        <v>45904</v>
      </c>
      <c r="DW4" s="200">
        <v>45905</v>
      </c>
      <c r="DX4" s="200">
        <v>45906</v>
      </c>
      <c r="DY4" s="200">
        <v>45907</v>
      </c>
      <c r="DZ4" s="200">
        <v>45908</v>
      </c>
      <c r="EA4" s="200">
        <v>45909</v>
      </c>
      <c r="EB4" s="200">
        <v>45910</v>
      </c>
      <c r="EC4" s="200">
        <v>45911</v>
      </c>
      <c r="ED4" s="200">
        <v>45912</v>
      </c>
      <c r="EE4" s="200">
        <v>45913</v>
      </c>
      <c r="EF4" s="200">
        <v>45914</v>
      </c>
      <c r="EG4" s="200">
        <v>45915</v>
      </c>
      <c r="EH4" s="200">
        <v>45916</v>
      </c>
      <c r="EI4" s="200">
        <v>45917</v>
      </c>
      <c r="EJ4" s="200">
        <v>45918</v>
      </c>
      <c r="EK4" s="200">
        <v>45919</v>
      </c>
      <c r="EL4" s="200">
        <v>45920</v>
      </c>
      <c r="EM4" s="200">
        <v>45921</v>
      </c>
      <c r="EN4" s="200">
        <v>45922</v>
      </c>
      <c r="EO4" s="200">
        <v>45923</v>
      </c>
      <c r="EP4" s="200">
        <v>45924</v>
      </c>
      <c r="EQ4" s="200">
        <v>45925</v>
      </c>
      <c r="ER4" s="200">
        <v>45926</v>
      </c>
      <c r="ES4" s="200">
        <v>45927</v>
      </c>
      <c r="ET4" s="200">
        <v>45928</v>
      </c>
      <c r="EU4" s="200">
        <v>45929</v>
      </c>
      <c r="EV4" s="200">
        <v>45930</v>
      </c>
      <c r="EW4" s="200">
        <v>45931</v>
      </c>
      <c r="EX4" s="200">
        <v>45932</v>
      </c>
      <c r="EY4" s="200">
        <v>45933</v>
      </c>
      <c r="EZ4" s="200">
        <v>45934</v>
      </c>
      <c r="FA4" s="200">
        <v>45935</v>
      </c>
      <c r="FB4" s="200">
        <v>45936</v>
      </c>
      <c r="FC4" s="200">
        <v>45937</v>
      </c>
      <c r="FD4" s="200">
        <v>45938</v>
      </c>
      <c r="FE4" s="200">
        <v>45939</v>
      </c>
      <c r="FF4" s="200">
        <v>45940</v>
      </c>
      <c r="FG4" s="200">
        <v>45941</v>
      </c>
      <c r="FH4" s="200">
        <v>45942</v>
      </c>
      <c r="FI4" s="200">
        <v>45943</v>
      </c>
      <c r="FJ4" s="200">
        <v>45944</v>
      </c>
      <c r="FK4" s="200">
        <v>45945</v>
      </c>
      <c r="FL4" s="200">
        <v>45946</v>
      </c>
      <c r="FM4" s="200">
        <v>45947</v>
      </c>
      <c r="FN4" s="200">
        <v>45948</v>
      </c>
      <c r="FO4" s="200">
        <v>45949</v>
      </c>
      <c r="FP4" s="200">
        <v>45950</v>
      </c>
      <c r="FQ4" s="200">
        <v>45951</v>
      </c>
      <c r="FR4" s="200">
        <v>45952</v>
      </c>
      <c r="FS4" s="200">
        <v>45953</v>
      </c>
      <c r="FT4" s="200">
        <v>45954</v>
      </c>
      <c r="FU4" s="200">
        <v>45955</v>
      </c>
      <c r="FV4" s="200">
        <v>45956</v>
      </c>
      <c r="FW4" s="200">
        <v>45957</v>
      </c>
      <c r="FX4" s="200">
        <v>45958</v>
      </c>
      <c r="FY4" s="200">
        <v>45959</v>
      </c>
      <c r="FZ4" s="200">
        <v>45960</v>
      </c>
      <c r="GA4" s="200">
        <v>45961</v>
      </c>
      <c r="GB4" s="200">
        <v>45962</v>
      </c>
      <c r="GC4" s="200">
        <v>45963</v>
      </c>
      <c r="GD4" s="200">
        <v>45964</v>
      </c>
      <c r="GE4" s="200">
        <v>45965</v>
      </c>
      <c r="GF4" s="200">
        <v>45966</v>
      </c>
      <c r="GG4" s="200">
        <v>45967</v>
      </c>
      <c r="GH4" s="200">
        <v>45968</v>
      </c>
      <c r="GI4" s="200">
        <v>45969</v>
      </c>
      <c r="GJ4" s="200">
        <v>45970</v>
      </c>
      <c r="GK4" s="200">
        <v>45971</v>
      </c>
      <c r="GL4" s="200">
        <v>45972</v>
      </c>
      <c r="GM4" s="200">
        <v>45973</v>
      </c>
      <c r="GN4" s="200">
        <v>45974</v>
      </c>
      <c r="GO4" s="200">
        <v>45975</v>
      </c>
      <c r="GP4" s="200">
        <v>45976</v>
      </c>
      <c r="GQ4" s="200">
        <v>45977</v>
      </c>
      <c r="GR4" s="200">
        <v>45978</v>
      </c>
      <c r="GS4" s="200">
        <v>45979</v>
      </c>
      <c r="GT4" s="200">
        <v>45980</v>
      </c>
      <c r="GU4" s="200">
        <v>45981</v>
      </c>
      <c r="GV4" s="200">
        <v>45982</v>
      </c>
      <c r="GW4" s="200">
        <v>45983</v>
      </c>
      <c r="GX4" s="200">
        <v>45984</v>
      </c>
      <c r="GY4" s="200">
        <v>45985</v>
      </c>
      <c r="GZ4" s="200">
        <v>45986</v>
      </c>
      <c r="HA4" s="200">
        <v>45987</v>
      </c>
      <c r="HB4" s="200">
        <v>45988</v>
      </c>
      <c r="HC4" s="200">
        <v>45989</v>
      </c>
      <c r="HD4" s="200">
        <v>45990</v>
      </c>
      <c r="HE4" s="200">
        <v>45991</v>
      </c>
      <c r="HF4" s="200">
        <v>45992</v>
      </c>
      <c r="HG4" s="200">
        <v>45993</v>
      </c>
      <c r="HH4" s="200">
        <v>45994</v>
      </c>
      <c r="HI4" s="200">
        <v>45995</v>
      </c>
      <c r="HJ4" s="200">
        <v>45996</v>
      </c>
      <c r="HK4" s="200">
        <v>45997</v>
      </c>
      <c r="HL4" s="200">
        <v>45998</v>
      </c>
      <c r="HM4" s="200">
        <v>45999</v>
      </c>
      <c r="HN4" s="200">
        <v>46000</v>
      </c>
      <c r="HO4" s="200">
        <v>46001</v>
      </c>
      <c r="HP4" s="200">
        <v>46002</v>
      </c>
      <c r="HQ4" s="200">
        <v>46003</v>
      </c>
      <c r="HR4" s="200">
        <v>46004</v>
      </c>
      <c r="HS4" s="200">
        <v>46005</v>
      </c>
      <c r="HT4" s="200">
        <v>46006</v>
      </c>
      <c r="HU4" s="200">
        <v>46007</v>
      </c>
      <c r="HV4" s="200">
        <v>46008</v>
      </c>
      <c r="HW4" s="200">
        <v>46009</v>
      </c>
      <c r="HX4" s="200">
        <v>46010</v>
      </c>
      <c r="HY4" s="200">
        <v>46011</v>
      </c>
      <c r="HZ4" s="200">
        <v>46012</v>
      </c>
      <c r="IA4" s="200">
        <v>46013</v>
      </c>
      <c r="IB4" s="200">
        <v>46014</v>
      </c>
      <c r="IC4" s="200">
        <v>46015</v>
      </c>
      <c r="ID4" s="200">
        <v>46016</v>
      </c>
      <c r="IE4" s="200">
        <v>46017</v>
      </c>
      <c r="IF4" s="200">
        <v>46018</v>
      </c>
      <c r="IG4" s="200">
        <v>46019</v>
      </c>
      <c r="IH4" s="200">
        <v>46020</v>
      </c>
      <c r="II4" s="200">
        <v>46021</v>
      </c>
      <c r="IJ4" s="200">
        <v>46022</v>
      </c>
      <c r="IK4" s="200">
        <v>46023</v>
      </c>
      <c r="IL4" s="200">
        <v>46024</v>
      </c>
      <c r="IM4" s="200">
        <v>46025</v>
      </c>
      <c r="IN4" s="200">
        <v>46026</v>
      </c>
      <c r="IO4" s="200">
        <v>46027</v>
      </c>
      <c r="IP4" s="200">
        <v>46028</v>
      </c>
      <c r="IQ4" s="200">
        <v>46029</v>
      </c>
      <c r="IR4" s="200">
        <v>46030</v>
      </c>
      <c r="IS4" s="200">
        <v>46031</v>
      </c>
      <c r="IT4" s="200">
        <v>46032</v>
      </c>
      <c r="IU4" s="200">
        <v>46033</v>
      </c>
      <c r="IV4" s="200">
        <v>46034</v>
      </c>
      <c r="IW4" s="200">
        <v>46035</v>
      </c>
      <c r="IX4" s="200">
        <v>46036</v>
      </c>
      <c r="IY4" s="200">
        <v>46037</v>
      </c>
      <c r="IZ4" s="200">
        <v>46038</v>
      </c>
      <c r="JA4" s="200">
        <v>46039</v>
      </c>
      <c r="JB4" s="200">
        <v>46040</v>
      </c>
      <c r="JC4" s="200">
        <v>46041</v>
      </c>
      <c r="JD4" s="200">
        <v>46042</v>
      </c>
      <c r="JE4" s="200">
        <v>46043</v>
      </c>
      <c r="JF4" s="200">
        <v>46044</v>
      </c>
      <c r="JG4" s="200">
        <v>46045</v>
      </c>
      <c r="JH4" s="200">
        <v>46046</v>
      </c>
      <c r="JI4" s="200">
        <v>46047</v>
      </c>
      <c r="JJ4" s="200">
        <v>46048</v>
      </c>
      <c r="JK4" s="200">
        <v>46049</v>
      </c>
      <c r="JL4" s="200">
        <v>46050</v>
      </c>
      <c r="JM4" s="200">
        <v>46051</v>
      </c>
      <c r="JN4" s="200">
        <v>46052</v>
      </c>
      <c r="JO4" s="200">
        <v>46053</v>
      </c>
      <c r="JP4" s="200">
        <v>46054</v>
      </c>
      <c r="JQ4" s="200">
        <v>46055</v>
      </c>
      <c r="JR4" s="200">
        <v>46056</v>
      </c>
      <c r="JS4" s="200">
        <v>46057</v>
      </c>
      <c r="JT4" s="200">
        <v>46058</v>
      </c>
      <c r="JU4" s="200">
        <v>46059</v>
      </c>
      <c r="JV4" s="200">
        <v>46060</v>
      </c>
      <c r="JW4" s="201">
        <v>46061</v>
      </c>
    </row>
    <row r="5" spans="1:283" ht="12" customHeight="1">
      <c r="A5" s="123"/>
      <c r="B5" s="123" t="s">
        <v>1934</v>
      </c>
      <c r="C5" s="123">
        <v>1</v>
      </c>
      <c r="D5" s="151" t="s">
        <v>495</v>
      </c>
      <c r="E5" s="124" t="s">
        <v>1437</v>
      </c>
      <c r="F5" s="124"/>
      <c r="G5" s="124"/>
      <c r="H5" s="124"/>
      <c r="I5" s="124"/>
      <c r="J5" s="124"/>
      <c r="K5" s="124"/>
      <c r="L5" s="124"/>
      <c r="M5" s="124"/>
      <c r="N5" s="124"/>
      <c r="O5" s="124"/>
      <c r="P5" s="125">
        <v>45810</v>
      </c>
      <c r="Q5" s="125">
        <v>46053</v>
      </c>
      <c r="R5" s="124"/>
      <c r="S5" s="126">
        <v>332</v>
      </c>
      <c r="T5" s="126">
        <v>303</v>
      </c>
      <c r="U5" s="126">
        <v>165</v>
      </c>
      <c r="V5" s="126">
        <v>141</v>
      </c>
      <c r="W5" s="125">
        <v>45810</v>
      </c>
      <c r="X5" s="125"/>
      <c r="Y5" s="127">
        <v>395.5</v>
      </c>
      <c r="Z5" s="128">
        <v>0</v>
      </c>
      <c r="AA5" s="126"/>
      <c r="AB5" s="124"/>
      <c r="AC5" s="129"/>
      <c r="AD5" s="150">
        <v>0.91265060240963858</v>
      </c>
      <c r="AE5" s="310">
        <v>0.83584337349397586</v>
      </c>
      <c r="AF5" s="183"/>
      <c r="AG5" s="153"/>
      <c r="AH5" s="153"/>
      <c r="AI5" s="153"/>
      <c r="AJ5" s="153"/>
      <c r="AK5" s="153"/>
      <c r="AL5" s="153"/>
      <c r="AM5" s="153"/>
      <c r="AN5" s="153"/>
      <c r="AO5" s="153"/>
      <c r="AP5" s="153"/>
      <c r="AQ5" s="153"/>
      <c r="AR5" s="153"/>
      <c r="AS5" s="153"/>
      <c r="AT5" s="153"/>
      <c r="AU5" s="153"/>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c r="EF5" s="153"/>
      <c r="EG5" s="153"/>
      <c r="EH5" s="153"/>
      <c r="EI5" s="153"/>
      <c r="EJ5" s="153"/>
      <c r="EK5" s="153"/>
      <c r="EL5" s="153"/>
      <c r="EM5" s="153"/>
      <c r="EN5" s="153"/>
      <c r="EO5" s="153"/>
      <c r="EP5" s="153"/>
      <c r="EQ5" s="153"/>
      <c r="ER5" s="153"/>
      <c r="ES5" s="153"/>
      <c r="ET5" s="153"/>
      <c r="EU5" s="153"/>
      <c r="EV5" s="153"/>
      <c r="EW5" s="153"/>
      <c r="EX5" s="153"/>
      <c r="EY5" s="153"/>
      <c r="EZ5" s="153"/>
      <c r="FA5" s="153"/>
      <c r="FB5" s="153"/>
      <c r="FC5" s="153"/>
      <c r="FD5" s="153"/>
      <c r="FE5" s="153"/>
      <c r="FF5" s="153"/>
      <c r="FG5" s="153"/>
      <c r="FH5" s="153"/>
      <c r="FI5" s="153"/>
      <c r="FJ5" s="153"/>
      <c r="FK5" s="153"/>
      <c r="FL5" s="153"/>
      <c r="FM5" s="153"/>
      <c r="FN5" s="153"/>
      <c r="FO5" s="153"/>
      <c r="FP5" s="153"/>
      <c r="FQ5" s="153"/>
      <c r="FR5" s="153"/>
      <c r="FS5" s="153"/>
      <c r="FT5" s="153"/>
      <c r="FU5" s="153"/>
      <c r="FV5" s="153"/>
      <c r="FW5" s="153"/>
      <c r="FX5" s="153"/>
      <c r="FY5" s="153"/>
      <c r="FZ5" s="153"/>
      <c r="GA5" s="153"/>
      <c r="GB5" s="153"/>
      <c r="GC5" s="153"/>
      <c r="GD5" s="153"/>
      <c r="GE5" s="153"/>
      <c r="GF5" s="153"/>
      <c r="GG5" s="153"/>
      <c r="GH5" s="153"/>
      <c r="GI5" s="153"/>
      <c r="GJ5" s="153"/>
      <c r="GK5" s="153"/>
      <c r="GL5" s="153"/>
      <c r="GM5" s="153"/>
      <c r="GN5" s="153"/>
      <c r="GO5" s="153"/>
      <c r="GP5" s="153"/>
      <c r="GQ5" s="153"/>
      <c r="GR5" s="153"/>
      <c r="GS5" s="153"/>
      <c r="GT5" s="153"/>
      <c r="GU5" s="153"/>
      <c r="GV5" s="153"/>
      <c r="GW5" s="153"/>
      <c r="GX5" s="153"/>
      <c r="GY5" s="153"/>
      <c r="GZ5" s="153"/>
      <c r="HA5" s="153"/>
      <c r="HB5" s="153"/>
      <c r="HC5" s="153"/>
      <c r="HD5" s="153"/>
      <c r="HE5" s="153"/>
      <c r="HF5" s="153"/>
      <c r="HG5" s="153"/>
      <c r="HH5" s="153"/>
      <c r="HI5" s="153"/>
      <c r="HJ5" s="153"/>
      <c r="HK5" s="153"/>
      <c r="HL5" s="153"/>
      <c r="HM5" s="153"/>
      <c r="HN5" s="153"/>
      <c r="HO5" s="153"/>
      <c r="HP5" s="153"/>
      <c r="HQ5" s="153"/>
      <c r="HR5" s="153"/>
      <c r="HS5" s="153"/>
      <c r="HT5" s="153"/>
      <c r="HU5" s="153"/>
      <c r="HV5" s="153"/>
      <c r="HW5" s="153"/>
      <c r="HX5" s="153"/>
      <c r="HY5" s="153"/>
      <c r="HZ5" s="153"/>
      <c r="IA5" s="153"/>
      <c r="IB5" s="153" t="str">
        <f>"" &amp; TEXT(AE5,"#0.00%") &amp; "/" &amp; TEXT(AD5,"#0.00% ") &amp; ""</f>
        <v xml:space="preserve">83.58%/91.27% </v>
      </c>
      <c r="IC5" s="153"/>
      <c r="ID5" s="153"/>
      <c r="IE5" s="153"/>
      <c r="IF5" s="153"/>
      <c r="IG5" s="153"/>
      <c r="IH5" s="153"/>
      <c r="II5" s="153"/>
      <c r="IJ5" s="153"/>
      <c r="IK5" s="153"/>
      <c r="IL5" s="153"/>
      <c r="IM5" s="153"/>
      <c r="IN5" s="153"/>
      <c r="IO5" s="153"/>
      <c r="IP5" s="153"/>
      <c r="IQ5" s="153"/>
      <c r="IR5" s="153"/>
      <c r="IS5" s="153"/>
      <c r="IT5" s="153"/>
      <c r="IU5" s="153"/>
      <c r="IV5" s="153"/>
      <c r="IW5" s="153"/>
      <c r="IX5" s="153"/>
      <c r="IY5" s="153"/>
      <c r="IZ5" s="153"/>
      <c r="JA5" s="153"/>
      <c r="JB5" s="153"/>
      <c r="JC5" s="153"/>
      <c r="JD5" s="153"/>
      <c r="JE5" s="153"/>
      <c r="JF5" s="153"/>
      <c r="JG5" s="153"/>
      <c r="JH5" s="153"/>
      <c r="JI5" s="153"/>
      <c r="JJ5" s="153"/>
      <c r="JK5" s="153"/>
      <c r="JL5" s="153"/>
      <c r="JM5" s="153"/>
      <c r="JN5" s="153"/>
      <c r="JO5" s="153"/>
      <c r="JP5" s="153" t="str">
        <f>"" &amp; "" &amp; " " &amp; ""</f>
        <v xml:space="preserve"> </v>
      </c>
      <c r="JQ5" s="153"/>
      <c r="JR5" s="153"/>
      <c r="JS5" s="153"/>
      <c r="JT5" s="153"/>
      <c r="JU5" s="153"/>
      <c r="JV5" s="153"/>
      <c r="JW5" s="153"/>
    </row>
    <row r="6" spans="1:283" ht="12" customHeight="1" outlineLevel="1">
      <c r="A6" s="123"/>
      <c r="B6" s="123" t="s">
        <v>1934</v>
      </c>
      <c r="C6" s="123">
        <v>2</v>
      </c>
      <c r="D6" s="151" t="s">
        <v>541</v>
      </c>
      <c r="E6" s="124"/>
      <c r="F6" s="124" t="s">
        <v>1438</v>
      </c>
      <c r="G6" s="124"/>
      <c r="H6" s="124"/>
      <c r="I6" s="124"/>
      <c r="J6" s="124"/>
      <c r="K6" s="124"/>
      <c r="L6" s="124"/>
      <c r="M6" s="124"/>
      <c r="N6" s="124"/>
      <c r="O6" s="124"/>
      <c r="P6" s="125">
        <v>45810</v>
      </c>
      <c r="Q6" s="125">
        <v>45821</v>
      </c>
      <c r="R6" s="124"/>
      <c r="S6" s="126">
        <v>9</v>
      </c>
      <c r="T6" s="126">
        <v>9</v>
      </c>
      <c r="U6" s="126">
        <v>8</v>
      </c>
      <c r="V6" s="126">
        <v>8</v>
      </c>
      <c r="W6" s="125">
        <v>45810</v>
      </c>
      <c r="X6" s="125">
        <v>45821</v>
      </c>
      <c r="Y6" s="127">
        <v>6</v>
      </c>
      <c r="Z6" s="128">
        <v>8</v>
      </c>
      <c r="AA6" s="126"/>
      <c r="AB6" s="124"/>
      <c r="AC6" s="129"/>
      <c r="AD6" s="150">
        <v>1</v>
      </c>
      <c r="AE6" s="252">
        <v>1</v>
      </c>
      <c r="AF6" s="183"/>
      <c r="AG6" s="153"/>
      <c r="AH6" s="153"/>
      <c r="AI6" s="153"/>
      <c r="AJ6" s="153"/>
      <c r="AK6" s="153"/>
      <c r="AL6" s="153"/>
      <c r="AM6" s="153"/>
      <c r="AN6" s="153"/>
      <c r="AO6" s="153"/>
      <c r="AP6" s="153"/>
      <c r="AQ6" s="153"/>
      <c r="AR6" s="153" t="str">
        <f>"" &amp; TEXT(AE6,"#0.00%") &amp; "/" &amp; TEXT(AD6,"#0.00% ") &amp; "" &amp; "" &amp; " " &amp; ""</f>
        <v xml:space="preserve">100.00%/100.00%  </v>
      </c>
      <c r="AS6" s="153"/>
      <c r="AT6" s="153"/>
      <c r="AU6" s="153"/>
      <c r="AV6" s="153"/>
      <c r="AW6" s="153"/>
      <c r="AX6" s="153"/>
      <c r="AY6" s="153"/>
      <c r="AZ6" s="153"/>
      <c r="BA6" s="153"/>
      <c r="BB6" s="153"/>
      <c r="BC6" s="153"/>
      <c r="BD6" s="153"/>
      <c r="BE6" s="153"/>
      <c r="BF6" s="153"/>
      <c r="BG6" s="153"/>
      <c r="BH6" s="153"/>
      <c r="BI6" s="153"/>
      <c r="BJ6" s="153"/>
      <c r="BK6" s="153"/>
      <c r="BL6" s="153"/>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c r="EF6" s="153"/>
      <c r="EG6" s="153"/>
      <c r="EH6" s="153"/>
      <c r="EI6" s="153"/>
      <c r="EJ6" s="153"/>
      <c r="EK6" s="153"/>
      <c r="EL6" s="153"/>
      <c r="EM6" s="153"/>
      <c r="EN6" s="153"/>
      <c r="EO6" s="153"/>
      <c r="EP6" s="153"/>
      <c r="EQ6" s="153"/>
      <c r="ER6" s="153"/>
      <c r="ES6" s="153"/>
      <c r="ET6" s="153"/>
      <c r="EU6" s="153"/>
      <c r="EV6" s="153"/>
      <c r="EW6" s="153"/>
      <c r="EX6" s="153"/>
      <c r="EY6" s="153"/>
      <c r="EZ6" s="153"/>
      <c r="FA6" s="153"/>
      <c r="FB6" s="153"/>
      <c r="FC6" s="153"/>
      <c r="FD6" s="153"/>
      <c r="FE6" s="153"/>
      <c r="FF6" s="153"/>
      <c r="FG6" s="153"/>
      <c r="FH6" s="153"/>
      <c r="FI6" s="153"/>
      <c r="FJ6" s="153"/>
      <c r="FK6" s="153"/>
      <c r="FL6" s="153"/>
      <c r="FM6" s="153"/>
      <c r="FN6" s="153"/>
      <c r="FO6" s="153"/>
      <c r="FP6" s="153"/>
      <c r="FQ6" s="153"/>
      <c r="FR6" s="153"/>
      <c r="FS6" s="153"/>
      <c r="FT6" s="153"/>
      <c r="FU6" s="153"/>
      <c r="FV6" s="153"/>
      <c r="FW6" s="153"/>
      <c r="FX6" s="153"/>
      <c r="FY6" s="153"/>
      <c r="FZ6" s="153"/>
      <c r="GA6" s="153"/>
      <c r="GB6" s="153"/>
      <c r="GC6" s="153"/>
      <c r="GD6" s="153"/>
      <c r="GE6" s="153"/>
      <c r="GF6" s="153"/>
      <c r="GG6" s="153"/>
      <c r="GH6" s="153"/>
      <c r="GI6" s="153"/>
      <c r="GJ6" s="153"/>
      <c r="GK6" s="153"/>
      <c r="GL6" s="153"/>
      <c r="GM6" s="153"/>
      <c r="GN6" s="153"/>
      <c r="GO6" s="153"/>
      <c r="GP6" s="153"/>
      <c r="GQ6" s="153"/>
      <c r="GR6" s="153"/>
      <c r="GS6" s="153"/>
      <c r="GT6" s="153"/>
      <c r="GU6" s="153"/>
      <c r="GV6" s="153"/>
      <c r="GW6" s="153"/>
      <c r="GX6" s="153"/>
      <c r="GY6" s="153"/>
      <c r="GZ6" s="153"/>
      <c r="HA6" s="153"/>
      <c r="HB6" s="153"/>
      <c r="HC6" s="153"/>
      <c r="HD6" s="153"/>
      <c r="HE6" s="153"/>
      <c r="HF6" s="153"/>
      <c r="HG6" s="153"/>
      <c r="HH6" s="153"/>
      <c r="HI6" s="153"/>
      <c r="HJ6" s="153"/>
      <c r="HK6" s="153"/>
      <c r="HL6" s="153"/>
      <c r="HM6" s="153"/>
      <c r="HN6" s="153"/>
      <c r="HO6" s="153"/>
      <c r="HP6" s="153"/>
      <c r="HQ6" s="153"/>
      <c r="HR6" s="153"/>
      <c r="HS6" s="153"/>
      <c r="HT6" s="153"/>
      <c r="HU6" s="153"/>
      <c r="HV6" s="153"/>
      <c r="HW6" s="153"/>
      <c r="HX6" s="153"/>
      <c r="HY6" s="153"/>
      <c r="HZ6" s="153"/>
      <c r="IA6" s="153"/>
      <c r="IB6" s="153"/>
      <c r="IC6" s="153"/>
      <c r="ID6" s="153"/>
      <c r="IE6" s="153"/>
      <c r="IF6" s="153"/>
      <c r="IG6" s="153"/>
      <c r="IH6" s="153"/>
      <c r="II6" s="153"/>
      <c r="IJ6" s="153"/>
      <c r="IK6" s="153"/>
      <c r="IL6" s="153"/>
      <c r="IM6" s="153"/>
      <c r="IN6" s="153"/>
      <c r="IO6" s="153"/>
      <c r="IP6" s="153"/>
      <c r="IQ6" s="153"/>
      <c r="IR6" s="153"/>
      <c r="IS6" s="153"/>
      <c r="IT6" s="153"/>
      <c r="IU6" s="153"/>
      <c r="IV6" s="153"/>
      <c r="IW6" s="153"/>
      <c r="IX6" s="153"/>
      <c r="IY6" s="153"/>
      <c r="IZ6" s="153"/>
      <c r="JA6" s="153"/>
      <c r="JB6" s="153"/>
      <c r="JC6" s="153"/>
      <c r="JD6" s="153"/>
      <c r="JE6" s="153"/>
      <c r="JF6" s="153"/>
      <c r="JG6" s="153"/>
      <c r="JH6" s="153"/>
      <c r="JI6" s="153"/>
      <c r="JJ6" s="153"/>
      <c r="JK6" s="153"/>
      <c r="JL6" s="153"/>
      <c r="JM6" s="153"/>
      <c r="JN6" s="153"/>
      <c r="JO6" s="153"/>
      <c r="JP6" s="153"/>
      <c r="JQ6" s="153"/>
      <c r="JR6" s="153"/>
      <c r="JS6" s="153"/>
      <c r="JT6" s="153"/>
      <c r="JU6" s="153"/>
      <c r="JV6" s="153"/>
      <c r="JW6" s="153"/>
    </row>
    <row r="7" spans="1:283" ht="12" customHeight="1" outlineLevel="2">
      <c r="A7" s="123"/>
      <c r="B7" s="123"/>
      <c r="C7" s="123">
        <v>3</v>
      </c>
      <c r="D7" s="151" t="s">
        <v>1426</v>
      </c>
      <c r="E7" s="124"/>
      <c r="F7" s="124"/>
      <c r="G7" s="124" t="s">
        <v>1439</v>
      </c>
      <c r="H7" s="124"/>
      <c r="I7" s="124"/>
      <c r="J7" s="124"/>
      <c r="K7" s="124"/>
      <c r="L7" s="124"/>
      <c r="M7" s="124"/>
      <c r="N7" s="124"/>
      <c r="O7" s="124"/>
      <c r="P7" s="125">
        <v>45810</v>
      </c>
      <c r="Q7" s="125">
        <v>45810</v>
      </c>
      <c r="R7" s="124"/>
      <c r="S7" s="126">
        <v>1</v>
      </c>
      <c r="T7" s="126">
        <v>1</v>
      </c>
      <c r="U7" s="126">
        <v>1</v>
      </c>
      <c r="V7" s="126">
        <v>1</v>
      </c>
      <c r="W7" s="125">
        <v>45810</v>
      </c>
      <c r="X7" s="125">
        <v>45810</v>
      </c>
      <c r="Y7" s="127">
        <v>1</v>
      </c>
      <c r="Z7" s="128">
        <v>1</v>
      </c>
      <c r="AA7" s="126">
        <v>1</v>
      </c>
      <c r="AB7" s="124"/>
      <c r="AC7" s="129"/>
      <c r="AD7" s="150">
        <v>1</v>
      </c>
      <c r="AE7" s="251">
        <v>1</v>
      </c>
      <c r="AF7" s="183"/>
      <c r="AG7" s="153" t="str">
        <f>"" &amp; TEXT(AE7,"#0.00%") &amp; "/" &amp; TEXT(AD7,"#0.00% ") &amp; "" &amp; "" &amp; " " &amp; ""</f>
        <v xml:space="preserve">100.00%/100.00%  </v>
      </c>
      <c r="AH7" s="153"/>
      <c r="AI7" s="153"/>
      <c r="AJ7" s="153"/>
      <c r="AK7" s="153"/>
      <c r="AL7" s="153"/>
      <c r="AM7" s="153"/>
      <c r="AN7" s="153"/>
      <c r="AO7" s="153"/>
      <c r="AP7" s="153"/>
      <c r="AQ7" s="153"/>
      <c r="AR7" s="153"/>
      <c r="AS7" s="153"/>
      <c r="AT7" s="153"/>
      <c r="AU7" s="153"/>
      <c r="AV7" s="153"/>
      <c r="AW7" s="153"/>
      <c r="AX7" s="153"/>
      <c r="AY7" s="153"/>
      <c r="AZ7" s="153"/>
      <c r="BA7" s="153"/>
      <c r="BB7" s="153"/>
      <c r="BC7" s="153"/>
      <c r="BD7" s="153"/>
      <c r="BE7" s="153"/>
      <c r="BF7" s="153"/>
      <c r="BG7" s="153"/>
      <c r="BH7" s="153"/>
      <c r="BI7" s="153"/>
      <c r="BJ7" s="153"/>
      <c r="BK7" s="153"/>
      <c r="BL7" s="153"/>
      <c r="BM7" s="153"/>
      <c r="BN7" s="153"/>
      <c r="BO7" s="153"/>
      <c r="BP7" s="153"/>
      <c r="BQ7" s="153"/>
      <c r="BR7" s="153"/>
      <c r="BS7" s="153"/>
      <c r="BT7" s="153"/>
      <c r="BU7" s="153"/>
      <c r="BV7" s="153"/>
      <c r="BW7" s="153"/>
      <c r="BX7" s="153"/>
      <c r="BY7" s="153"/>
      <c r="BZ7" s="153"/>
      <c r="CA7" s="153"/>
      <c r="CB7" s="153"/>
      <c r="CC7" s="153"/>
      <c r="CD7" s="153"/>
      <c r="CE7" s="153"/>
      <c r="CF7" s="153"/>
      <c r="CG7" s="153"/>
      <c r="CH7" s="153"/>
      <c r="CI7" s="153"/>
      <c r="CJ7" s="153"/>
      <c r="CK7" s="153"/>
      <c r="CL7" s="153"/>
      <c r="CM7" s="153"/>
      <c r="CN7" s="153"/>
      <c r="CO7" s="153"/>
      <c r="CP7" s="153"/>
      <c r="CQ7" s="153"/>
      <c r="CR7" s="153"/>
      <c r="CS7" s="153"/>
      <c r="CT7" s="153"/>
      <c r="CU7" s="153"/>
      <c r="CV7" s="153"/>
      <c r="CW7" s="153"/>
      <c r="CX7" s="153"/>
      <c r="CY7" s="153"/>
      <c r="CZ7" s="153"/>
      <c r="DA7" s="153"/>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3"/>
      <c r="DZ7" s="153"/>
      <c r="EA7" s="153"/>
      <c r="EB7" s="153"/>
      <c r="EC7" s="153"/>
      <c r="ED7" s="153"/>
      <c r="EE7" s="153"/>
      <c r="EF7" s="153"/>
      <c r="EG7" s="153"/>
      <c r="EH7" s="153"/>
      <c r="EI7" s="153"/>
      <c r="EJ7" s="153"/>
      <c r="EK7" s="153"/>
      <c r="EL7" s="153"/>
      <c r="EM7" s="153"/>
      <c r="EN7" s="153"/>
      <c r="EO7" s="153"/>
      <c r="EP7" s="153"/>
      <c r="EQ7" s="153"/>
      <c r="ER7" s="153"/>
      <c r="ES7" s="153"/>
      <c r="ET7" s="153"/>
      <c r="EU7" s="153"/>
      <c r="EV7" s="153"/>
      <c r="EW7" s="153"/>
      <c r="EX7" s="153"/>
      <c r="EY7" s="153"/>
      <c r="EZ7" s="153"/>
      <c r="FA7" s="153"/>
      <c r="FB7" s="153"/>
      <c r="FC7" s="153"/>
      <c r="FD7" s="153"/>
      <c r="FE7" s="153"/>
      <c r="FF7" s="153"/>
      <c r="FG7" s="153"/>
      <c r="FH7" s="153"/>
      <c r="FI7" s="153"/>
      <c r="FJ7" s="153"/>
      <c r="FK7" s="153"/>
      <c r="FL7" s="153"/>
      <c r="FM7" s="153"/>
      <c r="FN7" s="153"/>
      <c r="FO7" s="153"/>
      <c r="FP7" s="153"/>
      <c r="FQ7" s="153"/>
      <c r="FR7" s="153"/>
      <c r="FS7" s="153"/>
      <c r="FT7" s="153"/>
      <c r="FU7" s="153"/>
      <c r="FV7" s="153"/>
      <c r="FW7" s="153"/>
      <c r="FX7" s="153"/>
      <c r="FY7" s="153"/>
      <c r="FZ7" s="153"/>
      <c r="GA7" s="153"/>
      <c r="GB7" s="153"/>
      <c r="GC7" s="153"/>
      <c r="GD7" s="153"/>
      <c r="GE7" s="153"/>
      <c r="GF7" s="153"/>
      <c r="GG7" s="153"/>
      <c r="GH7" s="153"/>
      <c r="GI7" s="153"/>
      <c r="GJ7" s="153"/>
      <c r="GK7" s="153"/>
      <c r="GL7" s="153"/>
      <c r="GM7" s="153"/>
      <c r="GN7" s="153"/>
      <c r="GO7" s="153"/>
      <c r="GP7" s="153"/>
      <c r="GQ7" s="153"/>
      <c r="GR7" s="153"/>
      <c r="GS7" s="153"/>
      <c r="GT7" s="153"/>
      <c r="GU7" s="153"/>
      <c r="GV7" s="153"/>
      <c r="GW7" s="153"/>
      <c r="GX7" s="153"/>
      <c r="GY7" s="153"/>
      <c r="GZ7" s="153"/>
      <c r="HA7" s="153"/>
      <c r="HB7" s="153"/>
      <c r="HC7" s="153"/>
      <c r="HD7" s="153"/>
      <c r="HE7" s="153"/>
      <c r="HF7" s="153"/>
      <c r="HG7" s="153"/>
      <c r="HH7" s="153"/>
      <c r="HI7" s="153"/>
      <c r="HJ7" s="153"/>
      <c r="HK7" s="153"/>
      <c r="HL7" s="153"/>
      <c r="HM7" s="153"/>
      <c r="HN7" s="153"/>
      <c r="HO7" s="153"/>
      <c r="HP7" s="153"/>
      <c r="HQ7" s="153"/>
      <c r="HR7" s="153"/>
      <c r="HS7" s="153"/>
      <c r="HT7" s="153"/>
      <c r="HU7" s="153"/>
      <c r="HV7" s="153"/>
      <c r="HW7" s="153"/>
      <c r="HX7" s="153"/>
      <c r="HY7" s="153"/>
      <c r="HZ7" s="153"/>
      <c r="IA7" s="153"/>
      <c r="IB7" s="153"/>
      <c r="IC7" s="153"/>
      <c r="ID7" s="153"/>
      <c r="IE7" s="153"/>
      <c r="IF7" s="153"/>
      <c r="IG7" s="153"/>
      <c r="IH7" s="153"/>
      <c r="II7" s="153"/>
      <c r="IJ7" s="153"/>
      <c r="IK7" s="153"/>
      <c r="IL7" s="153"/>
      <c r="IM7" s="153"/>
      <c r="IN7" s="153"/>
      <c r="IO7" s="153"/>
      <c r="IP7" s="153"/>
      <c r="IQ7" s="153"/>
      <c r="IR7" s="153"/>
      <c r="IS7" s="153"/>
      <c r="IT7" s="153"/>
      <c r="IU7" s="153"/>
      <c r="IV7" s="153"/>
      <c r="IW7" s="153"/>
      <c r="IX7" s="153"/>
      <c r="IY7" s="153"/>
      <c r="IZ7" s="153"/>
      <c r="JA7" s="153"/>
      <c r="JB7" s="153"/>
      <c r="JC7" s="153"/>
      <c r="JD7" s="153"/>
      <c r="JE7" s="153"/>
      <c r="JF7" s="153"/>
      <c r="JG7" s="153"/>
      <c r="JH7" s="153"/>
      <c r="JI7" s="153"/>
      <c r="JJ7" s="153"/>
      <c r="JK7" s="153"/>
      <c r="JL7" s="153"/>
      <c r="JM7" s="153"/>
      <c r="JN7" s="153"/>
      <c r="JO7" s="153"/>
      <c r="JP7" s="153"/>
      <c r="JQ7" s="153"/>
      <c r="JR7" s="153"/>
      <c r="JS7" s="153"/>
      <c r="JT7" s="153"/>
      <c r="JU7" s="153"/>
      <c r="JV7" s="153"/>
      <c r="JW7" s="153"/>
    </row>
    <row r="8" spans="1:283" ht="12" customHeight="1" outlineLevel="2">
      <c r="A8" s="123"/>
      <c r="B8" s="123"/>
      <c r="C8" s="123">
        <v>3</v>
      </c>
      <c r="D8" s="151" t="s">
        <v>1427</v>
      </c>
      <c r="E8" s="124"/>
      <c r="F8" s="124"/>
      <c r="G8" s="124" t="s">
        <v>1505</v>
      </c>
      <c r="H8" s="124"/>
      <c r="I8" s="124"/>
      <c r="J8" s="124"/>
      <c r="K8" s="124"/>
      <c r="L8" s="124"/>
      <c r="M8" s="124"/>
      <c r="N8" s="124"/>
      <c r="O8" s="124"/>
      <c r="P8" s="125">
        <v>45810</v>
      </c>
      <c r="Q8" s="125">
        <v>45821</v>
      </c>
      <c r="R8" s="124"/>
      <c r="S8" s="126">
        <v>8</v>
      </c>
      <c r="T8" s="126">
        <v>8</v>
      </c>
      <c r="U8" s="126">
        <v>8</v>
      </c>
      <c r="V8" s="126">
        <v>8</v>
      </c>
      <c r="W8" s="125">
        <v>45817</v>
      </c>
      <c r="X8" s="125">
        <v>45821</v>
      </c>
      <c r="Y8" s="127">
        <v>5</v>
      </c>
      <c r="Z8" s="128">
        <v>5</v>
      </c>
      <c r="AA8" s="126">
        <v>1</v>
      </c>
      <c r="AB8" s="124"/>
      <c r="AC8" s="129"/>
      <c r="AD8" s="150">
        <v>1</v>
      </c>
      <c r="AE8" s="251">
        <v>1</v>
      </c>
      <c r="AF8" s="183"/>
      <c r="AG8" s="153"/>
      <c r="AH8" s="153"/>
      <c r="AI8" s="153"/>
      <c r="AJ8" s="153"/>
      <c r="AK8" s="153"/>
      <c r="AL8" s="153"/>
      <c r="AM8" s="153"/>
      <c r="AN8" s="153"/>
      <c r="AO8" s="153"/>
      <c r="AP8" s="153"/>
      <c r="AQ8" s="153"/>
      <c r="AR8" s="153" t="str">
        <f>"" &amp; TEXT(AE8,"#0.00%") &amp; "/" &amp; TEXT(AD8,"#0.00% ") &amp; "" &amp; "" &amp; " " &amp; ""</f>
        <v xml:space="preserve">100.00%/100.00%  </v>
      </c>
      <c r="AS8" s="153"/>
      <c r="AT8" s="153"/>
      <c r="AU8" s="153"/>
      <c r="AV8" s="153"/>
      <c r="AW8" s="153"/>
      <c r="AX8" s="153"/>
      <c r="AY8" s="153"/>
      <c r="AZ8" s="153"/>
      <c r="BA8" s="153"/>
      <c r="BB8" s="153"/>
      <c r="BC8" s="153"/>
      <c r="BD8" s="153"/>
      <c r="BE8" s="153"/>
      <c r="BF8" s="153"/>
      <c r="BG8" s="153"/>
      <c r="BH8" s="153"/>
      <c r="BI8" s="153"/>
      <c r="BJ8" s="153"/>
      <c r="BK8" s="153"/>
      <c r="BL8" s="153"/>
      <c r="BM8" s="153"/>
      <c r="BN8" s="153"/>
      <c r="BO8" s="153"/>
      <c r="BP8" s="153"/>
      <c r="BQ8" s="153"/>
      <c r="BR8" s="153"/>
      <c r="BS8" s="153"/>
      <c r="BT8" s="153"/>
      <c r="BU8" s="153"/>
      <c r="BV8" s="153"/>
      <c r="BW8" s="153"/>
      <c r="BX8" s="153"/>
      <c r="BY8" s="153"/>
      <c r="BZ8" s="153"/>
      <c r="CA8" s="153"/>
      <c r="CB8" s="153"/>
      <c r="CC8" s="153"/>
      <c r="CD8" s="153"/>
      <c r="CE8" s="153"/>
      <c r="CF8" s="153"/>
      <c r="CG8" s="153"/>
      <c r="CH8" s="153"/>
      <c r="CI8" s="153"/>
      <c r="CJ8" s="153"/>
      <c r="CK8" s="153"/>
      <c r="CL8" s="153"/>
      <c r="CM8" s="153"/>
      <c r="CN8" s="153"/>
      <c r="CO8" s="153"/>
      <c r="CP8" s="153"/>
      <c r="CQ8" s="153"/>
      <c r="CR8" s="153"/>
      <c r="CS8" s="153"/>
      <c r="CT8" s="153"/>
      <c r="CU8" s="153"/>
      <c r="CV8" s="153"/>
      <c r="CW8" s="153"/>
      <c r="CX8" s="153"/>
      <c r="CY8" s="153"/>
      <c r="CZ8" s="153"/>
      <c r="DA8" s="153"/>
      <c r="DB8" s="153"/>
      <c r="DC8" s="153"/>
      <c r="DD8" s="153"/>
      <c r="DE8" s="153"/>
      <c r="DF8" s="153"/>
      <c r="DG8" s="153"/>
      <c r="DH8" s="153"/>
      <c r="DI8" s="153"/>
      <c r="DJ8" s="153"/>
      <c r="DK8" s="153"/>
      <c r="DL8" s="153"/>
      <c r="DM8" s="153"/>
      <c r="DN8" s="153"/>
      <c r="DO8" s="153"/>
      <c r="DP8" s="153"/>
      <c r="DQ8" s="153"/>
      <c r="DR8" s="153"/>
      <c r="DS8" s="153"/>
      <c r="DT8" s="153"/>
      <c r="DU8" s="153"/>
      <c r="DV8" s="153"/>
      <c r="DW8" s="153"/>
      <c r="DX8" s="153"/>
      <c r="DY8" s="153"/>
      <c r="DZ8" s="153"/>
      <c r="EA8" s="153"/>
      <c r="EB8" s="153"/>
      <c r="EC8" s="153"/>
      <c r="ED8" s="153"/>
      <c r="EE8" s="153"/>
      <c r="EF8" s="153"/>
      <c r="EG8" s="153"/>
      <c r="EH8" s="153"/>
      <c r="EI8" s="153"/>
      <c r="EJ8" s="153"/>
      <c r="EK8" s="153"/>
      <c r="EL8" s="153"/>
      <c r="EM8" s="153"/>
      <c r="EN8" s="153"/>
      <c r="EO8" s="153"/>
      <c r="EP8" s="153"/>
      <c r="EQ8" s="153"/>
      <c r="ER8" s="153"/>
      <c r="ES8" s="153"/>
      <c r="ET8" s="153"/>
      <c r="EU8" s="153"/>
      <c r="EV8" s="153"/>
      <c r="EW8" s="153"/>
      <c r="EX8" s="153"/>
      <c r="EY8" s="153"/>
      <c r="EZ8" s="153"/>
      <c r="FA8" s="153"/>
      <c r="FB8" s="153"/>
      <c r="FC8" s="153"/>
      <c r="FD8" s="153"/>
      <c r="FE8" s="153"/>
      <c r="FF8" s="153"/>
      <c r="FG8" s="153"/>
      <c r="FH8" s="153"/>
      <c r="FI8" s="153"/>
      <c r="FJ8" s="153"/>
      <c r="FK8" s="153"/>
      <c r="FL8" s="153"/>
      <c r="FM8" s="153"/>
      <c r="FN8" s="153"/>
      <c r="FO8" s="153"/>
      <c r="FP8" s="153"/>
      <c r="FQ8" s="153"/>
      <c r="FR8" s="153"/>
      <c r="FS8" s="153"/>
      <c r="FT8" s="153"/>
      <c r="FU8" s="153"/>
      <c r="FV8" s="153"/>
      <c r="FW8" s="153"/>
      <c r="FX8" s="153"/>
      <c r="FY8" s="153"/>
      <c r="FZ8" s="153"/>
      <c r="GA8" s="153"/>
      <c r="GB8" s="153"/>
      <c r="GC8" s="153"/>
      <c r="GD8" s="153"/>
      <c r="GE8" s="153"/>
      <c r="GF8" s="153"/>
      <c r="GG8" s="153"/>
      <c r="GH8" s="153"/>
      <c r="GI8" s="153"/>
      <c r="GJ8" s="153"/>
      <c r="GK8" s="153"/>
      <c r="GL8" s="153"/>
      <c r="GM8" s="153"/>
      <c r="GN8" s="153"/>
      <c r="GO8" s="153"/>
      <c r="GP8" s="153"/>
      <c r="GQ8" s="153"/>
      <c r="GR8" s="153"/>
      <c r="GS8" s="153"/>
      <c r="GT8" s="153"/>
      <c r="GU8" s="153"/>
      <c r="GV8" s="153"/>
      <c r="GW8" s="153"/>
      <c r="GX8" s="153"/>
      <c r="GY8" s="153"/>
      <c r="GZ8" s="153"/>
      <c r="HA8" s="153"/>
      <c r="HB8" s="153"/>
      <c r="HC8" s="153"/>
      <c r="HD8" s="153"/>
      <c r="HE8" s="153"/>
      <c r="HF8" s="153"/>
      <c r="HG8" s="153"/>
      <c r="HH8" s="153"/>
      <c r="HI8" s="153"/>
      <c r="HJ8" s="153"/>
      <c r="HK8" s="153"/>
      <c r="HL8" s="153"/>
      <c r="HM8" s="153"/>
      <c r="HN8" s="153"/>
      <c r="HO8" s="153"/>
      <c r="HP8" s="153"/>
      <c r="HQ8" s="153"/>
      <c r="HR8" s="153"/>
      <c r="HS8" s="153"/>
      <c r="HT8" s="153"/>
      <c r="HU8" s="153"/>
      <c r="HV8" s="153"/>
      <c r="HW8" s="153"/>
      <c r="HX8" s="153"/>
      <c r="HY8" s="153"/>
      <c r="HZ8" s="153"/>
      <c r="IA8" s="153"/>
      <c r="IB8" s="153"/>
      <c r="IC8" s="153"/>
      <c r="ID8" s="153"/>
      <c r="IE8" s="153"/>
      <c r="IF8" s="153"/>
      <c r="IG8" s="153"/>
      <c r="IH8" s="153"/>
      <c r="II8" s="153"/>
      <c r="IJ8" s="153"/>
      <c r="IK8" s="153"/>
      <c r="IL8" s="153"/>
      <c r="IM8" s="153"/>
      <c r="IN8" s="153"/>
      <c r="IO8" s="153"/>
      <c r="IP8" s="153"/>
      <c r="IQ8" s="153"/>
      <c r="IR8" s="153"/>
      <c r="IS8" s="153"/>
      <c r="IT8" s="153"/>
      <c r="IU8" s="153"/>
      <c r="IV8" s="153"/>
      <c r="IW8" s="153"/>
      <c r="IX8" s="153"/>
      <c r="IY8" s="153"/>
      <c r="IZ8" s="153"/>
      <c r="JA8" s="153"/>
      <c r="JB8" s="153"/>
      <c r="JC8" s="153"/>
      <c r="JD8" s="153"/>
      <c r="JE8" s="153"/>
      <c r="JF8" s="153"/>
      <c r="JG8" s="153"/>
      <c r="JH8" s="153"/>
      <c r="JI8" s="153"/>
      <c r="JJ8" s="153"/>
      <c r="JK8" s="153"/>
      <c r="JL8" s="153"/>
      <c r="JM8" s="153"/>
      <c r="JN8" s="153"/>
      <c r="JO8" s="153"/>
      <c r="JP8" s="153"/>
      <c r="JQ8" s="153"/>
      <c r="JR8" s="153"/>
      <c r="JS8" s="153"/>
      <c r="JT8" s="153"/>
      <c r="JU8" s="153"/>
      <c r="JV8" s="153"/>
      <c r="JW8" s="153"/>
    </row>
    <row r="9" spans="1:283" ht="12" customHeight="1" outlineLevel="1">
      <c r="A9" s="123"/>
      <c r="B9" s="123" t="s">
        <v>1934</v>
      </c>
      <c r="C9" s="123">
        <v>2</v>
      </c>
      <c r="D9" s="151" t="s">
        <v>1435</v>
      </c>
      <c r="E9" s="124"/>
      <c r="F9" s="124" t="s">
        <v>1907</v>
      </c>
      <c r="G9" s="124"/>
      <c r="H9" s="124"/>
      <c r="I9" s="124"/>
      <c r="J9" s="124"/>
      <c r="K9" s="124"/>
      <c r="L9" s="124"/>
      <c r="M9" s="124"/>
      <c r="N9" s="124"/>
      <c r="O9" s="124"/>
      <c r="P9" s="125">
        <v>45817</v>
      </c>
      <c r="Q9" s="125">
        <v>46049</v>
      </c>
      <c r="R9" s="124"/>
      <c r="S9" s="126">
        <v>3</v>
      </c>
      <c r="T9" s="126">
        <v>2</v>
      </c>
      <c r="U9" s="126">
        <v>159</v>
      </c>
      <c r="V9" s="126">
        <v>138</v>
      </c>
      <c r="W9" s="125">
        <v>45817</v>
      </c>
      <c r="X9" s="125"/>
      <c r="Y9" s="127">
        <v>2</v>
      </c>
      <c r="Z9" s="128">
        <v>0</v>
      </c>
      <c r="AA9" s="126"/>
      <c r="AB9" s="124"/>
      <c r="AC9" s="129"/>
      <c r="AD9" s="150">
        <v>0.66666666666666663</v>
      </c>
      <c r="AE9" s="252">
        <v>0.66666666666666663</v>
      </c>
      <c r="AF9" s="183"/>
      <c r="AG9" s="153"/>
      <c r="AH9" s="153"/>
      <c r="AI9" s="153"/>
      <c r="AJ9" s="153"/>
      <c r="AK9" s="153"/>
      <c r="AL9" s="153"/>
      <c r="AM9" s="153"/>
      <c r="AN9" s="153"/>
      <c r="AO9" s="153"/>
      <c r="AP9" s="153"/>
      <c r="AQ9" s="153"/>
      <c r="AR9" s="153"/>
      <c r="AS9" s="153"/>
      <c r="AT9" s="153"/>
      <c r="AU9" s="153"/>
      <c r="AV9" s="153"/>
      <c r="AW9" s="153"/>
      <c r="AX9" s="153"/>
      <c r="AY9" s="153"/>
      <c r="AZ9" s="153"/>
      <c r="BA9" s="153"/>
      <c r="BB9" s="153"/>
      <c r="BC9" s="153"/>
      <c r="BD9" s="153"/>
      <c r="BE9" s="153"/>
      <c r="BF9" s="153"/>
      <c r="BG9" s="153"/>
      <c r="BH9" s="153"/>
      <c r="BI9" s="153"/>
      <c r="BJ9" s="153"/>
      <c r="BK9" s="153"/>
      <c r="BL9" s="153"/>
      <c r="BM9" s="153"/>
      <c r="BN9" s="153"/>
      <c r="BO9" s="153"/>
      <c r="BP9" s="153"/>
      <c r="BQ9" s="153"/>
      <c r="BR9" s="153"/>
      <c r="BS9" s="153"/>
      <c r="BT9" s="153"/>
      <c r="BU9" s="153"/>
      <c r="BV9" s="153"/>
      <c r="BW9" s="153"/>
      <c r="BX9" s="153"/>
      <c r="BY9" s="153"/>
      <c r="BZ9" s="153"/>
      <c r="CA9" s="153"/>
      <c r="CB9" s="153"/>
      <c r="CC9" s="153"/>
      <c r="CD9" s="153"/>
      <c r="CE9" s="153"/>
      <c r="CF9" s="153"/>
      <c r="CG9" s="153"/>
      <c r="CH9" s="153"/>
      <c r="CI9" s="153"/>
      <c r="CJ9" s="153"/>
      <c r="CK9" s="153"/>
      <c r="CL9" s="153"/>
      <c r="CM9" s="153"/>
      <c r="CN9" s="153"/>
      <c r="CO9" s="153"/>
      <c r="CP9" s="153"/>
      <c r="CQ9" s="153"/>
      <c r="CR9" s="153"/>
      <c r="CS9" s="153"/>
      <c r="CT9" s="153"/>
      <c r="CU9" s="153"/>
      <c r="CV9" s="153"/>
      <c r="CW9" s="153"/>
      <c r="CX9" s="153"/>
      <c r="CY9" s="153"/>
      <c r="CZ9" s="153"/>
      <c r="DA9" s="153"/>
      <c r="DB9" s="153"/>
      <c r="DC9" s="153"/>
      <c r="DD9" s="153"/>
      <c r="DE9" s="153"/>
      <c r="DF9" s="153"/>
      <c r="DG9" s="153"/>
      <c r="DH9" s="153"/>
      <c r="DI9" s="153"/>
      <c r="DJ9" s="153"/>
      <c r="DK9" s="153"/>
      <c r="DL9" s="153"/>
      <c r="DM9" s="153"/>
      <c r="DN9" s="153"/>
      <c r="DO9" s="153"/>
      <c r="DP9" s="153"/>
      <c r="DQ9" s="153"/>
      <c r="DR9" s="153"/>
      <c r="DS9" s="153"/>
      <c r="DT9" s="153"/>
      <c r="DU9" s="153"/>
      <c r="DV9" s="153"/>
      <c r="DW9" s="153"/>
      <c r="DX9" s="153"/>
      <c r="DY9" s="153"/>
      <c r="DZ9" s="153"/>
      <c r="EA9" s="153"/>
      <c r="EB9" s="153"/>
      <c r="EC9" s="153"/>
      <c r="ED9" s="153"/>
      <c r="EE9" s="153"/>
      <c r="EF9" s="153"/>
      <c r="EG9" s="153"/>
      <c r="EH9" s="153"/>
      <c r="EI9" s="153"/>
      <c r="EJ9" s="153"/>
      <c r="EK9" s="153"/>
      <c r="EL9" s="153"/>
      <c r="EM9" s="153"/>
      <c r="EN9" s="153"/>
      <c r="EO9" s="153"/>
      <c r="EP9" s="153"/>
      <c r="EQ9" s="153"/>
      <c r="ER9" s="153"/>
      <c r="ES9" s="153"/>
      <c r="ET9" s="153"/>
      <c r="EU9" s="153"/>
      <c r="EV9" s="153"/>
      <c r="EW9" s="153"/>
      <c r="EX9" s="153"/>
      <c r="EY9" s="153"/>
      <c r="EZ9" s="153"/>
      <c r="FA9" s="153"/>
      <c r="FB9" s="153"/>
      <c r="FC9" s="153"/>
      <c r="FD9" s="153"/>
      <c r="FE9" s="153"/>
      <c r="FF9" s="153"/>
      <c r="FG9" s="153"/>
      <c r="FH9" s="153"/>
      <c r="FI9" s="153"/>
      <c r="FJ9" s="153"/>
      <c r="FK9" s="153"/>
      <c r="FL9" s="153"/>
      <c r="FM9" s="153"/>
      <c r="FN9" s="153"/>
      <c r="FO9" s="153"/>
      <c r="FP9" s="153"/>
      <c r="FQ9" s="153"/>
      <c r="FR9" s="153"/>
      <c r="FS9" s="153"/>
      <c r="FT9" s="153"/>
      <c r="FU9" s="153"/>
      <c r="FV9" s="153"/>
      <c r="FW9" s="153"/>
      <c r="FX9" s="153"/>
      <c r="FY9" s="153"/>
      <c r="FZ9" s="153"/>
      <c r="GA9" s="153"/>
      <c r="GB9" s="153"/>
      <c r="GC9" s="153"/>
      <c r="GD9" s="153"/>
      <c r="GE9" s="153"/>
      <c r="GF9" s="153"/>
      <c r="GG9" s="153"/>
      <c r="GH9" s="153"/>
      <c r="GI9" s="153"/>
      <c r="GJ9" s="153"/>
      <c r="GK9" s="153"/>
      <c r="GL9" s="153" t="str">
        <f>"" &amp; TEXT(AE9,"#0.00%") &amp; "/" &amp; TEXT(AD9,"#0.00% ") &amp; ""</f>
        <v xml:space="preserve">66.67%/66.67% </v>
      </c>
      <c r="GM9" s="153"/>
      <c r="GN9" s="153"/>
      <c r="GO9" s="153"/>
      <c r="GP9" s="153"/>
      <c r="GQ9" s="153"/>
      <c r="GR9" s="153"/>
      <c r="GS9" s="153"/>
      <c r="GT9" s="153"/>
      <c r="GU9" s="153"/>
      <c r="GV9" s="153"/>
      <c r="GW9" s="153"/>
      <c r="GX9" s="153"/>
      <c r="GY9" s="153"/>
      <c r="GZ9" s="153"/>
      <c r="HA9" s="153"/>
      <c r="HB9" s="153"/>
      <c r="HC9" s="153"/>
      <c r="HD9" s="153"/>
      <c r="HE9" s="153"/>
      <c r="HF9" s="153"/>
      <c r="HG9" s="153"/>
      <c r="HH9" s="153"/>
      <c r="HI9" s="153"/>
      <c r="HJ9" s="153"/>
      <c r="HK9" s="153"/>
      <c r="HL9" s="153"/>
      <c r="HM9" s="153"/>
      <c r="HN9" s="153"/>
      <c r="HO9" s="153"/>
      <c r="HP9" s="153"/>
      <c r="HQ9" s="153"/>
      <c r="HR9" s="153"/>
      <c r="HS9" s="153"/>
      <c r="HT9" s="153"/>
      <c r="HU9" s="153"/>
      <c r="HV9" s="153"/>
      <c r="HW9" s="153"/>
      <c r="HX9" s="153"/>
      <c r="HY9" s="153"/>
      <c r="HZ9" s="153"/>
      <c r="IA9" s="153"/>
      <c r="IB9" s="153"/>
      <c r="IC9" s="153"/>
      <c r="ID9" s="153"/>
      <c r="IE9" s="153"/>
      <c r="IF9" s="153"/>
      <c r="IG9" s="153"/>
      <c r="IH9" s="153"/>
      <c r="II9" s="153"/>
      <c r="IJ9" s="153"/>
      <c r="IK9" s="153"/>
      <c r="IL9" s="153"/>
      <c r="IM9" s="153"/>
      <c r="IN9" s="153"/>
      <c r="IO9" s="153"/>
      <c r="IP9" s="153"/>
      <c r="IQ9" s="153"/>
      <c r="IR9" s="153"/>
      <c r="IS9" s="153"/>
      <c r="IT9" s="153"/>
      <c r="IU9" s="153"/>
      <c r="IV9" s="153"/>
      <c r="IW9" s="153"/>
      <c r="IX9" s="153"/>
      <c r="IY9" s="153"/>
      <c r="IZ9" s="153"/>
      <c r="JA9" s="153"/>
      <c r="JB9" s="153"/>
      <c r="JC9" s="153"/>
      <c r="JD9" s="153"/>
      <c r="JE9" s="153"/>
      <c r="JF9" s="153"/>
      <c r="JG9" s="153"/>
      <c r="JH9" s="153"/>
      <c r="JI9" s="153"/>
      <c r="JJ9" s="153"/>
      <c r="JK9" s="153"/>
      <c r="JL9" s="153" t="str">
        <f>"" &amp; "" &amp; " " &amp; ""</f>
        <v xml:space="preserve"> </v>
      </c>
      <c r="JM9" s="153"/>
      <c r="JN9" s="153"/>
      <c r="JO9" s="153"/>
      <c r="JP9" s="153"/>
      <c r="JQ9" s="153"/>
      <c r="JR9" s="153"/>
      <c r="JS9" s="153"/>
      <c r="JT9" s="153"/>
      <c r="JU9" s="153"/>
      <c r="JV9" s="153"/>
      <c r="JW9" s="153"/>
    </row>
    <row r="10" spans="1:283" ht="12" customHeight="1" outlineLevel="2">
      <c r="A10" s="123"/>
      <c r="B10" s="123"/>
      <c r="C10" s="123">
        <v>3</v>
      </c>
      <c r="D10" s="151" t="s">
        <v>1429</v>
      </c>
      <c r="E10" s="124"/>
      <c r="F10" s="124"/>
      <c r="G10" s="124" t="s">
        <v>1904</v>
      </c>
      <c r="H10" s="124"/>
      <c r="I10" s="124"/>
      <c r="J10" s="124"/>
      <c r="K10" s="124"/>
      <c r="L10" s="124"/>
      <c r="M10" s="124"/>
      <c r="N10" s="124"/>
      <c r="O10" s="124"/>
      <c r="P10" s="125">
        <v>45817</v>
      </c>
      <c r="Q10" s="125">
        <v>45817</v>
      </c>
      <c r="R10" s="124"/>
      <c r="S10" s="126">
        <v>1</v>
      </c>
      <c r="T10" s="126">
        <v>1</v>
      </c>
      <c r="U10" s="126">
        <v>1</v>
      </c>
      <c r="V10" s="126">
        <v>1</v>
      </c>
      <c r="W10" s="125">
        <v>45817</v>
      </c>
      <c r="X10" s="125">
        <v>45817</v>
      </c>
      <c r="Y10" s="127">
        <v>1</v>
      </c>
      <c r="Z10" s="128">
        <v>1</v>
      </c>
      <c r="AA10" s="126">
        <v>1</v>
      </c>
      <c r="AB10" s="124"/>
      <c r="AC10" s="129" t="s">
        <v>2030</v>
      </c>
      <c r="AD10" s="150">
        <v>1</v>
      </c>
      <c r="AE10" s="251">
        <v>1</v>
      </c>
      <c r="AF10" s="183"/>
      <c r="AG10" s="153"/>
      <c r="AH10" s="153"/>
      <c r="AI10" s="153"/>
      <c r="AJ10" s="153"/>
      <c r="AK10" s="153"/>
      <c r="AL10" s="153"/>
      <c r="AM10" s="153"/>
      <c r="AN10" s="153" t="str">
        <f>"" &amp; TEXT(AE10,"#0.00%") &amp; "/" &amp; TEXT(AD10,"#0.00% ") &amp; "" &amp; "" &amp; " " &amp; ""</f>
        <v xml:space="preserve">100.00%/100.00%  </v>
      </c>
      <c r="AO10" s="153"/>
      <c r="AP10" s="153"/>
      <c r="AQ10" s="153"/>
      <c r="AR10" s="153"/>
      <c r="AS10" s="153"/>
      <c r="AT10" s="153"/>
      <c r="AU10" s="153"/>
      <c r="AV10" s="153"/>
      <c r="AW10" s="153"/>
      <c r="AX10" s="153"/>
      <c r="AY10" s="153"/>
      <c r="AZ10" s="153"/>
      <c r="BA10" s="153"/>
      <c r="BB10" s="153"/>
      <c r="BC10" s="153"/>
      <c r="BD10" s="153"/>
      <c r="BE10" s="153"/>
      <c r="BF10" s="153"/>
      <c r="BG10" s="153"/>
      <c r="BH10" s="153"/>
      <c r="BI10" s="153"/>
      <c r="BJ10" s="153"/>
      <c r="BK10" s="153"/>
      <c r="BL10" s="153"/>
      <c r="BM10" s="153"/>
      <c r="BN10" s="153"/>
      <c r="BO10" s="153"/>
      <c r="BP10" s="153"/>
      <c r="BQ10" s="153"/>
      <c r="BR10" s="153"/>
      <c r="BS10" s="153"/>
      <c r="BT10" s="153"/>
      <c r="BU10" s="153"/>
      <c r="BV10" s="153"/>
      <c r="BW10" s="153"/>
      <c r="BX10" s="153"/>
      <c r="BY10" s="153"/>
      <c r="BZ10" s="153"/>
      <c r="CA10" s="153"/>
      <c r="CB10" s="153"/>
      <c r="CC10" s="153"/>
      <c r="CD10" s="153"/>
      <c r="CE10" s="153"/>
      <c r="CF10" s="153"/>
      <c r="CG10" s="153"/>
      <c r="CH10" s="153"/>
      <c r="CI10" s="153"/>
      <c r="CJ10" s="153"/>
      <c r="CK10" s="153"/>
      <c r="CL10" s="153"/>
      <c r="CM10" s="153"/>
      <c r="CN10" s="153"/>
      <c r="CO10" s="153"/>
      <c r="CP10" s="153"/>
      <c r="CQ10" s="153"/>
      <c r="CR10" s="153"/>
      <c r="CS10" s="153"/>
      <c r="CT10" s="153"/>
      <c r="CU10" s="153"/>
      <c r="CV10" s="153"/>
      <c r="CW10" s="153"/>
      <c r="CX10" s="153"/>
      <c r="CY10" s="153"/>
      <c r="CZ10" s="153"/>
      <c r="DA10" s="153"/>
      <c r="DB10" s="153"/>
      <c r="DC10" s="153"/>
      <c r="DD10" s="153"/>
      <c r="DE10" s="153"/>
      <c r="DF10" s="153"/>
      <c r="DG10" s="153"/>
      <c r="DH10" s="153"/>
      <c r="DI10" s="153"/>
      <c r="DJ10" s="153"/>
      <c r="DK10" s="153"/>
      <c r="DL10" s="153"/>
      <c r="DM10" s="153"/>
      <c r="DN10" s="153"/>
      <c r="DO10" s="153"/>
      <c r="DP10" s="153"/>
      <c r="DQ10" s="153"/>
      <c r="DR10" s="153"/>
      <c r="DS10" s="153"/>
      <c r="DT10" s="153"/>
      <c r="DU10" s="153"/>
      <c r="DV10" s="153"/>
      <c r="DW10" s="153"/>
      <c r="DX10" s="153"/>
      <c r="DY10" s="153"/>
      <c r="DZ10" s="153"/>
      <c r="EA10" s="153"/>
      <c r="EB10" s="153"/>
      <c r="EC10" s="153"/>
      <c r="ED10" s="153"/>
      <c r="EE10" s="153"/>
      <c r="EF10" s="153"/>
      <c r="EG10" s="153"/>
      <c r="EH10" s="153"/>
      <c r="EI10" s="153"/>
      <c r="EJ10" s="153"/>
      <c r="EK10" s="153"/>
      <c r="EL10" s="153"/>
      <c r="EM10" s="153"/>
      <c r="EN10" s="153"/>
      <c r="EO10" s="153"/>
      <c r="EP10" s="153"/>
      <c r="EQ10" s="153"/>
      <c r="ER10" s="153"/>
      <c r="ES10" s="153"/>
      <c r="ET10" s="153"/>
      <c r="EU10" s="153"/>
      <c r="EV10" s="153"/>
      <c r="EW10" s="153"/>
      <c r="EX10" s="153"/>
      <c r="EY10" s="153"/>
      <c r="EZ10" s="153"/>
      <c r="FA10" s="153"/>
      <c r="FB10" s="153"/>
      <c r="FC10" s="153"/>
      <c r="FD10" s="153"/>
      <c r="FE10" s="153"/>
      <c r="FF10" s="153"/>
      <c r="FG10" s="153"/>
      <c r="FH10" s="153"/>
      <c r="FI10" s="153"/>
      <c r="FJ10" s="153"/>
      <c r="FK10" s="153"/>
      <c r="FL10" s="153"/>
      <c r="FM10" s="153"/>
      <c r="FN10" s="153"/>
      <c r="FO10" s="153"/>
      <c r="FP10" s="153"/>
      <c r="FQ10" s="153"/>
      <c r="FR10" s="153"/>
      <c r="FS10" s="153"/>
      <c r="FT10" s="153"/>
      <c r="FU10" s="153"/>
      <c r="FV10" s="153"/>
      <c r="FW10" s="153"/>
      <c r="FX10" s="153"/>
      <c r="FY10" s="153"/>
      <c r="FZ10" s="153"/>
      <c r="GA10" s="153"/>
      <c r="GB10" s="153"/>
      <c r="GC10" s="153"/>
      <c r="GD10" s="153"/>
      <c r="GE10" s="153"/>
      <c r="GF10" s="153"/>
      <c r="GG10" s="153"/>
      <c r="GH10" s="153"/>
      <c r="GI10" s="153"/>
      <c r="GJ10" s="153"/>
      <c r="GK10" s="153"/>
      <c r="GL10" s="153"/>
      <c r="GM10" s="153"/>
      <c r="GN10" s="153"/>
      <c r="GO10" s="153"/>
      <c r="GP10" s="153"/>
      <c r="GQ10" s="153"/>
      <c r="GR10" s="153"/>
      <c r="GS10" s="153"/>
      <c r="GT10" s="153"/>
      <c r="GU10" s="153"/>
      <c r="GV10" s="153"/>
      <c r="GW10" s="153"/>
      <c r="GX10" s="153"/>
      <c r="GY10" s="153"/>
      <c r="GZ10" s="153"/>
      <c r="HA10" s="153"/>
      <c r="HB10" s="153"/>
      <c r="HC10" s="153"/>
      <c r="HD10" s="153"/>
      <c r="HE10" s="153"/>
      <c r="HF10" s="153"/>
      <c r="HG10" s="153"/>
      <c r="HH10" s="153"/>
      <c r="HI10" s="153"/>
      <c r="HJ10" s="153"/>
      <c r="HK10" s="153"/>
      <c r="HL10" s="153"/>
      <c r="HM10" s="153"/>
      <c r="HN10" s="153"/>
      <c r="HO10" s="153"/>
      <c r="HP10" s="153"/>
      <c r="HQ10" s="153"/>
      <c r="HR10" s="153"/>
      <c r="HS10" s="153"/>
      <c r="HT10" s="153"/>
      <c r="HU10" s="153"/>
      <c r="HV10" s="153"/>
      <c r="HW10" s="153"/>
      <c r="HX10" s="153"/>
      <c r="HY10" s="153"/>
      <c r="HZ10" s="153"/>
      <c r="IA10" s="153"/>
      <c r="IB10" s="153"/>
      <c r="IC10" s="153"/>
      <c r="ID10" s="153"/>
      <c r="IE10" s="153"/>
      <c r="IF10" s="153"/>
      <c r="IG10" s="153"/>
      <c r="IH10" s="153"/>
      <c r="II10" s="153"/>
      <c r="IJ10" s="153"/>
      <c r="IK10" s="153"/>
      <c r="IL10" s="153"/>
      <c r="IM10" s="153"/>
      <c r="IN10" s="153"/>
      <c r="IO10" s="153"/>
      <c r="IP10" s="153"/>
      <c r="IQ10" s="153"/>
      <c r="IR10" s="153"/>
      <c r="IS10" s="153"/>
      <c r="IT10" s="153"/>
      <c r="IU10" s="153"/>
      <c r="IV10" s="153"/>
      <c r="IW10" s="153"/>
      <c r="IX10" s="153"/>
      <c r="IY10" s="153"/>
      <c r="IZ10" s="153"/>
      <c r="JA10" s="153"/>
      <c r="JB10" s="153"/>
      <c r="JC10" s="153"/>
      <c r="JD10" s="153"/>
      <c r="JE10" s="153"/>
      <c r="JF10" s="153"/>
      <c r="JG10" s="153"/>
      <c r="JH10" s="153"/>
      <c r="JI10" s="153"/>
      <c r="JJ10" s="153"/>
      <c r="JK10" s="153"/>
      <c r="JL10" s="153"/>
      <c r="JM10" s="153"/>
      <c r="JN10" s="153"/>
      <c r="JO10" s="153"/>
      <c r="JP10" s="153"/>
      <c r="JQ10" s="153"/>
      <c r="JR10" s="153"/>
      <c r="JS10" s="153"/>
      <c r="JT10" s="153"/>
      <c r="JU10" s="153"/>
      <c r="JV10" s="153"/>
      <c r="JW10" s="153"/>
    </row>
    <row r="11" spans="1:283" ht="12" customHeight="1" outlineLevel="2">
      <c r="A11" s="123"/>
      <c r="B11" s="123"/>
      <c r="C11" s="123">
        <v>3</v>
      </c>
      <c r="D11" s="151" t="s">
        <v>1430</v>
      </c>
      <c r="E11" s="124"/>
      <c r="F11" s="124"/>
      <c r="G11" s="124" t="s">
        <v>1447</v>
      </c>
      <c r="H11" s="124"/>
      <c r="I11" s="124"/>
      <c r="J11" s="124"/>
      <c r="K11" s="124"/>
      <c r="L11" s="124"/>
      <c r="M11" s="124"/>
      <c r="N11" s="124"/>
      <c r="O11" s="124"/>
      <c r="P11" s="125">
        <v>45910</v>
      </c>
      <c r="Q11" s="125">
        <v>45910</v>
      </c>
      <c r="R11" s="124"/>
      <c r="S11" s="126">
        <v>1</v>
      </c>
      <c r="T11" s="126">
        <v>1</v>
      </c>
      <c r="U11" s="126">
        <v>1</v>
      </c>
      <c r="V11" s="126">
        <v>1</v>
      </c>
      <c r="W11" s="125">
        <v>45924</v>
      </c>
      <c r="X11" s="125">
        <v>45924</v>
      </c>
      <c r="Y11" s="127">
        <v>1</v>
      </c>
      <c r="Z11" s="128">
        <v>1</v>
      </c>
      <c r="AA11" s="126">
        <v>1</v>
      </c>
      <c r="AB11" s="124"/>
      <c r="AC11" s="129" t="s">
        <v>2031</v>
      </c>
      <c r="AD11" s="150">
        <v>1</v>
      </c>
      <c r="AE11" s="251">
        <v>1</v>
      </c>
      <c r="AF11" s="183"/>
      <c r="AG11" s="153"/>
      <c r="AH11" s="153"/>
      <c r="AI11" s="153"/>
      <c r="AJ11" s="153"/>
      <c r="AK11" s="153"/>
      <c r="AL11" s="153"/>
      <c r="AM11" s="153"/>
      <c r="AN11" s="153"/>
      <c r="AO11" s="153"/>
      <c r="AP11" s="153"/>
      <c r="AQ11" s="153"/>
      <c r="AR11" s="153"/>
      <c r="AS11" s="153"/>
      <c r="AT11" s="153"/>
      <c r="AU11" s="153"/>
      <c r="AV11" s="153"/>
      <c r="AW11" s="153"/>
      <c r="AX11" s="153"/>
      <c r="AY11" s="153"/>
      <c r="AZ11" s="153"/>
      <c r="BA11" s="153"/>
      <c r="BB11" s="153"/>
      <c r="BC11" s="153"/>
      <c r="BD11" s="153"/>
      <c r="BE11" s="153"/>
      <c r="BF11" s="153"/>
      <c r="BG11" s="153"/>
      <c r="BH11" s="153"/>
      <c r="BI11" s="153"/>
      <c r="BJ11" s="153"/>
      <c r="BK11" s="153"/>
      <c r="BL11" s="153"/>
      <c r="BM11" s="153"/>
      <c r="BN11" s="153"/>
      <c r="BO11" s="153"/>
      <c r="BP11" s="153"/>
      <c r="BQ11" s="153"/>
      <c r="BR11" s="153"/>
      <c r="BS11" s="153"/>
      <c r="BT11" s="153"/>
      <c r="BU11" s="153"/>
      <c r="BV11" s="153"/>
      <c r="BW11" s="153"/>
      <c r="BX11" s="153"/>
      <c r="BY11" s="153"/>
      <c r="BZ11" s="153"/>
      <c r="CA11" s="153"/>
      <c r="CB11" s="153"/>
      <c r="CC11" s="153"/>
      <c r="CD11" s="153"/>
      <c r="CE11" s="153"/>
      <c r="CF11" s="153"/>
      <c r="CG11" s="153"/>
      <c r="CH11" s="153"/>
      <c r="CI11" s="153"/>
      <c r="CJ11" s="153"/>
      <c r="CK11" s="153"/>
      <c r="CL11" s="153"/>
      <c r="CM11" s="153"/>
      <c r="CN11" s="153"/>
      <c r="CO11" s="153"/>
      <c r="CP11" s="153"/>
      <c r="CQ11" s="153"/>
      <c r="CR11" s="153"/>
      <c r="CS11" s="153"/>
      <c r="CT11" s="153"/>
      <c r="CU11" s="153"/>
      <c r="CV11" s="153"/>
      <c r="CW11" s="153"/>
      <c r="CX11" s="153"/>
      <c r="CY11" s="153"/>
      <c r="CZ11" s="153"/>
      <c r="DA11" s="153"/>
      <c r="DB11" s="153"/>
      <c r="DC11" s="153"/>
      <c r="DD11" s="153"/>
      <c r="DE11" s="153"/>
      <c r="DF11" s="153"/>
      <c r="DG11" s="153"/>
      <c r="DH11" s="153"/>
      <c r="DI11" s="153"/>
      <c r="DJ11" s="153"/>
      <c r="DK11" s="153"/>
      <c r="DL11" s="153"/>
      <c r="DM11" s="153"/>
      <c r="DN11" s="153"/>
      <c r="DO11" s="153"/>
      <c r="DP11" s="153"/>
      <c r="DQ11" s="153"/>
      <c r="DR11" s="153"/>
      <c r="DS11" s="153"/>
      <c r="DT11" s="153"/>
      <c r="DU11" s="153"/>
      <c r="DV11" s="153"/>
      <c r="DW11" s="153"/>
      <c r="DX11" s="153"/>
      <c r="DY11" s="153"/>
      <c r="DZ11" s="153"/>
      <c r="EA11" s="153"/>
      <c r="EB11" s="153"/>
      <c r="EC11" s="153"/>
      <c r="ED11" s="153"/>
      <c r="EE11" s="153"/>
      <c r="EF11" s="153"/>
      <c r="EG11" s="153"/>
      <c r="EH11" s="153"/>
      <c r="EI11" s="153"/>
      <c r="EJ11" s="153"/>
      <c r="EK11" s="153"/>
      <c r="EL11" s="153"/>
      <c r="EM11" s="153"/>
      <c r="EN11" s="153"/>
      <c r="EO11" s="153"/>
      <c r="EP11" s="153"/>
      <c r="EQ11" s="153" t="str">
        <f>"" &amp; TEXT(AE11,"#0.00%") &amp; "/" &amp; TEXT(AD11,"#0.00% ") &amp; "" &amp; "" &amp; " " &amp; ""</f>
        <v xml:space="preserve">100.00%/100.00%  </v>
      </c>
      <c r="ER11" s="153"/>
      <c r="ES11" s="153"/>
      <c r="ET11" s="153"/>
      <c r="EU11" s="153"/>
      <c r="EV11" s="153"/>
      <c r="EW11" s="153"/>
      <c r="EX11" s="153"/>
      <c r="EY11" s="153"/>
      <c r="EZ11" s="153"/>
      <c r="FA11" s="153"/>
      <c r="FB11" s="153"/>
      <c r="FC11" s="153"/>
      <c r="FD11" s="153"/>
      <c r="FE11" s="153"/>
      <c r="FF11" s="153"/>
      <c r="FG11" s="153"/>
      <c r="FH11" s="153"/>
      <c r="FI11" s="153"/>
      <c r="FJ11" s="153"/>
      <c r="FK11" s="153"/>
      <c r="FL11" s="153"/>
      <c r="FM11" s="153"/>
      <c r="FN11" s="153"/>
      <c r="FO11" s="153"/>
      <c r="FP11" s="153"/>
      <c r="FQ11" s="153"/>
      <c r="FR11" s="153"/>
      <c r="FS11" s="153"/>
      <c r="FT11" s="153"/>
      <c r="FU11" s="153"/>
      <c r="FV11" s="153"/>
      <c r="FW11" s="153"/>
      <c r="FX11" s="153"/>
      <c r="FY11" s="153"/>
      <c r="FZ11" s="153"/>
      <c r="GA11" s="153"/>
      <c r="GB11" s="153"/>
      <c r="GC11" s="153"/>
      <c r="GD11" s="153"/>
      <c r="GE11" s="153"/>
      <c r="GF11" s="153"/>
      <c r="GG11" s="153"/>
      <c r="GH11" s="153"/>
      <c r="GI11" s="153"/>
      <c r="GJ11" s="153"/>
      <c r="GK11" s="153"/>
      <c r="GL11" s="153"/>
      <c r="GM11" s="153"/>
      <c r="GN11" s="153"/>
      <c r="GO11" s="153"/>
      <c r="GP11" s="153"/>
      <c r="GQ11" s="153"/>
      <c r="GR11" s="153"/>
      <c r="GS11" s="153"/>
      <c r="GT11" s="153"/>
      <c r="GU11" s="153"/>
      <c r="GV11" s="153"/>
      <c r="GW11" s="153"/>
      <c r="GX11" s="153"/>
      <c r="GY11" s="153"/>
      <c r="GZ11" s="153"/>
      <c r="HA11" s="153"/>
      <c r="HB11" s="153"/>
      <c r="HC11" s="153"/>
      <c r="HD11" s="153"/>
      <c r="HE11" s="153"/>
      <c r="HF11" s="153"/>
      <c r="HG11" s="153"/>
      <c r="HH11" s="153"/>
      <c r="HI11" s="153"/>
      <c r="HJ11" s="153"/>
      <c r="HK11" s="153"/>
      <c r="HL11" s="153"/>
      <c r="HM11" s="153"/>
      <c r="HN11" s="153"/>
      <c r="HO11" s="153"/>
      <c r="HP11" s="153"/>
      <c r="HQ11" s="153"/>
      <c r="HR11" s="153"/>
      <c r="HS11" s="153"/>
      <c r="HT11" s="153"/>
      <c r="HU11" s="153"/>
      <c r="HV11" s="153"/>
      <c r="HW11" s="153"/>
      <c r="HX11" s="153"/>
      <c r="HY11" s="153"/>
      <c r="HZ11" s="153"/>
      <c r="IA11" s="153"/>
      <c r="IB11" s="153"/>
      <c r="IC11" s="153"/>
      <c r="ID11" s="153"/>
      <c r="IE11" s="153"/>
      <c r="IF11" s="153"/>
      <c r="IG11" s="153"/>
      <c r="IH11" s="153"/>
      <c r="II11" s="153"/>
      <c r="IJ11" s="153"/>
      <c r="IK11" s="153"/>
      <c r="IL11" s="153"/>
      <c r="IM11" s="153"/>
      <c r="IN11" s="153"/>
      <c r="IO11" s="153"/>
      <c r="IP11" s="153"/>
      <c r="IQ11" s="153"/>
      <c r="IR11" s="153"/>
      <c r="IS11" s="153"/>
      <c r="IT11" s="153"/>
      <c r="IU11" s="153"/>
      <c r="IV11" s="153"/>
      <c r="IW11" s="153"/>
      <c r="IX11" s="153"/>
      <c r="IY11" s="153"/>
      <c r="IZ11" s="153"/>
      <c r="JA11" s="153"/>
      <c r="JB11" s="153"/>
      <c r="JC11" s="153"/>
      <c r="JD11" s="153"/>
      <c r="JE11" s="153"/>
      <c r="JF11" s="153"/>
      <c r="JG11" s="153"/>
      <c r="JH11" s="153"/>
      <c r="JI11" s="153"/>
      <c r="JJ11" s="153"/>
      <c r="JK11" s="153"/>
      <c r="JL11" s="153"/>
      <c r="JM11" s="153"/>
      <c r="JN11" s="153"/>
      <c r="JO11" s="153"/>
      <c r="JP11" s="153"/>
      <c r="JQ11" s="153"/>
      <c r="JR11" s="153"/>
      <c r="JS11" s="153"/>
      <c r="JT11" s="153"/>
      <c r="JU11" s="153"/>
      <c r="JV11" s="153"/>
      <c r="JW11" s="153"/>
    </row>
    <row r="12" spans="1:283" ht="12" customHeight="1" outlineLevel="2">
      <c r="A12" s="123"/>
      <c r="B12" s="123"/>
      <c r="C12" s="123">
        <v>3</v>
      </c>
      <c r="D12" s="151" t="s">
        <v>1935</v>
      </c>
      <c r="E12" s="124"/>
      <c r="F12" s="124"/>
      <c r="G12" s="124" t="s">
        <v>1910</v>
      </c>
      <c r="H12" s="124"/>
      <c r="I12" s="124"/>
      <c r="J12" s="124"/>
      <c r="K12" s="124"/>
      <c r="L12" s="124"/>
      <c r="M12" s="124"/>
      <c r="N12" s="124"/>
      <c r="O12" s="124"/>
      <c r="P12" s="125">
        <v>46049</v>
      </c>
      <c r="Q12" s="125">
        <v>46049</v>
      </c>
      <c r="R12" s="124"/>
      <c r="S12" s="126">
        <v>1</v>
      </c>
      <c r="T12" s="126">
        <v>0</v>
      </c>
      <c r="U12" s="126">
        <v>1</v>
      </c>
      <c r="V12" s="126">
        <v>0</v>
      </c>
      <c r="W12" s="125"/>
      <c r="X12" s="125"/>
      <c r="Y12" s="127">
        <v>0</v>
      </c>
      <c r="Z12" s="128">
        <v>0</v>
      </c>
      <c r="AA12" s="126">
        <v>1</v>
      </c>
      <c r="AB12" s="124"/>
      <c r="AC12" s="129" t="s">
        <v>2032</v>
      </c>
      <c r="AD12" s="150">
        <v>0</v>
      </c>
      <c r="AE12" s="251">
        <v>0</v>
      </c>
      <c r="AF12" s="183"/>
      <c r="AG12" s="153"/>
      <c r="AH12" s="153"/>
      <c r="AI12" s="153"/>
      <c r="AJ12" s="153"/>
      <c r="AK12" s="153"/>
      <c r="AL12" s="153"/>
      <c r="AM12" s="153"/>
      <c r="AN12" s="153"/>
      <c r="AO12" s="153"/>
      <c r="AP12" s="153"/>
      <c r="AQ12" s="153"/>
      <c r="AR12" s="153"/>
      <c r="AS12" s="153"/>
      <c r="AT12" s="153"/>
      <c r="AU12" s="153"/>
      <c r="AV12" s="153"/>
      <c r="AW12" s="153"/>
      <c r="AX12" s="153"/>
      <c r="AY12" s="153"/>
      <c r="AZ12" s="153"/>
      <c r="BA12" s="153"/>
      <c r="BB12" s="153"/>
      <c r="BC12" s="153"/>
      <c r="BD12" s="153"/>
      <c r="BE12" s="153"/>
      <c r="BF12" s="153"/>
      <c r="BG12" s="153"/>
      <c r="BH12" s="153"/>
      <c r="BI12" s="153"/>
      <c r="BJ12" s="153"/>
      <c r="BK12" s="153"/>
      <c r="BL12" s="153"/>
      <c r="BM12" s="153"/>
      <c r="BN12" s="153"/>
      <c r="BO12" s="153"/>
      <c r="BP12" s="153"/>
      <c r="BQ12" s="153"/>
      <c r="BR12" s="153"/>
      <c r="BS12" s="153"/>
      <c r="BT12" s="153"/>
      <c r="BU12" s="153"/>
      <c r="BV12" s="153"/>
      <c r="BW12" s="153"/>
      <c r="BX12" s="153"/>
      <c r="BY12" s="153"/>
      <c r="BZ12" s="153"/>
      <c r="CA12" s="153"/>
      <c r="CB12" s="153"/>
      <c r="CC12" s="153"/>
      <c r="CD12" s="153"/>
      <c r="CE12" s="153"/>
      <c r="CF12" s="153"/>
      <c r="CG12" s="153"/>
      <c r="CH12" s="153"/>
      <c r="CI12" s="153"/>
      <c r="CJ12" s="153"/>
      <c r="CK12" s="153"/>
      <c r="CL12" s="153"/>
      <c r="CM12" s="153"/>
      <c r="CN12" s="153"/>
      <c r="CO12" s="153"/>
      <c r="CP12" s="153"/>
      <c r="CQ12" s="153"/>
      <c r="CR12" s="153"/>
      <c r="CS12" s="153"/>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c r="EB12" s="153"/>
      <c r="EC12" s="153"/>
      <c r="ED12" s="153"/>
      <c r="EE12" s="153"/>
      <c r="EF12" s="153"/>
      <c r="EG12" s="153"/>
      <c r="EH12" s="153"/>
      <c r="EI12" s="153"/>
      <c r="EJ12" s="153"/>
      <c r="EK12" s="153"/>
      <c r="EL12" s="153"/>
      <c r="EM12" s="153"/>
      <c r="EN12" s="153"/>
      <c r="EO12" s="153"/>
      <c r="EP12" s="153"/>
      <c r="EQ12" s="153"/>
      <c r="ER12" s="153"/>
      <c r="ES12" s="153"/>
      <c r="ET12" s="153"/>
      <c r="EU12" s="153"/>
      <c r="EV12" s="153"/>
      <c r="EW12" s="153"/>
      <c r="EX12" s="153"/>
      <c r="EY12" s="153"/>
      <c r="EZ12" s="153"/>
      <c r="FA12" s="153"/>
      <c r="FB12" s="153"/>
      <c r="FC12" s="153"/>
      <c r="FD12" s="153"/>
      <c r="FE12" s="153"/>
      <c r="FF12" s="153"/>
      <c r="FG12" s="153"/>
      <c r="FH12" s="153"/>
      <c r="FI12" s="153"/>
      <c r="FJ12" s="153"/>
      <c r="FK12" s="153"/>
      <c r="FL12" s="153"/>
      <c r="FM12" s="153"/>
      <c r="FN12" s="153"/>
      <c r="FO12" s="153"/>
      <c r="FP12" s="153"/>
      <c r="FQ12" s="153"/>
      <c r="FR12" s="153"/>
      <c r="FS12" s="153"/>
      <c r="FT12" s="153"/>
      <c r="FU12" s="153"/>
      <c r="FV12" s="153"/>
      <c r="FW12" s="153"/>
      <c r="FX12" s="153"/>
      <c r="FY12" s="153"/>
      <c r="FZ12" s="153"/>
      <c r="GA12" s="153"/>
      <c r="GB12" s="153"/>
      <c r="GC12" s="153"/>
      <c r="GD12" s="153"/>
      <c r="GE12" s="153"/>
      <c r="GF12" s="153"/>
      <c r="GG12" s="153"/>
      <c r="GH12" s="153"/>
      <c r="GI12" s="153"/>
      <c r="GJ12" s="153"/>
      <c r="GK12" s="153"/>
      <c r="GL12" s="153"/>
      <c r="GM12" s="153"/>
      <c r="GN12" s="153"/>
      <c r="GO12" s="153"/>
      <c r="GP12" s="153"/>
      <c r="GQ12" s="153"/>
      <c r="GR12" s="153"/>
      <c r="GS12" s="153"/>
      <c r="GT12" s="153"/>
      <c r="GU12" s="153"/>
      <c r="GV12" s="153"/>
      <c r="GW12" s="153"/>
      <c r="GX12" s="153"/>
      <c r="GY12" s="153"/>
      <c r="GZ12" s="153"/>
      <c r="HA12" s="153"/>
      <c r="HB12" s="153"/>
      <c r="HC12" s="153"/>
      <c r="HD12" s="153"/>
      <c r="HE12" s="153"/>
      <c r="HF12" s="153"/>
      <c r="HG12" s="153"/>
      <c r="HH12" s="153"/>
      <c r="HI12" s="153"/>
      <c r="HJ12" s="153"/>
      <c r="HK12" s="153"/>
      <c r="HL12" s="153"/>
      <c r="HM12" s="153"/>
      <c r="HN12" s="153"/>
      <c r="HO12" s="153"/>
      <c r="HP12" s="153"/>
      <c r="HQ12" s="153"/>
      <c r="HR12" s="153"/>
      <c r="HS12" s="153"/>
      <c r="HT12" s="153"/>
      <c r="HU12" s="153"/>
      <c r="HV12" s="153"/>
      <c r="HW12" s="153"/>
      <c r="HX12" s="153"/>
      <c r="HY12" s="153"/>
      <c r="HZ12" s="153"/>
      <c r="IA12" s="153"/>
      <c r="IB12" s="153"/>
      <c r="IC12" s="153"/>
      <c r="ID12" s="153"/>
      <c r="IE12" s="153"/>
      <c r="IF12" s="153"/>
      <c r="IG12" s="153"/>
      <c r="IH12" s="153"/>
      <c r="II12" s="153"/>
      <c r="IJ12" s="153"/>
      <c r="IK12" s="153"/>
      <c r="IL12" s="153"/>
      <c r="IM12" s="153"/>
      <c r="IN12" s="153"/>
      <c r="IO12" s="153"/>
      <c r="IP12" s="153"/>
      <c r="IQ12" s="153"/>
      <c r="IR12" s="153"/>
      <c r="IS12" s="153"/>
      <c r="IT12" s="153"/>
      <c r="IU12" s="153"/>
      <c r="IV12" s="153"/>
      <c r="IW12" s="153"/>
      <c r="IX12" s="153"/>
      <c r="IY12" s="153"/>
      <c r="IZ12" s="153"/>
      <c r="JA12" s="153"/>
      <c r="JB12" s="153"/>
      <c r="JC12" s="153"/>
      <c r="JD12" s="153"/>
      <c r="JE12" s="153"/>
      <c r="JF12" s="153"/>
      <c r="JG12" s="153"/>
      <c r="JH12" s="153"/>
      <c r="JI12" s="153"/>
      <c r="JJ12" s="153"/>
      <c r="JK12" s="153" t="str">
        <f>"" &amp; TEXT(AE12,"#0.00%") &amp; "/" &amp; TEXT(AD12,"#0.00% ") &amp; "" &amp; "" &amp; " " &amp; ""</f>
        <v xml:space="preserve">0.00%/0.00%  </v>
      </c>
      <c r="JL12" s="153"/>
      <c r="JM12" s="153"/>
      <c r="JN12" s="153"/>
      <c r="JO12" s="153"/>
      <c r="JP12" s="153"/>
      <c r="JQ12" s="153"/>
      <c r="JR12" s="153"/>
      <c r="JS12" s="153"/>
      <c r="JT12" s="153"/>
      <c r="JU12" s="153"/>
      <c r="JV12" s="153"/>
      <c r="JW12" s="153"/>
    </row>
    <row r="13" spans="1:283" ht="12" customHeight="1" outlineLevel="1">
      <c r="A13" s="123"/>
      <c r="B13" s="123" t="s">
        <v>1934</v>
      </c>
      <c r="C13" s="123">
        <v>2</v>
      </c>
      <c r="D13" s="151" t="s">
        <v>1436</v>
      </c>
      <c r="E13" s="124"/>
      <c r="F13" s="124" t="s">
        <v>1448</v>
      </c>
      <c r="G13" s="124"/>
      <c r="H13" s="124"/>
      <c r="I13" s="124"/>
      <c r="J13" s="124"/>
      <c r="K13" s="124"/>
      <c r="L13" s="124"/>
      <c r="M13" s="124"/>
      <c r="N13" s="124"/>
      <c r="O13" s="124"/>
      <c r="P13" s="125">
        <v>46048</v>
      </c>
      <c r="Q13" s="125">
        <v>46053</v>
      </c>
      <c r="R13" s="124"/>
      <c r="S13" s="126">
        <v>4</v>
      </c>
      <c r="T13" s="126">
        <v>0</v>
      </c>
      <c r="U13" s="126">
        <v>5</v>
      </c>
      <c r="V13" s="126">
        <v>0</v>
      </c>
      <c r="W13" s="125"/>
      <c r="X13" s="125"/>
      <c r="Y13" s="127">
        <v>0</v>
      </c>
      <c r="Z13" s="128">
        <v>0</v>
      </c>
      <c r="AA13" s="126"/>
      <c r="AB13" s="124"/>
      <c r="AC13" s="129"/>
      <c r="AD13" s="150">
        <v>0</v>
      </c>
      <c r="AE13" s="252">
        <v>0</v>
      </c>
      <c r="AF13" s="183"/>
      <c r="AG13" s="153"/>
      <c r="AH13" s="153"/>
      <c r="AI13" s="153"/>
      <c r="AJ13" s="153"/>
      <c r="AK13" s="153"/>
      <c r="AL13" s="153"/>
      <c r="AM13" s="153"/>
      <c r="AN13" s="153"/>
      <c r="AO13" s="153"/>
      <c r="AP13" s="153"/>
      <c r="AQ13" s="153"/>
      <c r="AR13" s="153"/>
      <c r="AS13" s="153"/>
      <c r="AT13" s="153"/>
      <c r="AU13" s="153"/>
      <c r="AV13" s="153"/>
      <c r="AW13" s="153"/>
      <c r="AX13" s="153"/>
      <c r="AY13" s="153"/>
      <c r="AZ13" s="153"/>
      <c r="BA13" s="153"/>
      <c r="BB13" s="153"/>
      <c r="BC13" s="153"/>
      <c r="BD13" s="153"/>
      <c r="BE13" s="153"/>
      <c r="BF13" s="153"/>
      <c r="BG13" s="153"/>
      <c r="BH13" s="153"/>
      <c r="BI13" s="153"/>
      <c r="BJ13" s="153"/>
      <c r="BK13" s="153"/>
      <c r="BL13" s="153"/>
      <c r="BM13" s="153"/>
      <c r="BN13" s="153"/>
      <c r="BO13" s="153"/>
      <c r="BP13" s="153"/>
      <c r="BQ13" s="153"/>
      <c r="BR13" s="153"/>
      <c r="BS13" s="153"/>
      <c r="BT13" s="153"/>
      <c r="BU13" s="153"/>
      <c r="BV13" s="153"/>
      <c r="BW13" s="153"/>
      <c r="BX13" s="153"/>
      <c r="BY13" s="153"/>
      <c r="BZ13" s="153"/>
      <c r="CA13" s="153"/>
      <c r="CB13" s="153"/>
      <c r="CC13" s="153"/>
      <c r="CD13" s="153"/>
      <c r="CE13" s="153"/>
      <c r="CF13" s="153"/>
      <c r="CG13" s="153"/>
      <c r="CH13" s="153"/>
      <c r="CI13" s="153"/>
      <c r="CJ13" s="153"/>
      <c r="CK13" s="153"/>
      <c r="CL13" s="153"/>
      <c r="CM13" s="153"/>
      <c r="CN13" s="153"/>
      <c r="CO13" s="153"/>
      <c r="CP13" s="153"/>
      <c r="CQ13" s="153"/>
      <c r="CR13" s="153"/>
      <c r="CS13" s="153"/>
      <c r="CT13" s="153"/>
      <c r="CU13" s="153"/>
      <c r="CV13" s="153"/>
      <c r="CW13" s="153"/>
      <c r="CX13" s="153"/>
      <c r="CY13" s="153"/>
      <c r="CZ13" s="153"/>
      <c r="DA13" s="153"/>
      <c r="DB13" s="153"/>
      <c r="DC13" s="153"/>
      <c r="DD13" s="153"/>
      <c r="DE13" s="153"/>
      <c r="DF13" s="153"/>
      <c r="DG13" s="153"/>
      <c r="DH13" s="153"/>
      <c r="DI13" s="153"/>
      <c r="DJ13" s="153"/>
      <c r="DK13" s="153"/>
      <c r="DL13" s="153"/>
      <c r="DM13" s="153"/>
      <c r="DN13" s="153"/>
      <c r="DO13" s="153"/>
      <c r="DP13" s="153"/>
      <c r="DQ13" s="153"/>
      <c r="DR13" s="153"/>
      <c r="DS13" s="153"/>
      <c r="DT13" s="153"/>
      <c r="DU13" s="153"/>
      <c r="DV13" s="153"/>
      <c r="DW13" s="153"/>
      <c r="DX13" s="153"/>
      <c r="DY13" s="153"/>
      <c r="DZ13" s="153"/>
      <c r="EA13" s="153"/>
      <c r="EB13" s="153"/>
      <c r="EC13" s="153"/>
      <c r="ED13" s="153"/>
      <c r="EE13" s="153"/>
      <c r="EF13" s="153"/>
      <c r="EG13" s="153"/>
      <c r="EH13" s="153"/>
      <c r="EI13" s="153"/>
      <c r="EJ13" s="153"/>
      <c r="EK13" s="153"/>
      <c r="EL13" s="153"/>
      <c r="EM13" s="153"/>
      <c r="EN13" s="153"/>
      <c r="EO13" s="153"/>
      <c r="EP13" s="153"/>
      <c r="EQ13" s="153"/>
      <c r="ER13" s="153"/>
      <c r="ES13" s="153"/>
      <c r="ET13" s="153"/>
      <c r="EU13" s="153"/>
      <c r="EV13" s="153"/>
      <c r="EW13" s="153"/>
      <c r="EX13" s="153"/>
      <c r="EY13" s="153"/>
      <c r="EZ13" s="153"/>
      <c r="FA13" s="153"/>
      <c r="FB13" s="153"/>
      <c r="FC13" s="153"/>
      <c r="FD13" s="153"/>
      <c r="FE13" s="153"/>
      <c r="FF13" s="153"/>
      <c r="FG13" s="153"/>
      <c r="FH13" s="153"/>
      <c r="FI13" s="153"/>
      <c r="FJ13" s="153"/>
      <c r="FK13" s="153"/>
      <c r="FL13" s="153"/>
      <c r="FM13" s="153"/>
      <c r="FN13" s="153"/>
      <c r="FO13" s="153"/>
      <c r="FP13" s="153"/>
      <c r="FQ13" s="153"/>
      <c r="FR13" s="153"/>
      <c r="FS13" s="153"/>
      <c r="FT13" s="153"/>
      <c r="FU13" s="153"/>
      <c r="FV13" s="153"/>
      <c r="FW13" s="153"/>
      <c r="FX13" s="153"/>
      <c r="FY13" s="153"/>
      <c r="FZ13" s="153"/>
      <c r="GA13" s="153"/>
      <c r="GB13" s="153"/>
      <c r="GC13" s="153"/>
      <c r="GD13" s="153"/>
      <c r="GE13" s="153"/>
      <c r="GF13" s="153"/>
      <c r="GG13" s="153"/>
      <c r="GH13" s="153"/>
      <c r="GI13" s="153"/>
      <c r="GJ13" s="153"/>
      <c r="GK13" s="153"/>
      <c r="GL13" s="153"/>
      <c r="GM13" s="153"/>
      <c r="GN13" s="153"/>
      <c r="GO13" s="153"/>
      <c r="GP13" s="153"/>
      <c r="GQ13" s="153"/>
      <c r="GR13" s="153"/>
      <c r="GS13" s="153"/>
      <c r="GT13" s="153"/>
      <c r="GU13" s="153"/>
      <c r="GV13" s="153"/>
      <c r="GW13" s="153"/>
      <c r="GX13" s="153"/>
      <c r="GY13" s="153"/>
      <c r="GZ13" s="153"/>
      <c r="HA13" s="153"/>
      <c r="HB13" s="153"/>
      <c r="HC13" s="153"/>
      <c r="HD13" s="153"/>
      <c r="HE13" s="153"/>
      <c r="HF13" s="153"/>
      <c r="HG13" s="153"/>
      <c r="HH13" s="153"/>
      <c r="HI13" s="153"/>
      <c r="HJ13" s="153"/>
      <c r="HK13" s="153"/>
      <c r="HL13" s="153"/>
      <c r="HM13" s="153"/>
      <c r="HN13" s="153"/>
      <c r="HO13" s="153"/>
      <c r="HP13" s="153"/>
      <c r="HQ13" s="153"/>
      <c r="HR13" s="153"/>
      <c r="HS13" s="153"/>
      <c r="HT13" s="153"/>
      <c r="HU13" s="153"/>
      <c r="HV13" s="153"/>
      <c r="HW13" s="153"/>
      <c r="HX13" s="153"/>
      <c r="HY13" s="153"/>
      <c r="HZ13" s="153"/>
      <c r="IA13" s="153"/>
      <c r="IB13" s="153"/>
      <c r="IC13" s="153"/>
      <c r="ID13" s="153"/>
      <c r="IE13" s="153"/>
      <c r="IF13" s="153"/>
      <c r="IG13" s="153"/>
      <c r="IH13" s="153"/>
      <c r="II13" s="153"/>
      <c r="IJ13" s="153"/>
      <c r="IK13" s="153"/>
      <c r="IL13" s="153"/>
      <c r="IM13" s="153"/>
      <c r="IN13" s="153"/>
      <c r="IO13" s="153"/>
      <c r="IP13" s="153"/>
      <c r="IQ13" s="153"/>
      <c r="IR13" s="153"/>
      <c r="IS13" s="153"/>
      <c r="IT13" s="153"/>
      <c r="IU13" s="153"/>
      <c r="IV13" s="153"/>
      <c r="IW13" s="153"/>
      <c r="IX13" s="153"/>
      <c r="IY13" s="153"/>
      <c r="IZ13" s="153"/>
      <c r="JA13" s="153"/>
      <c r="JB13" s="153"/>
      <c r="JC13" s="153"/>
      <c r="JD13" s="153"/>
      <c r="JE13" s="153"/>
      <c r="JF13" s="153"/>
      <c r="JG13" s="153"/>
      <c r="JH13" s="153"/>
      <c r="JI13" s="153"/>
      <c r="JJ13" s="153" t="str">
        <f>"" &amp; TEXT(AE13,"#0.00%") &amp; "/" &amp; TEXT(AD13,"#0.00% ") &amp; "" &amp; "" &amp; " " &amp; ""</f>
        <v xml:space="preserve">0.00%/0.00%  </v>
      </c>
      <c r="JK13" s="153"/>
      <c r="JL13" s="153"/>
      <c r="JM13" s="153"/>
      <c r="JN13" s="153"/>
      <c r="JO13" s="153"/>
      <c r="JP13" s="153"/>
      <c r="JQ13" s="153"/>
      <c r="JR13" s="153"/>
      <c r="JS13" s="153"/>
      <c r="JT13" s="153"/>
      <c r="JU13" s="153"/>
      <c r="JV13" s="153"/>
      <c r="JW13" s="153"/>
    </row>
    <row r="14" spans="1:283" ht="12" customHeight="1" outlineLevel="2">
      <c r="A14" s="123"/>
      <c r="B14" s="123"/>
      <c r="C14" s="123">
        <v>3</v>
      </c>
      <c r="D14" s="151" t="s">
        <v>1432</v>
      </c>
      <c r="E14" s="124"/>
      <c r="F14" s="124"/>
      <c r="G14" s="243" t="s">
        <v>1881</v>
      </c>
      <c r="H14" s="243"/>
      <c r="I14" s="243"/>
      <c r="J14" s="244"/>
      <c r="K14" s="124"/>
      <c r="L14" s="124"/>
      <c r="M14" s="124"/>
      <c r="N14" s="124"/>
      <c r="O14" s="124"/>
      <c r="P14" s="125">
        <v>46048</v>
      </c>
      <c r="Q14" s="125">
        <v>46051</v>
      </c>
      <c r="R14" s="124"/>
      <c r="S14" s="126">
        <v>4</v>
      </c>
      <c r="T14" s="126">
        <v>0</v>
      </c>
      <c r="U14" s="126">
        <v>4</v>
      </c>
      <c r="V14" s="126">
        <v>0</v>
      </c>
      <c r="W14" s="125"/>
      <c r="X14" s="125"/>
      <c r="Y14" s="127">
        <v>0</v>
      </c>
      <c r="Z14" s="128">
        <v>0</v>
      </c>
      <c r="AA14" s="126">
        <v>1</v>
      </c>
      <c r="AB14" s="124"/>
      <c r="AC14" s="129"/>
      <c r="AD14" s="150">
        <v>0</v>
      </c>
      <c r="AE14" s="251">
        <v>0</v>
      </c>
      <c r="AF14" s="183"/>
      <c r="AG14" s="153"/>
      <c r="AH14" s="153"/>
      <c r="AI14" s="153"/>
      <c r="AJ14" s="153"/>
      <c r="AK14" s="153"/>
      <c r="AL14" s="153"/>
      <c r="AM14" s="153"/>
      <c r="AN14" s="153"/>
      <c r="AO14" s="153"/>
      <c r="AP14" s="153"/>
      <c r="AQ14" s="153"/>
      <c r="AR14" s="153"/>
      <c r="AS14" s="153"/>
      <c r="AT14" s="153"/>
      <c r="AU14" s="153"/>
      <c r="AV14" s="153"/>
      <c r="AW14" s="153"/>
      <c r="AX14" s="153"/>
      <c r="AY14" s="153"/>
      <c r="AZ14" s="153"/>
      <c r="BA14" s="153"/>
      <c r="BB14" s="153"/>
      <c r="BC14" s="153"/>
      <c r="BD14" s="153"/>
      <c r="BE14" s="153"/>
      <c r="BF14" s="153"/>
      <c r="BG14" s="153"/>
      <c r="BH14" s="153"/>
      <c r="BI14" s="153"/>
      <c r="BJ14" s="153"/>
      <c r="BK14" s="153"/>
      <c r="BL14" s="153"/>
      <c r="BM14" s="153"/>
      <c r="BN14" s="153"/>
      <c r="BO14" s="153"/>
      <c r="BP14" s="153"/>
      <c r="BQ14" s="153"/>
      <c r="BR14" s="153"/>
      <c r="BS14" s="153"/>
      <c r="BT14" s="153"/>
      <c r="BU14" s="153"/>
      <c r="BV14" s="153"/>
      <c r="BW14" s="153"/>
      <c r="BX14" s="153"/>
      <c r="BY14" s="153"/>
      <c r="BZ14" s="153"/>
      <c r="CA14" s="153"/>
      <c r="CB14" s="153"/>
      <c r="CC14" s="153"/>
      <c r="CD14" s="153"/>
      <c r="CE14" s="153"/>
      <c r="CF14" s="153"/>
      <c r="CG14" s="153"/>
      <c r="CH14" s="153"/>
      <c r="CI14" s="153"/>
      <c r="CJ14" s="153"/>
      <c r="CK14" s="153"/>
      <c r="CL14" s="153"/>
      <c r="CM14" s="153"/>
      <c r="CN14" s="153"/>
      <c r="CO14" s="153"/>
      <c r="CP14" s="153"/>
      <c r="CQ14" s="153"/>
      <c r="CR14" s="153"/>
      <c r="CS14" s="153"/>
      <c r="CT14" s="153"/>
      <c r="CU14" s="153"/>
      <c r="CV14" s="153"/>
      <c r="CW14" s="153"/>
      <c r="CX14" s="153"/>
      <c r="CY14" s="153"/>
      <c r="CZ14" s="153"/>
      <c r="DA14" s="153"/>
      <c r="DB14" s="153"/>
      <c r="DC14" s="153"/>
      <c r="DD14" s="153"/>
      <c r="DE14" s="153"/>
      <c r="DF14" s="153"/>
      <c r="DG14" s="153"/>
      <c r="DH14" s="153"/>
      <c r="DI14" s="153"/>
      <c r="DJ14" s="153"/>
      <c r="DK14" s="153"/>
      <c r="DL14" s="153"/>
      <c r="DM14" s="153"/>
      <c r="DN14" s="153"/>
      <c r="DO14" s="153"/>
      <c r="DP14" s="153"/>
      <c r="DQ14" s="153"/>
      <c r="DR14" s="153"/>
      <c r="DS14" s="153"/>
      <c r="DT14" s="153"/>
      <c r="DU14" s="153"/>
      <c r="DV14" s="153"/>
      <c r="DW14" s="153"/>
      <c r="DX14" s="153"/>
      <c r="DY14" s="153"/>
      <c r="DZ14" s="153"/>
      <c r="EA14" s="153"/>
      <c r="EB14" s="153"/>
      <c r="EC14" s="153"/>
      <c r="ED14" s="153"/>
      <c r="EE14" s="153"/>
      <c r="EF14" s="153"/>
      <c r="EG14" s="153"/>
      <c r="EH14" s="153"/>
      <c r="EI14" s="153"/>
      <c r="EJ14" s="153"/>
      <c r="EK14" s="153"/>
      <c r="EL14" s="153"/>
      <c r="EM14" s="153"/>
      <c r="EN14" s="153"/>
      <c r="EO14" s="153"/>
      <c r="EP14" s="153"/>
      <c r="EQ14" s="153"/>
      <c r="ER14" s="153"/>
      <c r="ES14" s="153"/>
      <c r="ET14" s="153"/>
      <c r="EU14" s="153"/>
      <c r="EV14" s="153"/>
      <c r="EW14" s="153"/>
      <c r="EX14" s="153"/>
      <c r="EY14" s="153"/>
      <c r="EZ14" s="153"/>
      <c r="FA14" s="153"/>
      <c r="FB14" s="153"/>
      <c r="FC14" s="153"/>
      <c r="FD14" s="153"/>
      <c r="FE14" s="153"/>
      <c r="FF14" s="153"/>
      <c r="FG14" s="153"/>
      <c r="FH14" s="153"/>
      <c r="FI14" s="153"/>
      <c r="FJ14" s="153"/>
      <c r="FK14" s="153"/>
      <c r="FL14" s="153"/>
      <c r="FM14" s="153"/>
      <c r="FN14" s="153"/>
      <c r="FO14" s="153"/>
      <c r="FP14" s="153"/>
      <c r="FQ14" s="153"/>
      <c r="FR14" s="153"/>
      <c r="FS14" s="153"/>
      <c r="FT14" s="153"/>
      <c r="FU14" s="153"/>
      <c r="FV14" s="153"/>
      <c r="FW14" s="153"/>
      <c r="FX14" s="153"/>
      <c r="FY14" s="153"/>
      <c r="FZ14" s="153"/>
      <c r="GA14" s="153"/>
      <c r="GB14" s="153"/>
      <c r="GC14" s="153"/>
      <c r="GD14" s="153"/>
      <c r="GE14" s="153"/>
      <c r="GF14" s="153"/>
      <c r="GG14" s="153"/>
      <c r="GH14" s="153"/>
      <c r="GI14" s="153"/>
      <c r="GJ14" s="153"/>
      <c r="GK14" s="153"/>
      <c r="GL14" s="153"/>
      <c r="GM14" s="153"/>
      <c r="GN14" s="153"/>
      <c r="GO14" s="153"/>
      <c r="GP14" s="153"/>
      <c r="GQ14" s="153"/>
      <c r="GR14" s="153"/>
      <c r="GS14" s="153"/>
      <c r="GT14" s="153"/>
      <c r="GU14" s="153"/>
      <c r="GV14" s="153"/>
      <c r="GW14" s="153"/>
      <c r="GX14" s="153"/>
      <c r="GY14" s="153"/>
      <c r="GZ14" s="153"/>
      <c r="HA14" s="153"/>
      <c r="HB14" s="153"/>
      <c r="HC14" s="153"/>
      <c r="HD14" s="153"/>
      <c r="HE14" s="153"/>
      <c r="HF14" s="153"/>
      <c r="HG14" s="153"/>
      <c r="HH14" s="153"/>
      <c r="HI14" s="153"/>
      <c r="HJ14" s="153"/>
      <c r="HK14" s="153"/>
      <c r="HL14" s="153"/>
      <c r="HM14" s="153"/>
      <c r="HN14" s="153"/>
      <c r="HO14" s="153"/>
      <c r="HP14" s="153"/>
      <c r="HQ14" s="153"/>
      <c r="HR14" s="153"/>
      <c r="HS14" s="153"/>
      <c r="HT14" s="153"/>
      <c r="HU14" s="153"/>
      <c r="HV14" s="153"/>
      <c r="HW14" s="153"/>
      <c r="HX14" s="153"/>
      <c r="HY14" s="153"/>
      <c r="HZ14" s="153"/>
      <c r="IA14" s="153"/>
      <c r="IB14" s="153"/>
      <c r="IC14" s="153"/>
      <c r="ID14" s="153"/>
      <c r="IE14" s="153"/>
      <c r="IF14" s="153"/>
      <c r="IG14" s="153"/>
      <c r="IH14" s="153"/>
      <c r="II14" s="153"/>
      <c r="IJ14" s="153"/>
      <c r="IK14" s="153"/>
      <c r="IL14" s="153"/>
      <c r="IM14" s="153"/>
      <c r="IN14" s="153"/>
      <c r="IO14" s="153"/>
      <c r="IP14" s="153"/>
      <c r="IQ14" s="153"/>
      <c r="IR14" s="153"/>
      <c r="IS14" s="153"/>
      <c r="IT14" s="153"/>
      <c r="IU14" s="153"/>
      <c r="IV14" s="153"/>
      <c r="IW14" s="153"/>
      <c r="IX14" s="153"/>
      <c r="IY14" s="153"/>
      <c r="IZ14" s="153"/>
      <c r="JA14" s="153"/>
      <c r="JB14" s="153"/>
      <c r="JC14" s="153"/>
      <c r="JD14" s="153"/>
      <c r="JE14" s="153"/>
      <c r="JF14" s="153"/>
      <c r="JG14" s="153"/>
      <c r="JH14" s="153"/>
      <c r="JI14" s="153"/>
      <c r="JJ14" s="153" t="str">
        <f>"" &amp; TEXT(AE14,"#0.00%") &amp; "/" &amp; TEXT(AD14,"#0.00% ") &amp; "" &amp; "" &amp; " " &amp; ""</f>
        <v xml:space="preserve">0.00%/0.00%  </v>
      </c>
      <c r="JK14" s="153"/>
      <c r="JL14" s="153"/>
      <c r="JM14" s="153"/>
      <c r="JN14" s="153"/>
      <c r="JO14" s="153"/>
      <c r="JP14" s="153"/>
      <c r="JQ14" s="153"/>
      <c r="JR14" s="153"/>
      <c r="JS14" s="153"/>
      <c r="JT14" s="153"/>
      <c r="JU14" s="153"/>
      <c r="JV14" s="153"/>
      <c r="JW14" s="153"/>
    </row>
    <row r="15" spans="1:283" ht="12" customHeight="1" outlineLevel="2">
      <c r="A15" s="123"/>
      <c r="B15" s="123"/>
      <c r="C15" s="123">
        <v>3</v>
      </c>
      <c r="D15" s="151" t="s">
        <v>1433</v>
      </c>
      <c r="E15" s="124"/>
      <c r="F15" s="124"/>
      <c r="G15" s="243" t="s">
        <v>1448</v>
      </c>
      <c r="H15" s="243"/>
      <c r="I15" s="244"/>
      <c r="J15" s="244"/>
      <c r="K15" s="124"/>
      <c r="L15" s="124"/>
      <c r="M15" s="124"/>
      <c r="N15" s="124"/>
      <c r="O15" s="124"/>
      <c r="P15" s="125">
        <v>46053</v>
      </c>
      <c r="Q15" s="125">
        <v>46053</v>
      </c>
      <c r="R15" s="124"/>
      <c r="S15" s="126">
        <v>0</v>
      </c>
      <c r="T15" s="126">
        <v>0</v>
      </c>
      <c r="U15" s="126">
        <v>0</v>
      </c>
      <c r="V15" s="126">
        <v>0</v>
      </c>
      <c r="W15" s="125"/>
      <c r="X15" s="125"/>
      <c r="Y15" s="127">
        <v>0</v>
      </c>
      <c r="Z15" s="128">
        <v>0</v>
      </c>
      <c r="AA15" s="126">
        <v>1</v>
      </c>
      <c r="AB15" s="124"/>
      <c r="AC15" s="129"/>
      <c r="AD15" s="150">
        <v>0</v>
      </c>
      <c r="AE15" s="251">
        <v>0</v>
      </c>
      <c r="AF15" s="18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53"/>
      <c r="BH15" s="153"/>
      <c r="BI15" s="153"/>
      <c r="BJ15" s="153"/>
      <c r="BK15" s="153"/>
      <c r="BL15" s="153"/>
      <c r="BM15" s="153"/>
      <c r="BN15" s="153"/>
      <c r="BO15" s="153"/>
      <c r="BP15" s="153"/>
      <c r="BQ15" s="153"/>
      <c r="BR15" s="153"/>
      <c r="BS15" s="153"/>
      <c r="BT15" s="153"/>
      <c r="BU15" s="153"/>
      <c r="BV15" s="153"/>
      <c r="BW15" s="153"/>
      <c r="BX15" s="153"/>
      <c r="BY15" s="153"/>
      <c r="BZ15" s="153"/>
      <c r="CA15" s="153"/>
      <c r="CB15" s="153"/>
      <c r="CC15" s="153"/>
      <c r="CD15" s="153"/>
      <c r="CE15" s="153"/>
      <c r="CF15" s="153"/>
      <c r="CG15" s="153"/>
      <c r="CH15" s="153"/>
      <c r="CI15" s="153"/>
      <c r="CJ15" s="153"/>
      <c r="CK15" s="153"/>
      <c r="CL15" s="153"/>
      <c r="CM15" s="153"/>
      <c r="CN15" s="153"/>
      <c r="CO15" s="153"/>
      <c r="CP15" s="153"/>
      <c r="CQ15" s="153"/>
      <c r="CR15" s="153"/>
      <c r="CS15" s="153"/>
      <c r="CT15" s="153"/>
      <c r="CU15" s="153"/>
      <c r="CV15" s="153"/>
      <c r="CW15" s="153"/>
      <c r="CX15" s="153"/>
      <c r="CY15" s="153"/>
      <c r="CZ15" s="153"/>
      <c r="DA15" s="153"/>
      <c r="DB15" s="153"/>
      <c r="DC15" s="153"/>
      <c r="DD15" s="153"/>
      <c r="DE15" s="153"/>
      <c r="DF15" s="153"/>
      <c r="DG15" s="153"/>
      <c r="DH15" s="153"/>
      <c r="DI15" s="153"/>
      <c r="DJ15" s="153"/>
      <c r="DK15" s="153"/>
      <c r="DL15" s="153"/>
      <c r="DM15" s="153"/>
      <c r="DN15" s="153"/>
      <c r="DO15" s="153"/>
      <c r="DP15" s="153"/>
      <c r="DQ15" s="153"/>
      <c r="DR15" s="153"/>
      <c r="DS15" s="153"/>
      <c r="DT15" s="153"/>
      <c r="DU15" s="153"/>
      <c r="DV15" s="153"/>
      <c r="DW15" s="153"/>
      <c r="DX15" s="153"/>
      <c r="DY15" s="153"/>
      <c r="DZ15" s="153"/>
      <c r="EA15" s="153"/>
      <c r="EB15" s="153"/>
      <c r="EC15" s="153"/>
      <c r="ED15" s="153"/>
      <c r="EE15" s="153"/>
      <c r="EF15" s="153"/>
      <c r="EG15" s="153"/>
      <c r="EH15" s="153"/>
      <c r="EI15" s="153"/>
      <c r="EJ15" s="153"/>
      <c r="EK15" s="153"/>
      <c r="EL15" s="153"/>
      <c r="EM15" s="153"/>
      <c r="EN15" s="153"/>
      <c r="EO15" s="153"/>
      <c r="EP15" s="153"/>
      <c r="EQ15" s="153"/>
      <c r="ER15" s="153"/>
      <c r="ES15" s="153"/>
      <c r="ET15" s="153"/>
      <c r="EU15" s="153"/>
      <c r="EV15" s="153"/>
      <c r="EW15" s="153"/>
      <c r="EX15" s="153"/>
      <c r="EY15" s="153"/>
      <c r="EZ15" s="153"/>
      <c r="FA15" s="153"/>
      <c r="FB15" s="153"/>
      <c r="FC15" s="153"/>
      <c r="FD15" s="153"/>
      <c r="FE15" s="153"/>
      <c r="FF15" s="153"/>
      <c r="FG15" s="153"/>
      <c r="FH15" s="153"/>
      <c r="FI15" s="153"/>
      <c r="FJ15" s="153"/>
      <c r="FK15" s="153"/>
      <c r="FL15" s="153"/>
      <c r="FM15" s="153"/>
      <c r="FN15" s="153"/>
      <c r="FO15" s="153"/>
      <c r="FP15" s="153"/>
      <c r="FQ15" s="153"/>
      <c r="FR15" s="153"/>
      <c r="FS15" s="153"/>
      <c r="FT15" s="153"/>
      <c r="FU15" s="153"/>
      <c r="FV15" s="153"/>
      <c r="FW15" s="153"/>
      <c r="FX15" s="153"/>
      <c r="FY15" s="153"/>
      <c r="FZ15" s="153"/>
      <c r="GA15" s="153"/>
      <c r="GB15" s="153"/>
      <c r="GC15" s="153"/>
      <c r="GD15" s="153"/>
      <c r="GE15" s="153"/>
      <c r="GF15" s="153"/>
      <c r="GG15" s="153"/>
      <c r="GH15" s="153"/>
      <c r="GI15" s="153"/>
      <c r="GJ15" s="153"/>
      <c r="GK15" s="153"/>
      <c r="GL15" s="153"/>
      <c r="GM15" s="153"/>
      <c r="GN15" s="153"/>
      <c r="GO15" s="153"/>
      <c r="GP15" s="153"/>
      <c r="GQ15" s="153"/>
      <c r="GR15" s="153"/>
      <c r="GS15" s="153"/>
      <c r="GT15" s="153"/>
      <c r="GU15" s="153"/>
      <c r="GV15" s="153"/>
      <c r="GW15" s="153"/>
      <c r="GX15" s="153"/>
      <c r="GY15" s="153"/>
      <c r="GZ15" s="153"/>
      <c r="HA15" s="153"/>
      <c r="HB15" s="153"/>
      <c r="HC15" s="153"/>
      <c r="HD15" s="153"/>
      <c r="HE15" s="153"/>
      <c r="HF15" s="153"/>
      <c r="HG15" s="153"/>
      <c r="HH15" s="153"/>
      <c r="HI15" s="153"/>
      <c r="HJ15" s="153"/>
      <c r="HK15" s="153"/>
      <c r="HL15" s="153"/>
      <c r="HM15" s="153"/>
      <c r="HN15" s="153"/>
      <c r="HO15" s="153"/>
      <c r="HP15" s="153"/>
      <c r="HQ15" s="153"/>
      <c r="HR15" s="153"/>
      <c r="HS15" s="153"/>
      <c r="HT15" s="153"/>
      <c r="HU15" s="153"/>
      <c r="HV15" s="153"/>
      <c r="HW15" s="153"/>
      <c r="HX15" s="153"/>
      <c r="HY15" s="153"/>
      <c r="HZ15" s="153"/>
      <c r="IA15" s="153"/>
      <c r="IB15" s="153"/>
      <c r="IC15" s="153"/>
      <c r="ID15" s="153"/>
      <c r="IE15" s="153"/>
      <c r="IF15" s="153"/>
      <c r="IG15" s="153"/>
      <c r="IH15" s="153"/>
      <c r="II15" s="153"/>
      <c r="IJ15" s="153"/>
      <c r="IK15" s="153"/>
      <c r="IL15" s="153"/>
      <c r="IM15" s="153"/>
      <c r="IN15" s="153"/>
      <c r="IO15" s="153"/>
      <c r="IP15" s="153"/>
      <c r="IQ15" s="153"/>
      <c r="IR15" s="153"/>
      <c r="IS15" s="153"/>
      <c r="IT15" s="153"/>
      <c r="IU15" s="153"/>
      <c r="IV15" s="153"/>
      <c r="IW15" s="153"/>
      <c r="IX15" s="153"/>
      <c r="IY15" s="153"/>
      <c r="IZ15" s="153"/>
      <c r="JA15" s="153"/>
      <c r="JB15" s="153"/>
      <c r="JC15" s="153"/>
      <c r="JD15" s="153"/>
      <c r="JE15" s="153"/>
      <c r="JF15" s="153"/>
      <c r="JG15" s="153"/>
      <c r="JH15" s="153"/>
      <c r="JI15" s="153"/>
      <c r="JJ15" s="153"/>
      <c r="JK15" s="153"/>
      <c r="JL15" s="153"/>
      <c r="JM15" s="153"/>
      <c r="JN15" s="153"/>
      <c r="JO15" s="153" t="str">
        <f>"" &amp; TEXT(AE15,"#0.00%") &amp; "/" &amp; TEXT(AD15,"#0.00% ") &amp; "" &amp; "" &amp; " " &amp; ""</f>
        <v xml:space="preserve">0.00%/0.00%  </v>
      </c>
      <c r="JP15" s="153"/>
      <c r="JQ15" s="153"/>
      <c r="JR15" s="153"/>
      <c r="JS15" s="153"/>
      <c r="JT15" s="153"/>
      <c r="JU15" s="153"/>
      <c r="JV15" s="153"/>
      <c r="JW15" s="153"/>
    </row>
    <row r="16" spans="1:283" ht="12" customHeight="1" outlineLevel="1">
      <c r="A16" s="123"/>
      <c r="B16" s="123" t="s">
        <v>1934</v>
      </c>
      <c r="C16" s="123">
        <v>2</v>
      </c>
      <c r="D16" s="151" t="s">
        <v>1971</v>
      </c>
      <c r="E16" s="124"/>
      <c r="F16" s="124" t="s">
        <v>1425</v>
      </c>
      <c r="G16" s="124"/>
      <c r="H16" s="124"/>
      <c r="I16" s="124"/>
      <c r="J16" s="124"/>
      <c r="K16" s="124"/>
      <c r="L16" s="124"/>
      <c r="M16" s="124"/>
      <c r="N16" s="124"/>
      <c r="O16" s="124"/>
      <c r="P16" s="125">
        <v>45824</v>
      </c>
      <c r="Q16" s="125">
        <v>45867</v>
      </c>
      <c r="R16" s="124"/>
      <c r="S16" s="126">
        <v>24</v>
      </c>
      <c r="T16" s="126">
        <v>24</v>
      </c>
      <c r="U16" s="126">
        <v>32</v>
      </c>
      <c r="V16" s="126">
        <v>32</v>
      </c>
      <c r="W16" s="125">
        <v>45824</v>
      </c>
      <c r="X16" s="125">
        <v>45867</v>
      </c>
      <c r="Y16" s="127">
        <v>24</v>
      </c>
      <c r="Z16" s="128">
        <v>32</v>
      </c>
      <c r="AA16" s="126"/>
      <c r="AB16" s="124"/>
      <c r="AC16" s="129"/>
      <c r="AD16" s="150">
        <v>1</v>
      </c>
      <c r="AE16" s="252">
        <v>1</v>
      </c>
      <c r="AF16" s="183"/>
      <c r="AG16" s="153"/>
      <c r="AH16" s="153"/>
      <c r="AI16" s="153"/>
      <c r="AJ16" s="153"/>
      <c r="AK16" s="153"/>
      <c r="AL16" s="153"/>
      <c r="AM16" s="153"/>
      <c r="AN16" s="153"/>
      <c r="AO16" s="153"/>
      <c r="AP16" s="153"/>
      <c r="AQ16" s="153"/>
      <c r="AR16" s="153"/>
      <c r="AS16" s="153"/>
      <c r="AT16" s="153"/>
      <c r="AU16" s="153"/>
      <c r="AV16" s="153"/>
      <c r="AW16" s="153"/>
      <c r="AX16" s="153"/>
      <c r="AY16" s="153"/>
      <c r="AZ16" s="153"/>
      <c r="BA16" s="153"/>
      <c r="BB16" s="153"/>
      <c r="BC16" s="153"/>
      <c r="BD16" s="153"/>
      <c r="BE16" s="153"/>
      <c r="BF16" s="153"/>
      <c r="BG16" s="153"/>
      <c r="BH16" s="153"/>
      <c r="BI16" s="153"/>
      <c r="BJ16" s="153"/>
      <c r="BK16" s="153"/>
      <c r="BL16" s="153"/>
      <c r="BM16" s="153"/>
      <c r="BN16" s="153"/>
      <c r="BO16" s="153"/>
      <c r="BP16" s="153"/>
      <c r="BQ16" s="153"/>
      <c r="BR16" s="153"/>
      <c r="BS16" s="153"/>
      <c r="BT16" s="153"/>
      <c r="BU16" s="153"/>
      <c r="BV16" s="153"/>
      <c r="BW16" s="153"/>
      <c r="BX16" s="153"/>
      <c r="BY16" s="153"/>
      <c r="BZ16" s="153"/>
      <c r="CA16" s="153"/>
      <c r="CB16" s="153"/>
      <c r="CC16" s="153"/>
      <c r="CD16" s="153"/>
      <c r="CE16" s="153"/>
      <c r="CF16" s="153"/>
      <c r="CG16" s="153"/>
      <c r="CH16" s="153"/>
      <c r="CI16" s="153"/>
      <c r="CJ16" s="153"/>
      <c r="CK16" s="153"/>
      <c r="CL16" s="153" t="str">
        <f>"" &amp; TEXT(AE16,"#0.00%") &amp; "/" &amp; TEXT(AD16,"#0.00% ") &amp; "" &amp; "" &amp; " " &amp; ""</f>
        <v xml:space="preserve">100.00%/100.00%  </v>
      </c>
      <c r="CM16" s="153"/>
      <c r="CN16" s="153"/>
      <c r="CO16" s="153"/>
      <c r="CP16" s="153"/>
      <c r="CQ16" s="153"/>
      <c r="CR16" s="153"/>
      <c r="CS16" s="153"/>
      <c r="CT16" s="153"/>
      <c r="CU16" s="153"/>
      <c r="CV16" s="153"/>
      <c r="CW16" s="153"/>
      <c r="CX16" s="153"/>
      <c r="CY16" s="153"/>
      <c r="CZ16" s="153"/>
      <c r="DA16" s="153"/>
      <c r="DB16" s="153"/>
      <c r="DC16" s="153"/>
      <c r="DD16" s="153"/>
      <c r="DE16" s="153"/>
      <c r="DF16" s="153"/>
      <c r="DG16" s="153"/>
      <c r="DH16" s="153"/>
      <c r="DI16" s="153"/>
      <c r="DJ16" s="153"/>
      <c r="DK16" s="153"/>
      <c r="DL16" s="153"/>
      <c r="DM16" s="153"/>
      <c r="DN16" s="153"/>
      <c r="DO16" s="153"/>
      <c r="DP16" s="153"/>
      <c r="DQ16" s="153"/>
      <c r="DR16" s="153"/>
      <c r="DS16" s="153"/>
      <c r="DT16" s="153"/>
      <c r="DU16" s="153"/>
      <c r="DV16" s="153"/>
      <c r="DW16" s="153"/>
      <c r="DX16" s="153"/>
      <c r="DY16" s="153"/>
      <c r="DZ16" s="153"/>
      <c r="EA16" s="153"/>
      <c r="EB16" s="153"/>
      <c r="EC16" s="153"/>
      <c r="ED16" s="153"/>
      <c r="EE16" s="153"/>
      <c r="EF16" s="153"/>
      <c r="EG16" s="153"/>
      <c r="EH16" s="153"/>
      <c r="EI16" s="153"/>
      <c r="EJ16" s="153"/>
      <c r="EK16" s="153"/>
      <c r="EL16" s="153"/>
      <c r="EM16" s="153"/>
      <c r="EN16" s="153"/>
      <c r="EO16" s="153"/>
      <c r="EP16" s="153"/>
      <c r="EQ16" s="153"/>
      <c r="ER16" s="153"/>
      <c r="ES16" s="153"/>
      <c r="ET16" s="153"/>
      <c r="EU16" s="153"/>
      <c r="EV16" s="153"/>
      <c r="EW16" s="153"/>
      <c r="EX16" s="153"/>
      <c r="EY16" s="153"/>
      <c r="EZ16" s="153"/>
      <c r="FA16" s="153"/>
      <c r="FB16" s="153"/>
      <c r="FC16" s="153"/>
      <c r="FD16" s="153"/>
      <c r="FE16" s="153"/>
      <c r="FF16" s="153"/>
      <c r="FG16" s="153"/>
      <c r="FH16" s="153"/>
      <c r="FI16" s="153"/>
      <c r="FJ16" s="153"/>
      <c r="FK16" s="153"/>
      <c r="FL16" s="153"/>
      <c r="FM16" s="153"/>
      <c r="FN16" s="153"/>
      <c r="FO16" s="153"/>
      <c r="FP16" s="153"/>
      <c r="FQ16" s="153"/>
      <c r="FR16" s="153"/>
      <c r="FS16" s="153"/>
      <c r="FT16" s="153"/>
      <c r="FU16" s="153"/>
      <c r="FV16" s="153"/>
      <c r="FW16" s="153"/>
      <c r="FX16" s="153"/>
      <c r="FY16" s="153"/>
      <c r="FZ16" s="153"/>
      <c r="GA16" s="153"/>
      <c r="GB16" s="153"/>
      <c r="GC16" s="153"/>
      <c r="GD16" s="153"/>
      <c r="GE16" s="153"/>
      <c r="GF16" s="153"/>
      <c r="GG16" s="153"/>
      <c r="GH16" s="153"/>
      <c r="GI16" s="153"/>
      <c r="GJ16" s="153"/>
      <c r="GK16" s="153"/>
      <c r="GL16" s="153"/>
      <c r="GM16" s="153"/>
      <c r="GN16" s="153"/>
      <c r="GO16" s="153"/>
      <c r="GP16" s="153"/>
      <c r="GQ16" s="153"/>
      <c r="GR16" s="153"/>
      <c r="GS16" s="153"/>
      <c r="GT16" s="153"/>
      <c r="GU16" s="153"/>
      <c r="GV16" s="153"/>
      <c r="GW16" s="153"/>
      <c r="GX16" s="153"/>
      <c r="GY16" s="153"/>
      <c r="GZ16" s="153"/>
      <c r="HA16" s="153"/>
      <c r="HB16" s="153"/>
      <c r="HC16" s="153"/>
      <c r="HD16" s="153"/>
      <c r="HE16" s="153"/>
      <c r="HF16" s="153"/>
      <c r="HG16" s="153"/>
      <c r="HH16" s="153"/>
      <c r="HI16" s="153"/>
      <c r="HJ16" s="153"/>
      <c r="HK16" s="153"/>
      <c r="HL16" s="153"/>
      <c r="HM16" s="153"/>
      <c r="HN16" s="153"/>
      <c r="HO16" s="153"/>
      <c r="HP16" s="153"/>
      <c r="HQ16" s="153"/>
      <c r="HR16" s="153"/>
      <c r="HS16" s="153"/>
      <c r="HT16" s="153"/>
      <c r="HU16" s="153"/>
      <c r="HV16" s="153"/>
      <c r="HW16" s="153"/>
      <c r="HX16" s="153"/>
      <c r="HY16" s="153"/>
      <c r="HZ16" s="153"/>
      <c r="IA16" s="153"/>
      <c r="IB16" s="153"/>
      <c r="IC16" s="153"/>
      <c r="ID16" s="153"/>
      <c r="IE16" s="153"/>
      <c r="IF16" s="153"/>
      <c r="IG16" s="153"/>
      <c r="IH16" s="153"/>
      <c r="II16" s="153"/>
      <c r="IJ16" s="153"/>
      <c r="IK16" s="153"/>
      <c r="IL16" s="153"/>
      <c r="IM16" s="153"/>
      <c r="IN16" s="153"/>
      <c r="IO16" s="153"/>
      <c r="IP16" s="153"/>
      <c r="IQ16" s="153"/>
      <c r="IR16" s="153"/>
      <c r="IS16" s="153"/>
      <c r="IT16" s="153"/>
      <c r="IU16" s="153"/>
      <c r="IV16" s="153"/>
      <c r="IW16" s="153"/>
      <c r="IX16" s="153"/>
      <c r="IY16" s="153"/>
      <c r="IZ16" s="153"/>
      <c r="JA16" s="153"/>
      <c r="JB16" s="153"/>
      <c r="JC16" s="153"/>
      <c r="JD16" s="153"/>
      <c r="JE16" s="153"/>
      <c r="JF16" s="153"/>
      <c r="JG16" s="153"/>
      <c r="JH16" s="153"/>
      <c r="JI16" s="153"/>
      <c r="JJ16" s="153"/>
      <c r="JK16" s="153"/>
      <c r="JL16" s="153"/>
      <c r="JM16" s="153"/>
      <c r="JN16" s="153"/>
      <c r="JO16" s="153"/>
      <c r="JP16" s="153"/>
      <c r="JQ16" s="153"/>
      <c r="JR16" s="153"/>
      <c r="JS16" s="153"/>
      <c r="JT16" s="153"/>
      <c r="JU16" s="153"/>
      <c r="JV16" s="153"/>
      <c r="JW16" s="153"/>
    </row>
    <row r="17" spans="1:283" ht="12" customHeight="1" outlineLevel="2">
      <c r="A17" s="123"/>
      <c r="B17" s="123" t="s">
        <v>1934</v>
      </c>
      <c r="C17" s="123">
        <v>3</v>
      </c>
      <c r="D17" s="151" t="s">
        <v>1972</v>
      </c>
      <c r="E17" s="124"/>
      <c r="F17" s="124"/>
      <c r="G17" s="124" t="s">
        <v>1598</v>
      </c>
      <c r="H17" s="124"/>
      <c r="I17" s="124"/>
      <c r="J17" s="124"/>
      <c r="K17" s="124"/>
      <c r="L17" s="124"/>
      <c r="M17" s="124"/>
      <c r="N17" s="124"/>
      <c r="O17" s="124"/>
      <c r="P17" s="125">
        <v>45824</v>
      </c>
      <c r="Q17" s="125">
        <v>45853</v>
      </c>
      <c r="R17" s="124"/>
      <c r="S17" s="126">
        <v>23</v>
      </c>
      <c r="T17" s="126">
        <v>23</v>
      </c>
      <c r="U17" s="126">
        <v>22</v>
      </c>
      <c r="V17" s="126">
        <v>22</v>
      </c>
      <c r="W17" s="125">
        <v>45824</v>
      </c>
      <c r="X17" s="125">
        <v>45853</v>
      </c>
      <c r="Y17" s="127">
        <v>23</v>
      </c>
      <c r="Z17" s="128">
        <v>22</v>
      </c>
      <c r="AA17" s="126"/>
      <c r="AB17" s="124"/>
      <c r="AC17" s="129"/>
      <c r="AD17" s="150">
        <v>1</v>
      </c>
      <c r="AE17" s="252">
        <v>1</v>
      </c>
      <c r="AF17" s="183"/>
      <c r="AG17" s="153"/>
      <c r="AH17" s="153"/>
      <c r="AI17" s="153"/>
      <c r="AJ17" s="153"/>
      <c r="AK17" s="153"/>
      <c r="AL17" s="153"/>
      <c r="AM17" s="153"/>
      <c r="AN17" s="153"/>
      <c r="AO17" s="153"/>
      <c r="AP17" s="153"/>
      <c r="AQ17" s="153"/>
      <c r="AR17" s="153"/>
      <c r="AS17" s="153"/>
      <c r="AT17" s="153"/>
      <c r="AU17" s="153"/>
      <c r="AV17" s="153"/>
      <c r="AW17" s="153"/>
      <c r="AX17" s="153"/>
      <c r="AY17" s="153"/>
      <c r="AZ17" s="153"/>
      <c r="BA17" s="153"/>
      <c r="BB17" s="153"/>
      <c r="BC17" s="153"/>
      <c r="BD17" s="153"/>
      <c r="BE17" s="153"/>
      <c r="BF17" s="153"/>
      <c r="BG17" s="153"/>
      <c r="BH17" s="153"/>
      <c r="BI17" s="153"/>
      <c r="BJ17" s="153"/>
      <c r="BK17" s="153"/>
      <c r="BL17" s="153"/>
      <c r="BM17" s="153"/>
      <c r="BN17" s="153"/>
      <c r="BO17" s="153"/>
      <c r="BP17" s="153"/>
      <c r="BQ17" s="153"/>
      <c r="BR17" s="153"/>
      <c r="BS17" s="153"/>
      <c r="BT17" s="153"/>
      <c r="BU17" s="153"/>
      <c r="BV17" s="153"/>
      <c r="BW17" s="153"/>
      <c r="BX17" s="153" t="str">
        <f>"" &amp; TEXT(AE17,"#0.00%") &amp; "/" &amp; TEXT(AD17,"#0.00% ") &amp; "" &amp; "" &amp; " " &amp; ""</f>
        <v xml:space="preserve">100.00%/100.00%  </v>
      </c>
      <c r="BY17" s="153"/>
      <c r="BZ17" s="153"/>
      <c r="CA17" s="153"/>
      <c r="CB17" s="153"/>
      <c r="CC17" s="153"/>
      <c r="CD17" s="153"/>
      <c r="CE17" s="153"/>
      <c r="CF17" s="153"/>
      <c r="CG17" s="153"/>
      <c r="CH17" s="153"/>
      <c r="CI17" s="153"/>
      <c r="CJ17" s="153"/>
      <c r="CK17" s="153"/>
      <c r="CL17" s="153"/>
      <c r="CM17" s="153"/>
      <c r="CN17" s="153"/>
      <c r="CO17" s="153"/>
      <c r="CP17" s="153"/>
      <c r="CQ17" s="153"/>
      <c r="CR17" s="153"/>
      <c r="CS17" s="153"/>
      <c r="CT17" s="153"/>
      <c r="CU17" s="153"/>
      <c r="CV17" s="153"/>
      <c r="CW17" s="153"/>
      <c r="CX17" s="153"/>
      <c r="CY17" s="153"/>
      <c r="CZ17" s="153"/>
      <c r="DA17" s="153"/>
      <c r="DB17" s="153"/>
      <c r="DC17" s="153"/>
      <c r="DD17" s="153"/>
      <c r="DE17" s="153"/>
      <c r="DF17" s="153"/>
      <c r="DG17" s="153"/>
      <c r="DH17" s="153"/>
      <c r="DI17" s="153"/>
      <c r="DJ17" s="153"/>
      <c r="DK17" s="153"/>
      <c r="DL17" s="153"/>
      <c r="DM17" s="153"/>
      <c r="DN17" s="153"/>
      <c r="DO17" s="153"/>
      <c r="DP17" s="153"/>
      <c r="DQ17" s="153"/>
      <c r="DR17" s="153"/>
      <c r="DS17" s="153"/>
      <c r="DT17" s="153"/>
      <c r="DU17" s="153"/>
      <c r="DV17" s="153"/>
      <c r="DW17" s="153"/>
      <c r="DX17" s="153"/>
      <c r="DY17" s="153"/>
      <c r="DZ17" s="153"/>
      <c r="EA17" s="153"/>
      <c r="EB17" s="153"/>
      <c r="EC17" s="153"/>
      <c r="ED17" s="153"/>
      <c r="EE17" s="153"/>
      <c r="EF17" s="153"/>
      <c r="EG17" s="153"/>
      <c r="EH17" s="153"/>
      <c r="EI17" s="153"/>
      <c r="EJ17" s="153"/>
      <c r="EK17" s="153"/>
      <c r="EL17" s="153"/>
      <c r="EM17" s="153"/>
      <c r="EN17" s="153"/>
      <c r="EO17" s="153"/>
      <c r="EP17" s="153"/>
      <c r="EQ17" s="153"/>
      <c r="ER17" s="153"/>
      <c r="ES17" s="153"/>
      <c r="ET17" s="153"/>
      <c r="EU17" s="153"/>
      <c r="EV17" s="153"/>
      <c r="EW17" s="153"/>
      <c r="EX17" s="153"/>
      <c r="EY17" s="153"/>
      <c r="EZ17" s="153"/>
      <c r="FA17" s="153"/>
      <c r="FB17" s="153"/>
      <c r="FC17" s="153"/>
      <c r="FD17" s="153"/>
      <c r="FE17" s="153"/>
      <c r="FF17" s="153"/>
      <c r="FG17" s="153"/>
      <c r="FH17" s="153"/>
      <c r="FI17" s="153"/>
      <c r="FJ17" s="153"/>
      <c r="FK17" s="153"/>
      <c r="FL17" s="153"/>
      <c r="FM17" s="153"/>
      <c r="FN17" s="153"/>
      <c r="FO17" s="153"/>
      <c r="FP17" s="153"/>
      <c r="FQ17" s="153"/>
      <c r="FR17" s="153"/>
      <c r="FS17" s="153"/>
      <c r="FT17" s="153"/>
      <c r="FU17" s="153"/>
      <c r="FV17" s="153"/>
      <c r="FW17" s="153"/>
      <c r="FX17" s="153"/>
      <c r="FY17" s="153"/>
      <c r="FZ17" s="153"/>
      <c r="GA17" s="153"/>
      <c r="GB17" s="153"/>
      <c r="GC17" s="153"/>
      <c r="GD17" s="153"/>
      <c r="GE17" s="153"/>
      <c r="GF17" s="153"/>
      <c r="GG17" s="153"/>
      <c r="GH17" s="153"/>
      <c r="GI17" s="153"/>
      <c r="GJ17" s="153"/>
      <c r="GK17" s="153"/>
      <c r="GL17" s="153"/>
      <c r="GM17" s="153"/>
      <c r="GN17" s="153"/>
      <c r="GO17" s="153"/>
      <c r="GP17" s="153"/>
      <c r="GQ17" s="153"/>
      <c r="GR17" s="153"/>
      <c r="GS17" s="153"/>
      <c r="GT17" s="153"/>
      <c r="GU17" s="153"/>
      <c r="GV17" s="153"/>
      <c r="GW17" s="153"/>
      <c r="GX17" s="153"/>
      <c r="GY17" s="153"/>
      <c r="GZ17" s="153"/>
      <c r="HA17" s="153"/>
      <c r="HB17" s="153"/>
      <c r="HC17" s="153"/>
      <c r="HD17" s="153"/>
      <c r="HE17" s="153"/>
      <c r="HF17" s="153"/>
      <c r="HG17" s="153"/>
      <c r="HH17" s="153"/>
      <c r="HI17" s="153"/>
      <c r="HJ17" s="153"/>
      <c r="HK17" s="153"/>
      <c r="HL17" s="153"/>
      <c r="HM17" s="153"/>
      <c r="HN17" s="153"/>
      <c r="HO17" s="153"/>
      <c r="HP17" s="153"/>
      <c r="HQ17" s="153"/>
      <c r="HR17" s="153"/>
      <c r="HS17" s="153"/>
      <c r="HT17" s="153"/>
      <c r="HU17" s="153"/>
      <c r="HV17" s="153"/>
      <c r="HW17" s="153"/>
      <c r="HX17" s="153"/>
      <c r="HY17" s="153"/>
      <c r="HZ17" s="153"/>
      <c r="IA17" s="153"/>
      <c r="IB17" s="153"/>
      <c r="IC17" s="153"/>
      <c r="ID17" s="153"/>
      <c r="IE17" s="153"/>
      <c r="IF17" s="153"/>
      <c r="IG17" s="153"/>
      <c r="IH17" s="153"/>
      <c r="II17" s="153"/>
      <c r="IJ17" s="153"/>
      <c r="IK17" s="153"/>
      <c r="IL17" s="153"/>
      <c r="IM17" s="153"/>
      <c r="IN17" s="153"/>
      <c r="IO17" s="153"/>
      <c r="IP17" s="153"/>
      <c r="IQ17" s="153"/>
      <c r="IR17" s="153"/>
      <c r="IS17" s="153"/>
      <c r="IT17" s="153"/>
      <c r="IU17" s="153"/>
      <c r="IV17" s="153"/>
      <c r="IW17" s="153"/>
      <c r="IX17" s="153"/>
      <c r="IY17" s="153"/>
      <c r="IZ17" s="153"/>
      <c r="JA17" s="153"/>
      <c r="JB17" s="153"/>
      <c r="JC17" s="153"/>
      <c r="JD17" s="153"/>
      <c r="JE17" s="153"/>
      <c r="JF17" s="153"/>
      <c r="JG17" s="153"/>
      <c r="JH17" s="153"/>
      <c r="JI17" s="153"/>
      <c r="JJ17" s="153"/>
      <c r="JK17" s="153"/>
      <c r="JL17" s="153"/>
      <c r="JM17" s="153"/>
      <c r="JN17" s="153"/>
      <c r="JO17" s="153"/>
      <c r="JP17" s="153"/>
      <c r="JQ17" s="153"/>
      <c r="JR17" s="153"/>
      <c r="JS17" s="153"/>
      <c r="JT17" s="153"/>
      <c r="JU17" s="153"/>
      <c r="JV17" s="153"/>
      <c r="JW17" s="153"/>
    </row>
    <row r="18" spans="1:283" ht="12" customHeight="1" outlineLevel="3">
      <c r="A18" s="123"/>
      <c r="B18" s="123"/>
      <c r="C18" s="123">
        <v>4</v>
      </c>
      <c r="D18" s="151" t="s">
        <v>1973</v>
      </c>
      <c r="E18" s="124"/>
      <c r="F18" s="124"/>
      <c r="G18" s="124"/>
      <c r="H18" s="124" t="s">
        <v>1599</v>
      </c>
      <c r="I18" s="124"/>
      <c r="J18" s="124"/>
      <c r="K18" s="124"/>
      <c r="L18" s="124"/>
      <c r="M18" s="124"/>
      <c r="N18" s="124"/>
      <c r="O18" s="124"/>
      <c r="P18" s="125">
        <v>45824</v>
      </c>
      <c r="Q18" s="125">
        <v>45824</v>
      </c>
      <c r="R18" s="124"/>
      <c r="S18" s="126">
        <v>1</v>
      </c>
      <c r="T18" s="126">
        <v>1</v>
      </c>
      <c r="U18" s="126">
        <v>1</v>
      </c>
      <c r="V18" s="126">
        <v>1</v>
      </c>
      <c r="W18" s="125">
        <v>45824</v>
      </c>
      <c r="X18" s="125">
        <v>45824</v>
      </c>
      <c r="Y18" s="127">
        <v>1</v>
      </c>
      <c r="Z18" s="128">
        <v>1</v>
      </c>
      <c r="AA18" s="126">
        <v>1</v>
      </c>
      <c r="AB18" s="124"/>
      <c r="AC18" s="129"/>
      <c r="AD18" s="150">
        <v>1</v>
      </c>
      <c r="AE18" s="251">
        <v>1</v>
      </c>
      <c r="AF18" s="183"/>
      <c r="AG18" s="153"/>
      <c r="AH18" s="153"/>
      <c r="AI18" s="153"/>
      <c r="AJ18" s="153"/>
      <c r="AK18" s="153"/>
      <c r="AL18" s="153"/>
      <c r="AM18" s="153"/>
      <c r="AN18" s="153"/>
      <c r="AO18" s="153"/>
      <c r="AP18" s="153"/>
      <c r="AQ18" s="153"/>
      <c r="AR18" s="153"/>
      <c r="AS18" s="153"/>
      <c r="AT18" s="153"/>
      <c r="AU18" s="153" t="str">
        <f>"" &amp; TEXT(AE18,"#0.00%") &amp; "/" &amp; TEXT(AD18,"#0.00% ") &amp; "" &amp; "" &amp; " " &amp; ""</f>
        <v xml:space="preserve">100.00%/100.00%  </v>
      </c>
      <c r="AV18" s="153"/>
      <c r="AW18" s="153"/>
      <c r="AX18" s="153"/>
      <c r="AY18" s="153"/>
      <c r="AZ18" s="153"/>
      <c r="BA18" s="153"/>
      <c r="BB18" s="153"/>
      <c r="BC18" s="153"/>
      <c r="BD18" s="153"/>
      <c r="BE18" s="153"/>
      <c r="BF18" s="153"/>
      <c r="BG18" s="153"/>
      <c r="BH18" s="153"/>
      <c r="BI18" s="153"/>
      <c r="BJ18" s="153"/>
      <c r="BK18" s="153"/>
      <c r="BL18" s="153"/>
      <c r="BM18" s="153"/>
      <c r="BN18" s="153"/>
      <c r="BO18" s="153"/>
      <c r="BP18" s="153"/>
      <c r="BQ18" s="153"/>
      <c r="BR18" s="153"/>
      <c r="BS18" s="153"/>
      <c r="BT18" s="153"/>
      <c r="BU18" s="153"/>
      <c r="BV18" s="153"/>
      <c r="BW18" s="153"/>
      <c r="BX18" s="153"/>
      <c r="BY18" s="153"/>
      <c r="BZ18" s="153"/>
      <c r="CA18" s="153"/>
      <c r="CB18" s="153"/>
      <c r="CC18" s="153"/>
      <c r="CD18" s="153"/>
      <c r="CE18" s="153"/>
      <c r="CF18" s="153"/>
      <c r="CG18" s="153"/>
      <c r="CH18" s="153"/>
      <c r="CI18" s="153"/>
      <c r="CJ18" s="153"/>
      <c r="CK18" s="153"/>
      <c r="CL18" s="153"/>
      <c r="CM18" s="153"/>
      <c r="CN18" s="153"/>
      <c r="CO18" s="153"/>
      <c r="CP18" s="153"/>
      <c r="CQ18" s="153"/>
      <c r="CR18" s="153"/>
      <c r="CS18" s="153"/>
      <c r="CT18" s="153"/>
      <c r="CU18" s="153"/>
      <c r="CV18" s="153"/>
      <c r="CW18" s="153"/>
      <c r="CX18" s="153"/>
      <c r="CY18" s="153"/>
      <c r="CZ18" s="153"/>
      <c r="DA18" s="153"/>
      <c r="DB18" s="153"/>
      <c r="DC18" s="153"/>
      <c r="DD18" s="153"/>
      <c r="DE18" s="153"/>
      <c r="DF18" s="153"/>
      <c r="DG18" s="153"/>
      <c r="DH18" s="153"/>
      <c r="DI18" s="153"/>
      <c r="DJ18" s="153"/>
      <c r="DK18" s="153"/>
      <c r="DL18" s="153"/>
      <c r="DM18" s="153"/>
      <c r="DN18" s="153"/>
      <c r="DO18" s="153"/>
      <c r="DP18" s="153"/>
      <c r="DQ18" s="153"/>
      <c r="DR18" s="153"/>
      <c r="DS18" s="153"/>
      <c r="DT18" s="153"/>
      <c r="DU18" s="153"/>
      <c r="DV18" s="153"/>
      <c r="DW18" s="153"/>
      <c r="DX18" s="153"/>
      <c r="DY18" s="153"/>
      <c r="DZ18" s="153"/>
      <c r="EA18" s="153"/>
      <c r="EB18" s="153"/>
      <c r="EC18" s="153"/>
      <c r="ED18" s="153"/>
      <c r="EE18" s="153"/>
      <c r="EF18" s="153"/>
      <c r="EG18" s="153"/>
      <c r="EH18" s="153"/>
      <c r="EI18" s="153"/>
      <c r="EJ18" s="153"/>
      <c r="EK18" s="153"/>
      <c r="EL18" s="153"/>
      <c r="EM18" s="153"/>
      <c r="EN18" s="153"/>
      <c r="EO18" s="153"/>
      <c r="EP18" s="153"/>
      <c r="EQ18" s="153"/>
      <c r="ER18" s="153"/>
      <c r="ES18" s="153"/>
      <c r="ET18" s="153"/>
      <c r="EU18" s="153"/>
      <c r="EV18" s="153"/>
      <c r="EW18" s="153"/>
      <c r="EX18" s="153"/>
      <c r="EY18" s="153"/>
      <c r="EZ18" s="153"/>
      <c r="FA18" s="153"/>
      <c r="FB18" s="153"/>
      <c r="FC18" s="153"/>
      <c r="FD18" s="153"/>
      <c r="FE18" s="153"/>
      <c r="FF18" s="153"/>
      <c r="FG18" s="153"/>
      <c r="FH18" s="153"/>
      <c r="FI18" s="153"/>
      <c r="FJ18" s="153"/>
      <c r="FK18" s="153"/>
      <c r="FL18" s="153"/>
      <c r="FM18" s="153"/>
      <c r="FN18" s="153"/>
      <c r="FO18" s="153"/>
      <c r="FP18" s="153"/>
      <c r="FQ18" s="153"/>
      <c r="FR18" s="153"/>
      <c r="FS18" s="153"/>
      <c r="FT18" s="153"/>
      <c r="FU18" s="153"/>
      <c r="FV18" s="153"/>
      <c r="FW18" s="153"/>
      <c r="FX18" s="153"/>
      <c r="FY18" s="153"/>
      <c r="FZ18" s="153"/>
      <c r="GA18" s="153"/>
      <c r="GB18" s="153"/>
      <c r="GC18" s="153"/>
      <c r="GD18" s="153"/>
      <c r="GE18" s="153"/>
      <c r="GF18" s="153"/>
      <c r="GG18" s="153"/>
      <c r="GH18" s="153"/>
      <c r="GI18" s="153"/>
      <c r="GJ18" s="153"/>
      <c r="GK18" s="153"/>
      <c r="GL18" s="153"/>
      <c r="GM18" s="153"/>
      <c r="GN18" s="153"/>
      <c r="GO18" s="153"/>
      <c r="GP18" s="153"/>
      <c r="GQ18" s="153"/>
      <c r="GR18" s="153"/>
      <c r="GS18" s="153"/>
      <c r="GT18" s="153"/>
      <c r="GU18" s="153"/>
      <c r="GV18" s="153"/>
      <c r="GW18" s="153"/>
      <c r="GX18" s="153"/>
      <c r="GY18" s="153"/>
      <c r="GZ18" s="153"/>
      <c r="HA18" s="153"/>
      <c r="HB18" s="153"/>
      <c r="HC18" s="153"/>
      <c r="HD18" s="153"/>
      <c r="HE18" s="153"/>
      <c r="HF18" s="153"/>
      <c r="HG18" s="153"/>
      <c r="HH18" s="153"/>
      <c r="HI18" s="153"/>
      <c r="HJ18" s="153"/>
      <c r="HK18" s="153"/>
      <c r="HL18" s="153"/>
      <c r="HM18" s="153"/>
      <c r="HN18" s="153"/>
      <c r="HO18" s="153"/>
      <c r="HP18" s="153"/>
      <c r="HQ18" s="153"/>
      <c r="HR18" s="153"/>
      <c r="HS18" s="153"/>
      <c r="HT18" s="153"/>
      <c r="HU18" s="153"/>
      <c r="HV18" s="153"/>
      <c r="HW18" s="153"/>
      <c r="HX18" s="153"/>
      <c r="HY18" s="153"/>
      <c r="HZ18" s="153"/>
      <c r="IA18" s="153"/>
      <c r="IB18" s="153"/>
      <c r="IC18" s="153"/>
      <c r="ID18" s="153"/>
      <c r="IE18" s="153"/>
      <c r="IF18" s="153"/>
      <c r="IG18" s="153"/>
      <c r="IH18" s="153"/>
      <c r="II18" s="153"/>
      <c r="IJ18" s="153"/>
      <c r="IK18" s="153"/>
      <c r="IL18" s="153"/>
      <c r="IM18" s="153"/>
      <c r="IN18" s="153"/>
      <c r="IO18" s="153"/>
      <c r="IP18" s="153"/>
      <c r="IQ18" s="153"/>
      <c r="IR18" s="153"/>
      <c r="IS18" s="153"/>
      <c r="IT18" s="153"/>
      <c r="IU18" s="153"/>
      <c r="IV18" s="153"/>
      <c r="IW18" s="153"/>
      <c r="IX18" s="153"/>
      <c r="IY18" s="153"/>
      <c r="IZ18" s="153"/>
      <c r="JA18" s="153"/>
      <c r="JB18" s="153"/>
      <c r="JC18" s="153"/>
      <c r="JD18" s="153"/>
      <c r="JE18" s="153"/>
      <c r="JF18" s="153"/>
      <c r="JG18" s="153"/>
      <c r="JH18" s="153"/>
      <c r="JI18" s="153"/>
      <c r="JJ18" s="153"/>
      <c r="JK18" s="153"/>
      <c r="JL18" s="153"/>
      <c r="JM18" s="153"/>
      <c r="JN18" s="153"/>
      <c r="JO18" s="153"/>
      <c r="JP18" s="153"/>
      <c r="JQ18" s="153"/>
      <c r="JR18" s="153"/>
      <c r="JS18" s="153"/>
      <c r="JT18" s="153"/>
      <c r="JU18" s="153"/>
      <c r="JV18" s="153"/>
      <c r="JW18" s="153"/>
    </row>
    <row r="19" spans="1:283" ht="12" customHeight="1" outlineLevel="3">
      <c r="A19" s="123"/>
      <c r="B19" s="123"/>
      <c r="C19" s="123">
        <v>4</v>
      </c>
      <c r="D19" s="151" t="s">
        <v>1974</v>
      </c>
      <c r="E19" s="124"/>
      <c r="F19" s="124"/>
      <c r="G19" s="124"/>
      <c r="H19" s="124" t="s">
        <v>1917</v>
      </c>
      <c r="I19" s="124"/>
      <c r="J19" s="124"/>
      <c r="K19" s="124"/>
      <c r="L19" s="124"/>
      <c r="M19" s="124"/>
      <c r="N19" s="124"/>
      <c r="O19" s="124"/>
      <c r="P19" s="125">
        <v>45824</v>
      </c>
      <c r="Q19" s="125">
        <v>45853</v>
      </c>
      <c r="R19" s="124"/>
      <c r="S19" s="126">
        <v>22</v>
      </c>
      <c r="T19" s="126">
        <v>22</v>
      </c>
      <c r="U19" s="126">
        <v>22</v>
      </c>
      <c r="V19" s="126">
        <v>22</v>
      </c>
      <c r="W19" s="125">
        <v>45824</v>
      </c>
      <c r="X19" s="125">
        <v>45853</v>
      </c>
      <c r="Y19" s="127">
        <v>22</v>
      </c>
      <c r="Z19" s="128">
        <v>22</v>
      </c>
      <c r="AA19" s="126">
        <v>1</v>
      </c>
      <c r="AB19" s="124"/>
      <c r="AC19" s="129" t="s">
        <v>1830</v>
      </c>
      <c r="AD19" s="150">
        <v>1</v>
      </c>
      <c r="AE19" s="251">
        <v>1</v>
      </c>
      <c r="AF19" s="183"/>
      <c r="AG19" s="153"/>
      <c r="AH19" s="153"/>
      <c r="AI19" s="153"/>
      <c r="AJ19" s="153"/>
      <c r="AK19" s="153"/>
      <c r="AL19" s="153"/>
      <c r="AM19" s="153"/>
      <c r="AN19" s="153"/>
      <c r="AO19" s="153"/>
      <c r="AP19" s="153"/>
      <c r="AQ19" s="153"/>
      <c r="AR19" s="153"/>
      <c r="AS19" s="153"/>
      <c r="AT19" s="153"/>
      <c r="AU19" s="153"/>
      <c r="AV19" s="153"/>
      <c r="AW19" s="153"/>
      <c r="AX19" s="153"/>
      <c r="AY19" s="153"/>
      <c r="AZ19" s="153"/>
      <c r="BA19" s="153"/>
      <c r="BB19" s="153"/>
      <c r="BC19" s="153"/>
      <c r="BD19" s="153"/>
      <c r="BE19" s="153"/>
      <c r="BF19" s="153"/>
      <c r="BG19" s="153"/>
      <c r="BH19" s="153"/>
      <c r="BI19" s="153"/>
      <c r="BJ19" s="153"/>
      <c r="BK19" s="153"/>
      <c r="BL19" s="153"/>
      <c r="BM19" s="153"/>
      <c r="BN19" s="153"/>
      <c r="BO19" s="153"/>
      <c r="BP19" s="153"/>
      <c r="BQ19" s="153"/>
      <c r="BR19" s="153"/>
      <c r="BS19" s="153"/>
      <c r="BT19" s="153"/>
      <c r="BU19" s="153"/>
      <c r="BV19" s="153"/>
      <c r="BW19" s="153"/>
      <c r="BX19" s="153" t="str">
        <f>"" &amp; TEXT(AE19,"#0.00%") &amp; "/" &amp; TEXT(AD19,"#0.00% ") &amp; "" &amp; "" &amp; " " &amp; ""</f>
        <v xml:space="preserve">100.00%/100.00%  </v>
      </c>
      <c r="BY19" s="153"/>
      <c r="BZ19" s="153"/>
      <c r="CA19" s="153"/>
      <c r="CB19" s="153"/>
      <c r="CC19" s="153"/>
      <c r="CD19" s="153"/>
      <c r="CE19" s="153"/>
      <c r="CF19" s="153"/>
      <c r="CG19" s="153"/>
      <c r="CH19" s="153"/>
      <c r="CI19" s="153"/>
      <c r="CJ19" s="153"/>
      <c r="CK19" s="153"/>
      <c r="CL19" s="153"/>
      <c r="CM19" s="153"/>
      <c r="CN19" s="153"/>
      <c r="CO19" s="153"/>
      <c r="CP19" s="153"/>
      <c r="CQ19" s="153"/>
      <c r="CR19" s="153"/>
      <c r="CS19" s="153"/>
      <c r="CT19" s="153"/>
      <c r="CU19" s="153"/>
      <c r="CV19" s="153"/>
      <c r="CW19" s="153"/>
      <c r="CX19" s="153"/>
      <c r="CY19" s="153"/>
      <c r="CZ19" s="153"/>
      <c r="DA19" s="153"/>
      <c r="DB19" s="153"/>
      <c r="DC19" s="153"/>
      <c r="DD19" s="153"/>
      <c r="DE19" s="153"/>
      <c r="DF19" s="153"/>
      <c r="DG19" s="153"/>
      <c r="DH19" s="153"/>
      <c r="DI19" s="153"/>
      <c r="DJ19" s="153"/>
      <c r="DK19" s="153"/>
      <c r="DL19" s="153"/>
      <c r="DM19" s="153"/>
      <c r="DN19" s="153"/>
      <c r="DO19" s="153"/>
      <c r="DP19" s="153"/>
      <c r="DQ19" s="153"/>
      <c r="DR19" s="153"/>
      <c r="DS19" s="153"/>
      <c r="DT19" s="153"/>
      <c r="DU19" s="153"/>
      <c r="DV19" s="153"/>
      <c r="DW19" s="153"/>
      <c r="DX19" s="153"/>
      <c r="DY19" s="153"/>
      <c r="DZ19" s="153"/>
      <c r="EA19" s="153"/>
      <c r="EB19" s="153"/>
      <c r="EC19" s="153"/>
      <c r="ED19" s="153"/>
      <c r="EE19" s="153"/>
      <c r="EF19" s="153"/>
      <c r="EG19" s="153"/>
      <c r="EH19" s="153"/>
      <c r="EI19" s="153"/>
      <c r="EJ19" s="153"/>
      <c r="EK19" s="153"/>
      <c r="EL19" s="153"/>
      <c r="EM19" s="153"/>
      <c r="EN19" s="153"/>
      <c r="EO19" s="153"/>
      <c r="EP19" s="153"/>
      <c r="EQ19" s="153"/>
      <c r="ER19" s="153"/>
      <c r="ES19" s="153"/>
      <c r="ET19" s="153"/>
      <c r="EU19" s="153"/>
      <c r="EV19" s="153"/>
      <c r="EW19" s="153"/>
      <c r="EX19" s="153"/>
      <c r="EY19" s="153"/>
      <c r="EZ19" s="153"/>
      <c r="FA19" s="153"/>
      <c r="FB19" s="153"/>
      <c r="FC19" s="153"/>
      <c r="FD19" s="153"/>
      <c r="FE19" s="153"/>
      <c r="FF19" s="153"/>
      <c r="FG19" s="153"/>
      <c r="FH19" s="153"/>
      <c r="FI19" s="153"/>
      <c r="FJ19" s="153"/>
      <c r="FK19" s="153"/>
      <c r="FL19" s="153"/>
      <c r="FM19" s="153"/>
      <c r="FN19" s="153"/>
      <c r="FO19" s="153"/>
      <c r="FP19" s="153"/>
      <c r="FQ19" s="153"/>
      <c r="FR19" s="153"/>
      <c r="FS19" s="153"/>
      <c r="FT19" s="153"/>
      <c r="FU19" s="153"/>
      <c r="FV19" s="153"/>
      <c r="FW19" s="153"/>
      <c r="FX19" s="153"/>
      <c r="FY19" s="153"/>
      <c r="FZ19" s="153"/>
      <c r="GA19" s="153"/>
      <c r="GB19" s="153"/>
      <c r="GC19" s="153"/>
      <c r="GD19" s="153"/>
      <c r="GE19" s="153"/>
      <c r="GF19" s="153"/>
      <c r="GG19" s="153"/>
      <c r="GH19" s="153"/>
      <c r="GI19" s="153"/>
      <c r="GJ19" s="153"/>
      <c r="GK19" s="153"/>
      <c r="GL19" s="153"/>
      <c r="GM19" s="153"/>
      <c r="GN19" s="153"/>
      <c r="GO19" s="153"/>
      <c r="GP19" s="153"/>
      <c r="GQ19" s="153"/>
      <c r="GR19" s="153"/>
      <c r="GS19" s="153"/>
      <c r="GT19" s="153"/>
      <c r="GU19" s="153"/>
      <c r="GV19" s="153"/>
      <c r="GW19" s="153"/>
      <c r="GX19" s="153"/>
      <c r="GY19" s="153"/>
      <c r="GZ19" s="153"/>
      <c r="HA19" s="153"/>
      <c r="HB19" s="153"/>
      <c r="HC19" s="153"/>
      <c r="HD19" s="153"/>
      <c r="HE19" s="153"/>
      <c r="HF19" s="153"/>
      <c r="HG19" s="153"/>
      <c r="HH19" s="153"/>
      <c r="HI19" s="153"/>
      <c r="HJ19" s="153"/>
      <c r="HK19" s="153"/>
      <c r="HL19" s="153"/>
      <c r="HM19" s="153"/>
      <c r="HN19" s="153"/>
      <c r="HO19" s="153"/>
      <c r="HP19" s="153"/>
      <c r="HQ19" s="153"/>
      <c r="HR19" s="153"/>
      <c r="HS19" s="153"/>
      <c r="HT19" s="153"/>
      <c r="HU19" s="153"/>
      <c r="HV19" s="153"/>
      <c r="HW19" s="153"/>
      <c r="HX19" s="153"/>
      <c r="HY19" s="153"/>
      <c r="HZ19" s="153"/>
      <c r="IA19" s="153"/>
      <c r="IB19" s="153"/>
      <c r="IC19" s="153"/>
      <c r="ID19" s="153"/>
      <c r="IE19" s="153"/>
      <c r="IF19" s="153"/>
      <c r="IG19" s="153"/>
      <c r="IH19" s="153"/>
      <c r="II19" s="153"/>
      <c r="IJ19" s="153"/>
      <c r="IK19" s="153"/>
      <c r="IL19" s="153"/>
      <c r="IM19" s="153"/>
      <c r="IN19" s="153"/>
      <c r="IO19" s="153"/>
      <c r="IP19" s="153"/>
      <c r="IQ19" s="153"/>
      <c r="IR19" s="153"/>
      <c r="IS19" s="153"/>
      <c r="IT19" s="153"/>
      <c r="IU19" s="153"/>
      <c r="IV19" s="153"/>
      <c r="IW19" s="153"/>
      <c r="IX19" s="153"/>
      <c r="IY19" s="153"/>
      <c r="IZ19" s="153"/>
      <c r="JA19" s="153"/>
      <c r="JB19" s="153"/>
      <c r="JC19" s="153"/>
      <c r="JD19" s="153"/>
      <c r="JE19" s="153"/>
      <c r="JF19" s="153"/>
      <c r="JG19" s="153"/>
      <c r="JH19" s="153"/>
      <c r="JI19" s="153"/>
      <c r="JJ19" s="153"/>
      <c r="JK19" s="153"/>
      <c r="JL19" s="153"/>
      <c r="JM19" s="153"/>
      <c r="JN19" s="153"/>
      <c r="JO19" s="153"/>
      <c r="JP19" s="153"/>
      <c r="JQ19" s="153"/>
      <c r="JR19" s="153"/>
      <c r="JS19" s="153"/>
      <c r="JT19" s="153"/>
      <c r="JU19" s="153"/>
      <c r="JV19" s="153"/>
      <c r="JW19" s="153"/>
    </row>
    <row r="20" spans="1:283" ht="12" customHeight="1" outlineLevel="2">
      <c r="A20" s="123"/>
      <c r="B20" s="123" t="s">
        <v>1934</v>
      </c>
      <c r="C20" s="123">
        <v>3</v>
      </c>
      <c r="D20" s="151" t="s">
        <v>1975</v>
      </c>
      <c r="E20" s="124"/>
      <c r="F20" s="124"/>
      <c r="G20" s="124" t="s">
        <v>1601</v>
      </c>
      <c r="H20" s="124"/>
      <c r="I20" s="124"/>
      <c r="J20" s="124"/>
      <c r="K20" s="124"/>
      <c r="L20" s="124"/>
      <c r="M20" s="124"/>
      <c r="N20" s="124"/>
      <c r="O20" s="124"/>
      <c r="P20" s="125">
        <v>45867</v>
      </c>
      <c r="Q20" s="125">
        <v>45867</v>
      </c>
      <c r="R20" s="124"/>
      <c r="S20" s="126">
        <v>1</v>
      </c>
      <c r="T20" s="126">
        <v>1</v>
      </c>
      <c r="U20" s="126">
        <v>1</v>
      </c>
      <c r="V20" s="126">
        <v>1</v>
      </c>
      <c r="W20" s="125">
        <v>45867</v>
      </c>
      <c r="X20" s="125">
        <v>45867</v>
      </c>
      <c r="Y20" s="127">
        <v>1</v>
      </c>
      <c r="Z20" s="128">
        <v>1</v>
      </c>
      <c r="AA20" s="126"/>
      <c r="AB20" s="124"/>
      <c r="AC20" s="129"/>
      <c r="AD20" s="150">
        <v>1</v>
      </c>
      <c r="AE20" s="252">
        <v>1</v>
      </c>
      <c r="AF20" s="183"/>
      <c r="AG20" s="153"/>
      <c r="AH20" s="153"/>
      <c r="AI20" s="153"/>
      <c r="AJ20" s="153"/>
      <c r="AK20" s="153"/>
      <c r="AL20" s="153"/>
      <c r="AM20" s="153"/>
      <c r="AN20" s="153"/>
      <c r="AO20" s="153"/>
      <c r="AP20" s="153"/>
      <c r="AQ20" s="153"/>
      <c r="AR20" s="153"/>
      <c r="AS20" s="153"/>
      <c r="AT20" s="153"/>
      <c r="AU20" s="153"/>
      <c r="AV20" s="153"/>
      <c r="AW20" s="153"/>
      <c r="AX20" s="153"/>
      <c r="AY20" s="153"/>
      <c r="AZ20" s="153"/>
      <c r="BA20" s="153"/>
      <c r="BB20" s="153"/>
      <c r="BC20" s="153"/>
      <c r="BD20" s="153"/>
      <c r="BE20" s="153"/>
      <c r="BF20" s="153"/>
      <c r="BG20" s="153"/>
      <c r="BH20" s="153"/>
      <c r="BI20" s="153"/>
      <c r="BJ20" s="153"/>
      <c r="BK20" s="153"/>
      <c r="BL20" s="153"/>
      <c r="BM20" s="153"/>
      <c r="BN20" s="153"/>
      <c r="BO20" s="153"/>
      <c r="BP20" s="153"/>
      <c r="BQ20" s="153"/>
      <c r="BR20" s="153"/>
      <c r="BS20" s="153"/>
      <c r="BT20" s="153"/>
      <c r="BU20" s="153"/>
      <c r="BV20" s="153"/>
      <c r="BW20" s="153"/>
      <c r="BX20" s="153"/>
      <c r="BY20" s="153"/>
      <c r="BZ20" s="153"/>
      <c r="CA20" s="153"/>
      <c r="CB20" s="153"/>
      <c r="CC20" s="153"/>
      <c r="CD20" s="153"/>
      <c r="CE20" s="153"/>
      <c r="CF20" s="153"/>
      <c r="CG20" s="153"/>
      <c r="CH20" s="153"/>
      <c r="CI20" s="153"/>
      <c r="CJ20" s="153"/>
      <c r="CK20" s="153"/>
      <c r="CL20" s="153" t="str">
        <f>"" &amp; TEXT(AE20,"#0.00%") &amp; "/" &amp; TEXT(AD20,"#0.00% ") &amp; "" &amp; "" &amp; " " &amp; ""</f>
        <v xml:space="preserve">100.00%/100.00%  </v>
      </c>
      <c r="CM20" s="153"/>
      <c r="CN20" s="153"/>
      <c r="CO20" s="153"/>
      <c r="CP20" s="153"/>
      <c r="CQ20" s="153"/>
      <c r="CR20" s="153"/>
      <c r="CS20" s="153"/>
      <c r="CT20" s="153"/>
      <c r="CU20" s="153"/>
      <c r="CV20" s="153"/>
      <c r="CW20" s="153"/>
      <c r="CX20" s="153"/>
      <c r="CY20" s="153"/>
      <c r="CZ20" s="153"/>
      <c r="DA20" s="153"/>
      <c r="DB20" s="153"/>
      <c r="DC20" s="153"/>
      <c r="DD20" s="153"/>
      <c r="DE20" s="153"/>
      <c r="DF20" s="153"/>
      <c r="DG20" s="153"/>
      <c r="DH20" s="153"/>
      <c r="DI20" s="153"/>
      <c r="DJ20" s="153"/>
      <c r="DK20" s="153"/>
      <c r="DL20" s="153"/>
      <c r="DM20" s="153"/>
      <c r="DN20" s="153"/>
      <c r="DO20" s="153"/>
      <c r="DP20" s="153"/>
      <c r="DQ20" s="153"/>
      <c r="DR20" s="153"/>
      <c r="DS20" s="153"/>
      <c r="DT20" s="153"/>
      <c r="DU20" s="153"/>
      <c r="DV20" s="153"/>
      <c r="DW20" s="153"/>
      <c r="DX20" s="153"/>
      <c r="DY20" s="153"/>
      <c r="DZ20" s="153"/>
      <c r="EA20" s="153"/>
      <c r="EB20" s="153"/>
      <c r="EC20" s="153"/>
      <c r="ED20" s="153"/>
      <c r="EE20" s="153"/>
      <c r="EF20" s="153"/>
      <c r="EG20" s="153"/>
      <c r="EH20" s="153"/>
      <c r="EI20" s="153"/>
      <c r="EJ20" s="153"/>
      <c r="EK20" s="153"/>
      <c r="EL20" s="153"/>
      <c r="EM20" s="153"/>
      <c r="EN20" s="153"/>
      <c r="EO20" s="153"/>
      <c r="EP20" s="153"/>
      <c r="EQ20" s="153"/>
      <c r="ER20" s="153"/>
      <c r="ES20" s="153"/>
      <c r="ET20" s="153"/>
      <c r="EU20" s="153"/>
      <c r="EV20" s="153"/>
      <c r="EW20" s="153"/>
      <c r="EX20" s="153"/>
      <c r="EY20" s="153"/>
      <c r="EZ20" s="153"/>
      <c r="FA20" s="153"/>
      <c r="FB20" s="153"/>
      <c r="FC20" s="153"/>
      <c r="FD20" s="153"/>
      <c r="FE20" s="153"/>
      <c r="FF20" s="153"/>
      <c r="FG20" s="153"/>
      <c r="FH20" s="153"/>
      <c r="FI20" s="153"/>
      <c r="FJ20" s="153"/>
      <c r="FK20" s="153"/>
      <c r="FL20" s="153"/>
      <c r="FM20" s="153"/>
      <c r="FN20" s="153"/>
      <c r="FO20" s="153"/>
      <c r="FP20" s="153"/>
      <c r="FQ20" s="153"/>
      <c r="FR20" s="153"/>
      <c r="FS20" s="153"/>
      <c r="FT20" s="153"/>
      <c r="FU20" s="153"/>
      <c r="FV20" s="153"/>
      <c r="FW20" s="153"/>
      <c r="FX20" s="153"/>
      <c r="FY20" s="153"/>
      <c r="FZ20" s="153"/>
      <c r="GA20" s="153"/>
      <c r="GB20" s="153"/>
      <c r="GC20" s="153"/>
      <c r="GD20" s="153"/>
      <c r="GE20" s="153"/>
      <c r="GF20" s="153"/>
      <c r="GG20" s="153"/>
      <c r="GH20" s="153"/>
      <c r="GI20" s="153"/>
      <c r="GJ20" s="153"/>
      <c r="GK20" s="153"/>
      <c r="GL20" s="153"/>
      <c r="GM20" s="153"/>
      <c r="GN20" s="153"/>
      <c r="GO20" s="153"/>
      <c r="GP20" s="153"/>
      <c r="GQ20" s="153"/>
      <c r="GR20" s="153"/>
      <c r="GS20" s="153"/>
      <c r="GT20" s="153"/>
      <c r="GU20" s="153"/>
      <c r="GV20" s="153"/>
      <c r="GW20" s="153"/>
      <c r="GX20" s="153"/>
      <c r="GY20" s="153"/>
      <c r="GZ20" s="153"/>
      <c r="HA20" s="153"/>
      <c r="HB20" s="153"/>
      <c r="HC20" s="153"/>
      <c r="HD20" s="153"/>
      <c r="HE20" s="153"/>
      <c r="HF20" s="153"/>
      <c r="HG20" s="153"/>
      <c r="HH20" s="153"/>
      <c r="HI20" s="153"/>
      <c r="HJ20" s="153"/>
      <c r="HK20" s="153"/>
      <c r="HL20" s="153"/>
      <c r="HM20" s="153"/>
      <c r="HN20" s="153"/>
      <c r="HO20" s="153"/>
      <c r="HP20" s="153"/>
      <c r="HQ20" s="153"/>
      <c r="HR20" s="153"/>
      <c r="HS20" s="153"/>
      <c r="HT20" s="153"/>
      <c r="HU20" s="153"/>
      <c r="HV20" s="153"/>
      <c r="HW20" s="153"/>
      <c r="HX20" s="153"/>
      <c r="HY20" s="153"/>
      <c r="HZ20" s="153"/>
      <c r="IA20" s="153"/>
      <c r="IB20" s="153"/>
      <c r="IC20" s="153"/>
      <c r="ID20" s="153"/>
      <c r="IE20" s="153"/>
      <c r="IF20" s="153"/>
      <c r="IG20" s="153"/>
      <c r="IH20" s="153"/>
      <c r="II20" s="153"/>
      <c r="IJ20" s="153"/>
      <c r="IK20" s="153"/>
      <c r="IL20" s="153"/>
      <c r="IM20" s="153"/>
      <c r="IN20" s="153"/>
      <c r="IO20" s="153"/>
      <c r="IP20" s="153"/>
      <c r="IQ20" s="153"/>
      <c r="IR20" s="153"/>
      <c r="IS20" s="153"/>
      <c r="IT20" s="153"/>
      <c r="IU20" s="153"/>
      <c r="IV20" s="153"/>
      <c r="IW20" s="153"/>
      <c r="IX20" s="153"/>
      <c r="IY20" s="153"/>
      <c r="IZ20" s="153"/>
      <c r="JA20" s="153"/>
      <c r="JB20" s="153"/>
      <c r="JC20" s="153"/>
      <c r="JD20" s="153"/>
      <c r="JE20" s="153"/>
      <c r="JF20" s="153"/>
      <c r="JG20" s="153"/>
      <c r="JH20" s="153"/>
      <c r="JI20" s="153"/>
      <c r="JJ20" s="153"/>
      <c r="JK20" s="153"/>
      <c r="JL20" s="153"/>
      <c r="JM20" s="153"/>
      <c r="JN20" s="153"/>
      <c r="JO20" s="153"/>
      <c r="JP20" s="153"/>
      <c r="JQ20" s="153"/>
      <c r="JR20" s="153"/>
      <c r="JS20" s="153"/>
      <c r="JT20" s="153"/>
      <c r="JU20" s="153"/>
      <c r="JV20" s="153"/>
      <c r="JW20" s="153"/>
    </row>
    <row r="21" spans="1:283" ht="36" outlineLevel="3">
      <c r="A21" s="123"/>
      <c r="B21" s="123"/>
      <c r="C21" s="123">
        <v>4</v>
      </c>
      <c r="D21" s="151" t="s">
        <v>1976</v>
      </c>
      <c r="E21" s="124"/>
      <c r="F21" s="124"/>
      <c r="G21" s="124"/>
      <c r="H21" s="124" t="s">
        <v>1882</v>
      </c>
      <c r="I21" s="124"/>
      <c r="J21" s="124"/>
      <c r="K21" s="124"/>
      <c r="L21" s="124"/>
      <c r="M21" s="124"/>
      <c r="N21" s="124"/>
      <c r="O21" s="124"/>
      <c r="P21" s="125">
        <v>45867</v>
      </c>
      <c r="Q21" s="125">
        <v>45867</v>
      </c>
      <c r="R21" s="124"/>
      <c r="S21" s="126">
        <v>1</v>
      </c>
      <c r="T21" s="126">
        <v>1</v>
      </c>
      <c r="U21" s="126">
        <v>1</v>
      </c>
      <c r="V21" s="126">
        <v>1</v>
      </c>
      <c r="W21" s="125">
        <v>45867</v>
      </c>
      <c r="X21" s="125">
        <v>45867</v>
      </c>
      <c r="Y21" s="127">
        <v>1</v>
      </c>
      <c r="Z21" s="128">
        <v>1</v>
      </c>
      <c r="AA21" s="126">
        <v>1</v>
      </c>
      <c r="AB21" s="124"/>
      <c r="AC21" s="197" t="s">
        <v>1883</v>
      </c>
      <c r="AD21" s="150">
        <v>1</v>
      </c>
      <c r="AE21" s="251">
        <v>1</v>
      </c>
      <c r="AF21" s="183"/>
      <c r="AG21" s="153"/>
      <c r="AH21" s="153"/>
      <c r="AI21" s="153"/>
      <c r="AJ21" s="153"/>
      <c r="AK21" s="153"/>
      <c r="AL21" s="153"/>
      <c r="AM21" s="153"/>
      <c r="AN21" s="153"/>
      <c r="AO21" s="153"/>
      <c r="AP21" s="153"/>
      <c r="AQ21" s="153"/>
      <c r="AR21" s="153"/>
      <c r="AS21" s="153"/>
      <c r="AT21" s="153"/>
      <c r="AU21" s="153"/>
      <c r="AV21" s="153"/>
      <c r="AW21" s="153"/>
      <c r="AX21" s="153"/>
      <c r="AY21" s="153"/>
      <c r="AZ21" s="153"/>
      <c r="BA21" s="153"/>
      <c r="BB21" s="153"/>
      <c r="BC21" s="153"/>
      <c r="BD21" s="153"/>
      <c r="BE21" s="153"/>
      <c r="BF21" s="153"/>
      <c r="BG21" s="153"/>
      <c r="BH21" s="153"/>
      <c r="BI21" s="153"/>
      <c r="BJ21" s="153"/>
      <c r="BK21" s="153"/>
      <c r="BL21" s="153"/>
      <c r="BM21" s="153"/>
      <c r="BN21" s="153"/>
      <c r="BO21" s="153"/>
      <c r="BP21" s="153"/>
      <c r="BQ21" s="153"/>
      <c r="BR21" s="153"/>
      <c r="BS21" s="153"/>
      <c r="BT21" s="153"/>
      <c r="BU21" s="153"/>
      <c r="BV21" s="153"/>
      <c r="BW21" s="153"/>
      <c r="BX21" s="153"/>
      <c r="BY21" s="153"/>
      <c r="BZ21" s="153"/>
      <c r="CA21" s="153"/>
      <c r="CB21" s="153"/>
      <c r="CC21" s="153"/>
      <c r="CD21" s="153"/>
      <c r="CE21" s="153"/>
      <c r="CF21" s="153"/>
      <c r="CG21" s="153"/>
      <c r="CH21" s="153"/>
      <c r="CI21" s="153"/>
      <c r="CJ21" s="153"/>
      <c r="CK21" s="153"/>
      <c r="CL21" s="153" t="str">
        <f>"" &amp; TEXT(AE21,"#0.00%") &amp; "/" &amp; TEXT(AD21,"#0.00% ") &amp; "" &amp; "" &amp; " " &amp; ""</f>
        <v xml:space="preserve">100.00%/100.00%  </v>
      </c>
      <c r="CM21" s="153"/>
      <c r="CN21" s="153"/>
      <c r="CO21" s="153"/>
      <c r="CP21" s="153"/>
      <c r="CQ21" s="153"/>
      <c r="CR21" s="153"/>
      <c r="CS21" s="153"/>
      <c r="CT21" s="153"/>
      <c r="CU21" s="153"/>
      <c r="CV21" s="153"/>
      <c r="CW21" s="153"/>
      <c r="CX21" s="153"/>
      <c r="CY21" s="153"/>
      <c r="CZ21" s="153"/>
      <c r="DA21" s="153"/>
      <c r="DB21" s="153"/>
      <c r="DC21" s="153"/>
      <c r="DD21" s="153"/>
      <c r="DE21" s="153"/>
      <c r="DF21" s="153"/>
      <c r="DG21" s="153"/>
      <c r="DH21" s="153"/>
      <c r="DI21" s="153"/>
      <c r="DJ21" s="153"/>
      <c r="DK21" s="153"/>
      <c r="DL21" s="153"/>
      <c r="DM21" s="153"/>
      <c r="DN21" s="153"/>
      <c r="DO21" s="153"/>
      <c r="DP21" s="153"/>
      <c r="DQ21" s="153"/>
      <c r="DR21" s="153"/>
      <c r="DS21" s="153"/>
      <c r="DT21" s="153"/>
      <c r="DU21" s="153"/>
      <c r="DV21" s="153"/>
      <c r="DW21" s="153"/>
      <c r="DX21" s="153"/>
      <c r="DY21" s="153"/>
      <c r="DZ21" s="153"/>
      <c r="EA21" s="153"/>
      <c r="EB21" s="153"/>
      <c r="EC21" s="153"/>
      <c r="ED21" s="153"/>
      <c r="EE21" s="153"/>
      <c r="EF21" s="153"/>
      <c r="EG21" s="153"/>
      <c r="EH21" s="153"/>
      <c r="EI21" s="153"/>
      <c r="EJ21" s="153"/>
      <c r="EK21" s="153"/>
      <c r="EL21" s="153"/>
      <c r="EM21" s="153"/>
      <c r="EN21" s="153"/>
      <c r="EO21" s="153"/>
      <c r="EP21" s="153"/>
      <c r="EQ21" s="153"/>
      <c r="ER21" s="153"/>
      <c r="ES21" s="153"/>
      <c r="ET21" s="153"/>
      <c r="EU21" s="153"/>
      <c r="EV21" s="153"/>
      <c r="EW21" s="153"/>
      <c r="EX21" s="153"/>
      <c r="EY21" s="153"/>
      <c r="EZ21" s="153"/>
      <c r="FA21" s="153"/>
      <c r="FB21" s="153"/>
      <c r="FC21" s="153"/>
      <c r="FD21" s="153"/>
      <c r="FE21" s="153"/>
      <c r="FF21" s="153"/>
      <c r="FG21" s="153"/>
      <c r="FH21" s="153"/>
      <c r="FI21" s="153"/>
      <c r="FJ21" s="153"/>
      <c r="FK21" s="153"/>
      <c r="FL21" s="153"/>
      <c r="FM21" s="153"/>
      <c r="FN21" s="153"/>
      <c r="FO21" s="153"/>
      <c r="FP21" s="153"/>
      <c r="FQ21" s="153"/>
      <c r="FR21" s="153"/>
      <c r="FS21" s="153"/>
      <c r="FT21" s="153"/>
      <c r="FU21" s="153"/>
      <c r="FV21" s="153"/>
      <c r="FW21" s="153"/>
      <c r="FX21" s="153"/>
      <c r="FY21" s="153"/>
      <c r="FZ21" s="153"/>
      <c r="GA21" s="153"/>
      <c r="GB21" s="153"/>
      <c r="GC21" s="153"/>
      <c r="GD21" s="153"/>
      <c r="GE21" s="153"/>
      <c r="GF21" s="153"/>
      <c r="GG21" s="153"/>
      <c r="GH21" s="153"/>
      <c r="GI21" s="153"/>
      <c r="GJ21" s="153"/>
      <c r="GK21" s="153"/>
      <c r="GL21" s="153"/>
      <c r="GM21" s="153"/>
      <c r="GN21" s="153"/>
      <c r="GO21" s="153"/>
      <c r="GP21" s="153"/>
      <c r="GQ21" s="153"/>
      <c r="GR21" s="153"/>
      <c r="GS21" s="153"/>
      <c r="GT21" s="153"/>
      <c r="GU21" s="153"/>
      <c r="GV21" s="153"/>
      <c r="GW21" s="153"/>
      <c r="GX21" s="153"/>
      <c r="GY21" s="153"/>
      <c r="GZ21" s="153"/>
      <c r="HA21" s="153"/>
      <c r="HB21" s="153"/>
      <c r="HC21" s="153"/>
      <c r="HD21" s="153"/>
      <c r="HE21" s="153"/>
      <c r="HF21" s="153"/>
      <c r="HG21" s="153"/>
      <c r="HH21" s="153"/>
      <c r="HI21" s="153"/>
      <c r="HJ21" s="153"/>
      <c r="HK21" s="153"/>
      <c r="HL21" s="153"/>
      <c r="HM21" s="153"/>
      <c r="HN21" s="153"/>
      <c r="HO21" s="153"/>
      <c r="HP21" s="153"/>
      <c r="HQ21" s="153"/>
      <c r="HR21" s="153"/>
      <c r="HS21" s="153"/>
      <c r="HT21" s="153"/>
      <c r="HU21" s="153"/>
      <c r="HV21" s="153"/>
      <c r="HW21" s="153"/>
      <c r="HX21" s="153"/>
      <c r="HY21" s="153"/>
      <c r="HZ21" s="153"/>
      <c r="IA21" s="153"/>
      <c r="IB21" s="153"/>
      <c r="IC21" s="153"/>
      <c r="ID21" s="153"/>
      <c r="IE21" s="153"/>
      <c r="IF21" s="153"/>
      <c r="IG21" s="153"/>
      <c r="IH21" s="153"/>
      <c r="II21" s="153"/>
      <c r="IJ21" s="153"/>
      <c r="IK21" s="153"/>
      <c r="IL21" s="153"/>
      <c r="IM21" s="153"/>
      <c r="IN21" s="153"/>
      <c r="IO21" s="153"/>
      <c r="IP21" s="153"/>
      <c r="IQ21" s="153"/>
      <c r="IR21" s="153"/>
      <c r="IS21" s="153"/>
      <c r="IT21" s="153"/>
      <c r="IU21" s="153"/>
      <c r="IV21" s="153"/>
      <c r="IW21" s="153"/>
      <c r="IX21" s="153"/>
      <c r="IY21" s="153"/>
      <c r="IZ21" s="153"/>
      <c r="JA21" s="153"/>
      <c r="JB21" s="153"/>
      <c r="JC21" s="153"/>
      <c r="JD21" s="153"/>
      <c r="JE21" s="153"/>
      <c r="JF21" s="153"/>
      <c r="JG21" s="153"/>
      <c r="JH21" s="153"/>
      <c r="JI21" s="153"/>
      <c r="JJ21" s="153"/>
      <c r="JK21" s="153"/>
      <c r="JL21" s="153"/>
      <c r="JM21" s="153"/>
      <c r="JN21" s="153"/>
      <c r="JO21" s="153"/>
      <c r="JP21" s="153"/>
      <c r="JQ21" s="153"/>
      <c r="JR21" s="153"/>
      <c r="JS21" s="153"/>
      <c r="JT21" s="153"/>
      <c r="JU21" s="153"/>
      <c r="JV21" s="153"/>
      <c r="JW21" s="153"/>
    </row>
    <row r="22" spans="1:283" ht="12" customHeight="1" outlineLevel="1">
      <c r="A22" s="123"/>
      <c r="B22" s="123" t="s">
        <v>1934</v>
      </c>
      <c r="C22" s="123">
        <v>2</v>
      </c>
      <c r="D22" s="151" t="s">
        <v>1977</v>
      </c>
      <c r="E22" s="124"/>
      <c r="F22" s="124" t="s">
        <v>1428</v>
      </c>
      <c r="G22" s="124"/>
      <c r="H22" s="124"/>
      <c r="I22" s="124"/>
      <c r="J22" s="124"/>
      <c r="K22" s="124"/>
      <c r="L22" s="124"/>
      <c r="M22" s="124"/>
      <c r="N22" s="124"/>
      <c r="O22" s="124"/>
      <c r="P22" s="125">
        <v>45868</v>
      </c>
      <c r="Q22" s="125">
        <v>45898</v>
      </c>
      <c r="R22" s="124"/>
      <c r="S22" s="126">
        <v>69</v>
      </c>
      <c r="T22" s="126">
        <v>69</v>
      </c>
      <c r="U22" s="126">
        <v>22</v>
      </c>
      <c r="V22" s="126">
        <v>22</v>
      </c>
      <c r="W22" s="125">
        <v>45873</v>
      </c>
      <c r="X22" s="125">
        <v>45974</v>
      </c>
      <c r="Y22" s="127">
        <v>155</v>
      </c>
      <c r="Z22" s="128">
        <v>68</v>
      </c>
      <c r="AA22" s="126"/>
      <c r="AB22" s="124"/>
      <c r="AC22" s="129"/>
      <c r="AD22" s="150">
        <v>1</v>
      </c>
      <c r="AE22" s="252">
        <v>1</v>
      </c>
      <c r="AF22" s="183"/>
      <c r="AG22" s="153"/>
      <c r="AH22" s="153"/>
      <c r="AI22" s="153"/>
      <c r="AJ22" s="153"/>
      <c r="AK22" s="153"/>
      <c r="AL22" s="153"/>
      <c r="AM22" s="153"/>
      <c r="AN22" s="153"/>
      <c r="AO22" s="153"/>
      <c r="AP22" s="153"/>
      <c r="AQ22" s="153"/>
      <c r="AR22" s="153"/>
      <c r="AS22" s="153"/>
      <c r="AT22" s="153"/>
      <c r="AU22" s="153"/>
      <c r="AV22" s="153"/>
      <c r="AW22" s="153"/>
      <c r="AX22" s="153"/>
      <c r="AY22" s="153"/>
      <c r="AZ22" s="153"/>
      <c r="BA22" s="153"/>
      <c r="BB22" s="153"/>
      <c r="BC22" s="153"/>
      <c r="BD22" s="153"/>
      <c r="BE22" s="153"/>
      <c r="BF22" s="153"/>
      <c r="BG22" s="153"/>
      <c r="BH22" s="153"/>
      <c r="BI22" s="153"/>
      <c r="BJ22" s="153"/>
      <c r="BK22" s="153"/>
      <c r="BL22" s="153"/>
      <c r="BM22" s="153"/>
      <c r="BN22" s="153"/>
      <c r="BO22" s="153"/>
      <c r="BP22" s="153"/>
      <c r="BQ22" s="153"/>
      <c r="BR22" s="153"/>
      <c r="BS22" s="153"/>
      <c r="BT22" s="153"/>
      <c r="BU22" s="153"/>
      <c r="BV22" s="153"/>
      <c r="BW22" s="153"/>
      <c r="BX22" s="153"/>
      <c r="BY22" s="153"/>
      <c r="BZ22" s="153"/>
      <c r="CA22" s="153"/>
      <c r="CB22" s="153"/>
      <c r="CC22" s="153"/>
      <c r="CD22" s="153"/>
      <c r="CE22" s="153"/>
      <c r="CF22" s="153"/>
      <c r="CG22" s="153"/>
      <c r="CH22" s="153"/>
      <c r="CI22" s="153"/>
      <c r="CJ22" s="153"/>
      <c r="CK22" s="153"/>
      <c r="CL22" s="153"/>
      <c r="CM22" s="153"/>
      <c r="CN22" s="153"/>
      <c r="CO22" s="153"/>
      <c r="CP22" s="153"/>
      <c r="CQ22" s="153"/>
      <c r="CR22" s="153"/>
      <c r="CS22" s="153"/>
      <c r="CT22" s="153"/>
      <c r="CU22" s="153"/>
      <c r="CV22" s="153"/>
      <c r="CW22" s="153"/>
      <c r="CX22" s="153"/>
      <c r="CY22" s="153"/>
      <c r="CZ22" s="153"/>
      <c r="DA22" s="153"/>
      <c r="DB22" s="153"/>
      <c r="DC22" s="153"/>
      <c r="DD22" s="153"/>
      <c r="DE22" s="153"/>
      <c r="DF22" s="153"/>
      <c r="DG22" s="153"/>
      <c r="DH22" s="153"/>
      <c r="DI22" s="153"/>
      <c r="DJ22" s="153"/>
      <c r="DK22" s="153"/>
      <c r="DL22" s="153"/>
      <c r="DM22" s="153"/>
      <c r="DN22" s="153"/>
      <c r="DO22" s="153"/>
      <c r="DP22" s="153"/>
      <c r="DQ22" s="153"/>
      <c r="DR22" s="153"/>
      <c r="DS22" s="153"/>
      <c r="DT22" s="153"/>
      <c r="DU22" s="153"/>
      <c r="DV22" s="153"/>
      <c r="DW22" s="153"/>
      <c r="DX22" s="153"/>
      <c r="DY22" s="153"/>
      <c r="DZ22" s="153"/>
      <c r="EA22" s="153"/>
      <c r="EB22" s="153"/>
      <c r="EC22" s="153"/>
      <c r="ED22" s="153"/>
      <c r="EE22" s="153"/>
      <c r="EF22" s="153"/>
      <c r="EG22" s="153"/>
      <c r="EH22" s="153"/>
      <c r="EI22" s="153"/>
      <c r="EJ22" s="153"/>
      <c r="EK22" s="153"/>
      <c r="EL22" s="153"/>
      <c r="EM22" s="153"/>
      <c r="EN22" s="153"/>
      <c r="EO22" s="153"/>
      <c r="EP22" s="153"/>
      <c r="EQ22" s="153"/>
      <c r="ER22" s="153"/>
      <c r="ES22" s="153"/>
      <c r="ET22" s="153"/>
      <c r="EU22" s="153"/>
      <c r="EV22" s="153"/>
      <c r="EW22" s="153"/>
      <c r="EX22" s="153"/>
      <c r="EY22" s="153"/>
      <c r="EZ22" s="153"/>
      <c r="FA22" s="153"/>
      <c r="FB22" s="153"/>
      <c r="FC22" s="153"/>
      <c r="FD22" s="153"/>
      <c r="FE22" s="153"/>
      <c r="FF22" s="153"/>
      <c r="FG22" s="153"/>
      <c r="FH22" s="153"/>
      <c r="FI22" s="153"/>
      <c r="FJ22" s="153"/>
      <c r="FK22" s="153"/>
      <c r="FL22" s="153"/>
      <c r="FM22" s="153"/>
      <c r="FN22" s="153"/>
      <c r="FO22" s="153"/>
      <c r="FP22" s="153"/>
      <c r="FQ22" s="153"/>
      <c r="FR22" s="153"/>
      <c r="FS22" s="153"/>
      <c r="FT22" s="153"/>
      <c r="FU22" s="153"/>
      <c r="FV22" s="153"/>
      <c r="FW22" s="153"/>
      <c r="FX22" s="153"/>
      <c r="FY22" s="153"/>
      <c r="FZ22" s="153"/>
      <c r="GA22" s="153"/>
      <c r="GB22" s="153"/>
      <c r="GC22" s="153"/>
      <c r="GD22" s="153"/>
      <c r="GE22" s="153"/>
      <c r="GF22" s="153"/>
      <c r="GG22" s="153"/>
      <c r="GH22" s="153"/>
      <c r="GI22" s="153"/>
      <c r="GJ22" s="153"/>
      <c r="GK22" s="153"/>
      <c r="GL22" s="153"/>
      <c r="GM22" s="153"/>
      <c r="GN22" s="153"/>
      <c r="GO22" s="153" t="str">
        <f>"" &amp; TEXT(AE22,"#0.00%") &amp; "/" &amp; TEXT(AD22,"#0.00% ") &amp; "" &amp; "" &amp; " " &amp; ""</f>
        <v xml:space="preserve">100.00%/100.00%  </v>
      </c>
      <c r="GP22" s="153"/>
      <c r="GQ22" s="153"/>
      <c r="GR22" s="153"/>
      <c r="GS22" s="153"/>
      <c r="GT22" s="153"/>
      <c r="GU22" s="153"/>
      <c r="GV22" s="153"/>
      <c r="GW22" s="153"/>
      <c r="GX22" s="153"/>
      <c r="GY22" s="153"/>
      <c r="GZ22" s="153"/>
      <c r="HA22" s="153"/>
      <c r="HB22" s="153"/>
      <c r="HC22" s="153"/>
      <c r="HD22" s="153"/>
      <c r="HE22" s="153"/>
      <c r="HF22" s="153"/>
      <c r="HG22" s="153"/>
      <c r="HH22" s="153"/>
      <c r="HI22" s="153"/>
      <c r="HJ22" s="153"/>
      <c r="HK22" s="153"/>
      <c r="HL22" s="153"/>
      <c r="HM22" s="153"/>
      <c r="HN22" s="153"/>
      <c r="HO22" s="153"/>
      <c r="HP22" s="153"/>
      <c r="HQ22" s="153"/>
      <c r="HR22" s="153"/>
      <c r="HS22" s="153"/>
      <c r="HT22" s="153"/>
      <c r="HU22" s="153"/>
      <c r="HV22" s="153"/>
      <c r="HW22" s="153"/>
      <c r="HX22" s="153"/>
      <c r="HY22" s="153"/>
      <c r="HZ22" s="153"/>
      <c r="IA22" s="153"/>
      <c r="IB22" s="153"/>
      <c r="IC22" s="153"/>
      <c r="ID22" s="153"/>
      <c r="IE22" s="153"/>
      <c r="IF22" s="153"/>
      <c r="IG22" s="153"/>
      <c r="IH22" s="153"/>
      <c r="II22" s="153"/>
      <c r="IJ22" s="153"/>
      <c r="IK22" s="153"/>
      <c r="IL22" s="153"/>
      <c r="IM22" s="153"/>
      <c r="IN22" s="153"/>
      <c r="IO22" s="153"/>
      <c r="IP22" s="153"/>
      <c r="IQ22" s="153"/>
      <c r="IR22" s="153"/>
      <c r="IS22" s="153"/>
      <c r="IT22" s="153"/>
      <c r="IU22" s="153"/>
      <c r="IV22" s="153"/>
      <c r="IW22" s="153"/>
      <c r="IX22" s="153"/>
      <c r="IY22" s="153"/>
      <c r="IZ22" s="153"/>
      <c r="JA22" s="153"/>
      <c r="JB22" s="153"/>
      <c r="JC22" s="153"/>
      <c r="JD22" s="153"/>
      <c r="JE22" s="153"/>
      <c r="JF22" s="153"/>
      <c r="JG22" s="153"/>
      <c r="JH22" s="153"/>
      <c r="JI22" s="153"/>
      <c r="JJ22" s="153"/>
      <c r="JK22" s="153"/>
      <c r="JL22" s="153"/>
      <c r="JM22" s="153"/>
      <c r="JN22" s="153"/>
      <c r="JO22" s="153"/>
      <c r="JP22" s="153"/>
      <c r="JQ22" s="153"/>
      <c r="JR22" s="153"/>
      <c r="JS22" s="153"/>
      <c r="JT22" s="153"/>
      <c r="JU22" s="153"/>
      <c r="JV22" s="153"/>
      <c r="JW22" s="153"/>
    </row>
    <row r="23" spans="1:283" ht="12" customHeight="1" outlineLevel="2">
      <c r="A23" s="123"/>
      <c r="B23" s="123" t="s">
        <v>1934</v>
      </c>
      <c r="C23" s="123">
        <v>3</v>
      </c>
      <c r="D23" s="151" t="s">
        <v>1978</v>
      </c>
      <c r="E23" s="124"/>
      <c r="F23" s="124"/>
      <c r="G23" s="124" t="s">
        <v>1455</v>
      </c>
      <c r="H23" s="124"/>
      <c r="I23" s="124"/>
      <c r="J23" s="124"/>
      <c r="K23" s="124"/>
      <c r="L23" s="124"/>
      <c r="M23" s="124"/>
      <c r="N23" s="124"/>
      <c r="O23" s="124"/>
      <c r="P23" s="125">
        <v>45868</v>
      </c>
      <c r="Q23" s="125">
        <v>45898</v>
      </c>
      <c r="R23" s="124"/>
      <c r="S23" s="126">
        <v>60</v>
      </c>
      <c r="T23" s="126">
        <v>60</v>
      </c>
      <c r="U23" s="126">
        <v>22</v>
      </c>
      <c r="V23" s="126">
        <v>22</v>
      </c>
      <c r="W23" s="125">
        <v>45873</v>
      </c>
      <c r="X23" s="125">
        <v>45974</v>
      </c>
      <c r="Y23" s="127">
        <v>141</v>
      </c>
      <c r="Z23" s="128">
        <v>68</v>
      </c>
      <c r="AA23" s="126"/>
      <c r="AB23" s="124"/>
      <c r="AC23" s="129"/>
      <c r="AD23" s="150">
        <v>1</v>
      </c>
      <c r="AE23" s="252">
        <v>1</v>
      </c>
      <c r="AF23" s="183"/>
      <c r="AG23" s="153"/>
      <c r="AH23" s="153"/>
      <c r="AI23" s="153"/>
      <c r="AJ23" s="153"/>
      <c r="AK23" s="153"/>
      <c r="AL23" s="153"/>
      <c r="AM23" s="153"/>
      <c r="AN23" s="153"/>
      <c r="AO23" s="153"/>
      <c r="AP23" s="153"/>
      <c r="AQ23" s="153"/>
      <c r="AR23" s="153"/>
      <c r="AS23" s="153"/>
      <c r="AT23" s="153"/>
      <c r="AU23" s="153"/>
      <c r="AV23" s="153"/>
      <c r="AW23" s="153"/>
      <c r="AX23" s="153"/>
      <c r="AY23" s="153"/>
      <c r="AZ23" s="153"/>
      <c r="BA23" s="153"/>
      <c r="BB23" s="153"/>
      <c r="BC23" s="153"/>
      <c r="BD23" s="153"/>
      <c r="BE23" s="153"/>
      <c r="BF23" s="153"/>
      <c r="BG23" s="153"/>
      <c r="BH23" s="153"/>
      <c r="BI23" s="153"/>
      <c r="BJ23" s="153"/>
      <c r="BK23" s="153"/>
      <c r="BL23" s="153"/>
      <c r="BM23" s="153"/>
      <c r="BN23" s="153"/>
      <c r="BO23" s="153"/>
      <c r="BP23" s="153"/>
      <c r="BQ23" s="153"/>
      <c r="BR23" s="153"/>
      <c r="BS23" s="153"/>
      <c r="BT23" s="153"/>
      <c r="BU23" s="153"/>
      <c r="BV23" s="153"/>
      <c r="BW23" s="153"/>
      <c r="BX23" s="153"/>
      <c r="BY23" s="153"/>
      <c r="BZ23" s="153"/>
      <c r="CA23" s="153"/>
      <c r="CB23" s="153"/>
      <c r="CC23" s="153"/>
      <c r="CD23" s="153"/>
      <c r="CE23" s="153"/>
      <c r="CF23" s="153"/>
      <c r="CG23" s="153"/>
      <c r="CH23" s="153"/>
      <c r="CI23" s="153"/>
      <c r="CJ23" s="153"/>
      <c r="CK23" s="153"/>
      <c r="CL23" s="153"/>
      <c r="CM23" s="153"/>
      <c r="CN23" s="153"/>
      <c r="CO23" s="153"/>
      <c r="CP23" s="153"/>
      <c r="CQ23" s="153"/>
      <c r="CR23" s="153"/>
      <c r="CS23" s="153"/>
      <c r="CT23" s="153"/>
      <c r="CU23" s="153"/>
      <c r="CV23" s="153"/>
      <c r="CW23" s="153"/>
      <c r="CX23" s="153"/>
      <c r="CY23" s="153"/>
      <c r="CZ23" s="153"/>
      <c r="DA23" s="153"/>
      <c r="DB23" s="153"/>
      <c r="DC23" s="153"/>
      <c r="DD23" s="153"/>
      <c r="DE23" s="153"/>
      <c r="DF23" s="153"/>
      <c r="DG23" s="153"/>
      <c r="DH23" s="153"/>
      <c r="DI23" s="153"/>
      <c r="DJ23" s="153"/>
      <c r="DK23" s="153"/>
      <c r="DL23" s="153"/>
      <c r="DM23" s="153"/>
      <c r="DN23" s="153"/>
      <c r="DO23" s="153"/>
      <c r="DP23" s="153"/>
      <c r="DQ23" s="153"/>
      <c r="DR23" s="153"/>
      <c r="DS23" s="153"/>
      <c r="DT23" s="153"/>
      <c r="DU23" s="153"/>
      <c r="DV23" s="153"/>
      <c r="DW23" s="153"/>
      <c r="DX23" s="153"/>
      <c r="DY23" s="153"/>
      <c r="DZ23" s="153"/>
      <c r="EA23" s="153"/>
      <c r="EB23" s="153"/>
      <c r="EC23" s="153"/>
      <c r="ED23" s="153"/>
      <c r="EE23" s="153"/>
      <c r="EF23" s="153"/>
      <c r="EG23" s="153"/>
      <c r="EH23" s="153"/>
      <c r="EI23" s="153"/>
      <c r="EJ23" s="153"/>
      <c r="EK23" s="153"/>
      <c r="EL23" s="153"/>
      <c r="EM23" s="153"/>
      <c r="EN23" s="153"/>
      <c r="EO23" s="153"/>
      <c r="EP23" s="153"/>
      <c r="EQ23" s="153"/>
      <c r="ER23" s="153"/>
      <c r="ES23" s="153"/>
      <c r="ET23" s="153"/>
      <c r="EU23" s="153"/>
      <c r="EV23" s="153"/>
      <c r="EW23" s="153"/>
      <c r="EX23" s="153"/>
      <c r="EY23" s="153"/>
      <c r="EZ23" s="153"/>
      <c r="FA23" s="153"/>
      <c r="FB23" s="153"/>
      <c r="FC23" s="153"/>
      <c r="FD23" s="153"/>
      <c r="FE23" s="153"/>
      <c r="FF23" s="153"/>
      <c r="FG23" s="153"/>
      <c r="FH23" s="153"/>
      <c r="FI23" s="153"/>
      <c r="FJ23" s="153"/>
      <c r="FK23" s="153"/>
      <c r="FL23" s="153"/>
      <c r="FM23" s="153"/>
      <c r="FN23" s="153"/>
      <c r="FO23" s="153"/>
      <c r="FP23" s="153"/>
      <c r="FQ23" s="153"/>
      <c r="FR23" s="153"/>
      <c r="FS23" s="153"/>
      <c r="FT23" s="153"/>
      <c r="FU23" s="153"/>
      <c r="FV23" s="153"/>
      <c r="FW23" s="153"/>
      <c r="FX23" s="153"/>
      <c r="FY23" s="153"/>
      <c r="FZ23" s="153"/>
      <c r="GA23" s="153"/>
      <c r="GB23" s="153"/>
      <c r="GC23" s="153"/>
      <c r="GD23" s="153"/>
      <c r="GE23" s="153"/>
      <c r="GF23" s="153"/>
      <c r="GG23" s="153"/>
      <c r="GH23" s="153"/>
      <c r="GI23" s="153"/>
      <c r="GJ23" s="153"/>
      <c r="GK23" s="153"/>
      <c r="GL23" s="153"/>
      <c r="GM23" s="153"/>
      <c r="GN23" s="153"/>
      <c r="GO23" s="153" t="str">
        <f>"" &amp; TEXT(AE23,"#0.00%") &amp; "/" &amp; TEXT(AD23,"#0.00% ") &amp; "" &amp; "" &amp; " " &amp; ""</f>
        <v xml:space="preserve">100.00%/100.00%  </v>
      </c>
      <c r="GP23" s="153"/>
      <c r="GQ23" s="153"/>
      <c r="GR23" s="153"/>
      <c r="GS23" s="153"/>
      <c r="GT23" s="153"/>
      <c r="GU23" s="153"/>
      <c r="GV23" s="153"/>
      <c r="GW23" s="153"/>
      <c r="GX23" s="153"/>
      <c r="GY23" s="153"/>
      <c r="GZ23" s="153"/>
      <c r="HA23" s="153"/>
      <c r="HB23" s="153"/>
      <c r="HC23" s="153"/>
      <c r="HD23" s="153"/>
      <c r="HE23" s="153"/>
      <c r="HF23" s="153"/>
      <c r="HG23" s="153"/>
      <c r="HH23" s="153"/>
      <c r="HI23" s="153"/>
      <c r="HJ23" s="153"/>
      <c r="HK23" s="153"/>
      <c r="HL23" s="153"/>
      <c r="HM23" s="153"/>
      <c r="HN23" s="153"/>
      <c r="HO23" s="153"/>
      <c r="HP23" s="153"/>
      <c r="HQ23" s="153"/>
      <c r="HR23" s="153"/>
      <c r="HS23" s="153"/>
      <c r="HT23" s="153"/>
      <c r="HU23" s="153"/>
      <c r="HV23" s="153"/>
      <c r="HW23" s="153"/>
      <c r="HX23" s="153"/>
      <c r="HY23" s="153"/>
      <c r="HZ23" s="153"/>
      <c r="IA23" s="153"/>
      <c r="IB23" s="153"/>
      <c r="IC23" s="153"/>
      <c r="ID23" s="153"/>
      <c r="IE23" s="153"/>
      <c r="IF23" s="153"/>
      <c r="IG23" s="153"/>
      <c r="IH23" s="153"/>
      <c r="II23" s="153"/>
      <c r="IJ23" s="153"/>
      <c r="IK23" s="153"/>
      <c r="IL23" s="153"/>
      <c r="IM23" s="153"/>
      <c r="IN23" s="153"/>
      <c r="IO23" s="153"/>
      <c r="IP23" s="153"/>
      <c r="IQ23" s="153"/>
      <c r="IR23" s="153"/>
      <c r="IS23" s="153"/>
      <c r="IT23" s="153"/>
      <c r="IU23" s="153"/>
      <c r="IV23" s="153"/>
      <c r="IW23" s="153"/>
      <c r="IX23" s="153"/>
      <c r="IY23" s="153"/>
      <c r="IZ23" s="153"/>
      <c r="JA23" s="153"/>
      <c r="JB23" s="153"/>
      <c r="JC23" s="153"/>
      <c r="JD23" s="153"/>
      <c r="JE23" s="153"/>
      <c r="JF23" s="153"/>
      <c r="JG23" s="153"/>
      <c r="JH23" s="153"/>
      <c r="JI23" s="153"/>
      <c r="JJ23" s="153"/>
      <c r="JK23" s="153"/>
      <c r="JL23" s="153"/>
      <c r="JM23" s="153"/>
      <c r="JN23" s="153"/>
      <c r="JO23" s="153"/>
      <c r="JP23" s="153"/>
      <c r="JQ23" s="153"/>
      <c r="JR23" s="153"/>
      <c r="JS23" s="153"/>
      <c r="JT23" s="153"/>
      <c r="JU23" s="153"/>
      <c r="JV23" s="153"/>
      <c r="JW23" s="153"/>
    </row>
    <row r="24" spans="1:283" ht="24" outlineLevel="3">
      <c r="A24" s="123"/>
      <c r="B24" s="123"/>
      <c r="C24" s="123">
        <v>4</v>
      </c>
      <c r="D24" s="151" t="s">
        <v>1979</v>
      </c>
      <c r="E24" s="124"/>
      <c r="F24" s="124"/>
      <c r="G24" s="124"/>
      <c r="H24" s="124" t="s">
        <v>1966</v>
      </c>
      <c r="I24" s="124"/>
      <c r="J24" s="124"/>
      <c r="K24" s="124"/>
      <c r="L24" s="124"/>
      <c r="M24" s="124"/>
      <c r="N24" s="124"/>
      <c r="O24" s="124"/>
      <c r="P24" s="125">
        <v>45868</v>
      </c>
      <c r="Q24" s="125">
        <v>45895</v>
      </c>
      <c r="R24" s="124"/>
      <c r="S24" s="126">
        <v>19</v>
      </c>
      <c r="T24" s="126">
        <v>19</v>
      </c>
      <c r="U24" s="126">
        <v>19</v>
      </c>
      <c r="V24" s="126">
        <v>19</v>
      </c>
      <c r="W24" s="125">
        <v>45873</v>
      </c>
      <c r="X24" s="125">
        <v>45895</v>
      </c>
      <c r="Y24" s="127">
        <v>16</v>
      </c>
      <c r="Z24" s="128">
        <v>16</v>
      </c>
      <c r="AA24" s="126">
        <v>1</v>
      </c>
      <c r="AB24" s="124"/>
      <c r="AC24" s="197" t="s">
        <v>2029</v>
      </c>
      <c r="AD24" s="150">
        <v>1</v>
      </c>
      <c r="AE24" s="251">
        <v>1</v>
      </c>
      <c r="AF24" s="183"/>
      <c r="AG24" s="153"/>
      <c r="AH24" s="153"/>
      <c r="AI24" s="153"/>
      <c r="AJ24" s="153"/>
      <c r="AK24" s="153"/>
      <c r="AL24" s="153"/>
      <c r="AM24" s="153"/>
      <c r="AN24" s="153"/>
      <c r="AO24" s="153"/>
      <c r="AP24" s="153"/>
      <c r="AQ24" s="153"/>
      <c r="AR24" s="153"/>
      <c r="AS24" s="153"/>
      <c r="AT24" s="153"/>
      <c r="AU24" s="153"/>
      <c r="AV24" s="153"/>
      <c r="AW24" s="153"/>
      <c r="AX24" s="153"/>
      <c r="AY24" s="153"/>
      <c r="AZ24" s="153"/>
      <c r="BA24" s="153"/>
      <c r="BB24" s="153"/>
      <c r="BC24" s="153"/>
      <c r="BD24" s="153"/>
      <c r="BE24" s="153"/>
      <c r="BF24" s="153"/>
      <c r="BG24" s="153"/>
      <c r="BH24" s="153"/>
      <c r="BI24" s="153"/>
      <c r="BJ24" s="153"/>
      <c r="BK24" s="153"/>
      <c r="BL24" s="153"/>
      <c r="BM24" s="153"/>
      <c r="BN24" s="153"/>
      <c r="BO24" s="153"/>
      <c r="BP24" s="153"/>
      <c r="BQ24" s="153"/>
      <c r="BR24" s="153"/>
      <c r="BS24" s="153"/>
      <c r="BT24" s="153"/>
      <c r="BU24" s="153"/>
      <c r="BV24" s="153"/>
      <c r="BW24" s="153"/>
      <c r="BX24" s="153"/>
      <c r="BY24" s="153"/>
      <c r="BZ24" s="153"/>
      <c r="CA24" s="153"/>
      <c r="CB24" s="153"/>
      <c r="CC24" s="153"/>
      <c r="CD24" s="153"/>
      <c r="CE24" s="153"/>
      <c r="CF24" s="153"/>
      <c r="CG24" s="153"/>
      <c r="CH24" s="153"/>
      <c r="CI24" s="153"/>
      <c r="CJ24" s="153"/>
      <c r="CK24" s="153"/>
      <c r="CL24" s="153"/>
      <c r="CM24" s="153"/>
      <c r="CN24" s="153"/>
      <c r="CO24" s="153"/>
      <c r="CP24" s="153"/>
      <c r="CQ24" s="153"/>
      <c r="CR24" s="153"/>
      <c r="CS24" s="153"/>
      <c r="CT24" s="153"/>
      <c r="CU24" s="153"/>
      <c r="CV24" s="153"/>
      <c r="CW24" s="153"/>
      <c r="CX24" s="153"/>
      <c r="CY24" s="153"/>
      <c r="CZ24" s="153"/>
      <c r="DA24" s="153"/>
      <c r="DB24" s="153"/>
      <c r="DC24" s="153"/>
      <c r="DD24" s="153"/>
      <c r="DE24" s="153"/>
      <c r="DF24" s="153"/>
      <c r="DG24" s="153"/>
      <c r="DH24" s="153"/>
      <c r="DI24" s="153"/>
      <c r="DJ24" s="153"/>
      <c r="DK24" s="153"/>
      <c r="DL24" s="153"/>
      <c r="DM24" s="153"/>
      <c r="DN24" s="153" t="str">
        <f>"" &amp; TEXT(AE24,"#0.00%") &amp; "/" &amp; TEXT(AD24,"#0.00% ") &amp; "" &amp; "" &amp; " " &amp; ""</f>
        <v xml:space="preserve">100.00%/100.00%  </v>
      </c>
      <c r="DO24" s="153"/>
      <c r="DP24" s="153"/>
      <c r="DQ24" s="153"/>
      <c r="DR24" s="153"/>
      <c r="DS24" s="153"/>
      <c r="DT24" s="153"/>
      <c r="DU24" s="153"/>
      <c r="DV24" s="153"/>
      <c r="DW24" s="153"/>
      <c r="DX24" s="153"/>
      <c r="DY24" s="153"/>
      <c r="DZ24" s="153"/>
      <c r="EA24" s="153"/>
      <c r="EB24" s="153"/>
      <c r="EC24" s="153"/>
      <c r="ED24" s="153"/>
      <c r="EE24" s="153"/>
      <c r="EF24" s="153"/>
      <c r="EG24" s="153"/>
      <c r="EH24" s="153"/>
      <c r="EI24" s="153"/>
      <c r="EJ24" s="153"/>
      <c r="EK24" s="153"/>
      <c r="EL24" s="153"/>
      <c r="EM24" s="153"/>
      <c r="EN24" s="153"/>
      <c r="EO24" s="153"/>
      <c r="EP24" s="153"/>
      <c r="EQ24" s="153"/>
      <c r="ER24" s="153"/>
      <c r="ES24" s="153"/>
      <c r="ET24" s="153"/>
      <c r="EU24" s="153"/>
      <c r="EV24" s="153"/>
      <c r="EW24" s="153"/>
      <c r="EX24" s="153"/>
      <c r="EY24" s="153"/>
      <c r="EZ24" s="153"/>
      <c r="FA24" s="153"/>
      <c r="FB24" s="153"/>
      <c r="FC24" s="153"/>
      <c r="FD24" s="153"/>
      <c r="FE24" s="153"/>
      <c r="FF24" s="153"/>
      <c r="FG24" s="153"/>
      <c r="FH24" s="153"/>
      <c r="FI24" s="153"/>
      <c r="FJ24" s="153"/>
      <c r="FK24" s="153"/>
      <c r="FL24" s="153"/>
      <c r="FM24" s="153"/>
      <c r="FN24" s="153"/>
      <c r="FO24" s="153"/>
      <c r="FP24" s="153"/>
      <c r="FQ24" s="153"/>
      <c r="FR24" s="153"/>
      <c r="FS24" s="153"/>
      <c r="FT24" s="153"/>
      <c r="FU24" s="153"/>
      <c r="FV24" s="153"/>
      <c r="FW24" s="153"/>
      <c r="FX24" s="153"/>
      <c r="FY24" s="153"/>
      <c r="FZ24" s="153"/>
      <c r="GA24" s="153"/>
      <c r="GB24" s="153"/>
      <c r="GC24" s="153"/>
      <c r="GD24" s="153"/>
      <c r="GE24" s="153"/>
      <c r="GF24" s="153"/>
      <c r="GG24" s="153"/>
      <c r="GH24" s="153"/>
      <c r="GI24" s="153"/>
      <c r="GJ24" s="153"/>
      <c r="GK24" s="153"/>
      <c r="GL24" s="153"/>
      <c r="GM24" s="153"/>
      <c r="GN24" s="153"/>
      <c r="GO24" s="153"/>
      <c r="GP24" s="153"/>
      <c r="GQ24" s="153"/>
      <c r="GR24" s="153"/>
      <c r="GS24" s="153"/>
      <c r="GT24" s="153"/>
      <c r="GU24" s="153"/>
      <c r="GV24" s="153"/>
      <c r="GW24" s="153"/>
      <c r="GX24" s="153"/>
      <c r="GY24" s="153"/>
      <c r="GZ24" s="153"/>
      <c r="HA24" s="153"/>
      <c r="HB24" s="153"/>
      <c r="HC24" s="153"/>
      <c r="HD24" s="153"/>
      <c r="HE24" s="153"/>
      <c r="HF24" s="153"/>
      <c r="HG24" s="153"/>
      <c r="HH24" s="153"/>
      <c r="HI24" s="153"/>
      <c r="HJ24" s="153"/>
      <c r="HK24" s="153"/>
      <c r="HL24" s="153"/>
      <c r="HM24" s="153"/>
      <c r="HN24" s="153"/>
      <c r="HO24" s="153"/>
      <c r="HP24" s="153"/>
      <c r="HQ24" s="153"/>
      <c r="HR24" s="153"/>
      <c r="HS24" s="153"/>
      <c r="HT24" s="153"/>
      <c r="HU24" s="153"/>
      <c r="HV24" s="153"/>
      <c r="HW24" s="153"/>
      <c r="HX24" s="153"/>
      <c r="HY24" s="153"/>
      <c r="HZ24" s="153"/>
      <c r="IA24" s="153"/>
      <c r="IB24" s="153"/>
      <c r="IC24" s="153"/>
      <c r="ID24" s="153"/>
      <c r="IE24" s="153"/>
      <c r="IF24" s="153"/>
      <c r="IG24" s="153"/>
      <c r="IH24" s="153"/>
      <c r="II24" s="153"/>
      <c r="IJ24" s="153"/>
      <c r="IK24" s="153"/>
      <c r="IL24" s="153"/>
      <c r="IM24" s="153"/>
      <c r="IN24" s="153"/>
      <c r="IO24" s="153"/>
      <c r="IP24" s="153"/>
      <c r="IQ24" s="153"/>
      <c r="IR24" s="153"/>
      <c r="IS24" s="153"/>
      <c r="IT24" s="153"/>
      <c r="IU24" s="153"/>
      <c r="IV24" s="153"/>
      <c r="IW24" s="153"/>
      <c r="IX24" s="153"/>
      <c r="IY24" s="153"/>
      <c r="IZ24" s="153"/>
      <c r="JA24" s="153"/>
      <c r="JB24" s="153"/>
      <c r="JC24" s="153"/>
      <c r="JD24" s="153"/>
      <c r="JE24" s="153"/>
      <c r="JF24" s="153"/>
      <c r="JG24" s="153"/>
      <c r="JH24" s="153"/>
      <c r="JI24" s="153"/>
      <c r="JJ24" s="153"/>
      <c r="JK24" s="153"/>
      <c r="JL24" s="153"/>
      <c r="JM24" s="153"/>
      <c r="JN24" s="153"/>
      <c r="JO24" s="153"/>
      <c r="JP24" s="153"/>
      <c r="JQ24" s="153"/>
      <c r="JR24" s="153"/>
      <c r="JS24" s="153"/>
      <c r="JT24" s="153"/>
      <c r="JU24" s="153"/>
      <c r="JV24" s="153"/>
      <c r="JW24" s="153"/>
    </row>
    <row r="25" spans="1:283" ht="12" customHeight="1" outlineLevel="3">
      <c r="A25" s="123"/>
      <c r="B25" s="123"/>
      <c r="C25" s="123">
        <v>4</v>
      </c>
      <c r="D25" s="151" t="s">
        <v>1980</v>
      </c>
      <c r="E25" s="124"/>
      <c r="F25" s="124"/>
      <c r="G25" s="124"/>
      <c r="H25" s="124" t="s">
        <v>1877</v>
      </c>
      <c r="I25" s="124"/>
      <c r="J25" s="124"/>
      <c r="K25" s="124"/>
      <c r="L25" s="124"/>
      <c r="M25" s="124"/>
      <c r="N25" s="124"/>
      <c r="O25" s="124"/>
      <c r="P25" s="125">
        <v>45873</v>
      </c>
      <c r="Q25" s="125">
        <v>45895</v>
      </c>
      <c r="R25" s="124"/>
      <c r="S25" s="126">
        <v>16</v>
      </c>
      <c r="T25" s="126">
        <v>16</v>
      </c>
      <c r="U25" s="126">
        <v>16</v>
      </c>
      <c r="V25" s="126">
        <v>16</v>
      </c>
      <c r="W25" s="125">
        <v>45873</v>
      </c>
      <c r="X25" s="125">
        <v>45974</v>
      </c>
      <c r="Y25" s="127">
        <v>68</v>
      </c>
      <c r="Z25" s="128">
        <v>68</v>
      </c>
      <c r="AA25" s="126">
        <v>1</v>
      </c>
      <c r="AB25" s="124"/>
      <c r="AC25" s="129" t="s">
        <v>1880</v>
      </c>
      <c r="AD25" s="150">
        <v>1</v>
      </c>
      <c r="AE25" s="251">
        <v>1</v>
      </c>
      <c r="AF25" s="183"/>
      <c r="AG25" s="153"/>
      <c r="AH25" s="153"/>
      <c r="AI25" s="153"/>
      <c r="AJ25" s="153"/>
      <c r="AK25" s="153"/>
      <c r="AL25" s="153"/>
      <c r="AM25" s="153"/>
      <c r="AN25" s="153"/>
      <c r="AO25" s="153"/>
      <c r="AP25" s="153"/>
      <c r="AQ25" s="153"/>
      <c r="AR25" s="153"/>
      <c r="AS25" s="153"/>
      <c r="AT25" s="153"/>
      <c r="AU25" s="153"/>
      <c r="AV25" s="153"/>
      <c r="AW25" s="153"/>
      <c r="AX25" s="153"/>
      <c r="AY25" s="153"/>
      <c r="AZ25" s="153"/>
      <c r="BA25" s="153"/>
      <c r="BB25" s="153"/>
      <c r="BC25" s="153"/>
      <c r="BD25" s="153"/>
      <c r="BE25" s="153"/>
      <c r="BF25" s="153"/>
      <c r="BG25" s="153"/>
      <c r="BH25" s="153"/>
      <c r="BI25" s="153"/>
      <c r="BJ25" s="153"/>
      <c r="BK25" s="153"/>
      <c r="BL25" s="153"/>
      <c r="BM25" s="153"/>
      <c r="BN25" s="153"/>
      <c r="BO25" s="153"/>
      <c r="BP25" s="153"/>
      <c r="BQ25" s="153"/>
      <c r="BR25" s="153"/>
      <c r="BS25" s="153"/>
      <c r="BT25" s="153"/>
      <c r="BU25" s="153"/>
      <c r="BV25" s="153"/>
      <c r="BW25" s="153"/>
      <c r="BX25" s="153"/>
      <c r="BY25" s="153"/>
      <c r="BZ25" s="153"/>
      <c r="CA25" s="153"/>
      <c r="CB25" s="153"/>
      <c r="CC25" s="153"/>
      <c r="CD25" s="153"/>
      <c r="CE25" s="153"/>
      <c r="CF25" s="153"/>
      <c r="CG25" s="153"/>
      <c r="CH25" s="153"/>
      <c r="CI25" s="153"/>
      <c r="CJ25" s="153"/>
      <c r="CK25" s="153"/>
      <c r="CL25" s="153"/>
      <c r="CM25" s="153"/>
      <c r="CN25" s="153"/>
      <c r="CO25" s="153"/>
      <c r="CP25" s="153"/>
      <c r="CQ25" s="153"/>
      <c r="CR25" s="153"/>
      <c r="CS25" s="153"/>
      <c r="CT25" s="153"/>
      <c r="CU25" s="153"/>
      <c r="CV25" s="153"/>
      <c r="CW25" s="153"/>
      <c r="CX25" s="153"/>
      <c r="CY25" s="153"/>
      <c r="CZ25" s="153"/>
      <c r="DA25" s="153"/>
      <c r="DB25" s="153"/>
      <c r="DC25" s="153"/>
      <c r="DD25" s="153"/>
      <c r="DE25" s="153"/>
      <c r="DF25" s="153"/>
      <c r="DG25" s="153"/>
      <c r="DH25" s="153"/>
      <c r="DI25" s="153"/>
      <c r="DJ25" s="153"/>
      <c r="DK25" s="153"/>
      <c r="DL25" s="153"/>
      <c r="DM25" s="153"/>
      <c r="DN25" s="153"/>
      <c r="DO25" s="153"/>
      <c r="DP25" s="153"/>
      <c r="DQ25" s="153"/>
      <c r="DR25" s="153"/>
      <c r="DS25" s="153"/>
      <c r="DT25" s="153"/>
      <c r="DU25" s="153"/>
      <c r="DV25" s="153"/>
      <c r="DW25" s="153"/>
      <c r="DX25" s="153"/>
      <c r="DY25" s="153"/>
      <c r="DZ25" s="153"/>
      <c r="EA25" s="153"/>
      <c r="EB25" s="153"/>
      <c r="EC25" s="153"/>
      <c r="ED25" s="153"/>
      <c r="EE25" s="153"/>
      <c r="EF25" s="153"/>
      <c r="EG25" s="153"/>
      <c r="EH25" s="153"/>
      <c r="EI25" s="153"/>
      <c r="EJ25" s="153"/>
      <c r="EK25" s="153"/>
      <c r="EL25" s="153"/>
      <c r="EM25" s="153"/>
      <c r="EN25" s="153"/>
      <c r="EO25" s="153"/>
      <c r="EP25" s="153"/>
      <c r="EQ25" s="153"/>
      <c r="ER25" s="153"/>
      <c r="ES25" s="153"/>
      <c r="ET25" s="153"/>
      <c r="EU25" s="153"/>
      <c r="EV25" s="153"/>
      <c r="EW25" s="153"/>
      <c r="EX25" s="153"/>
      <c r="EY25" s="153"/>
      <c r="EZ25" s="153"/>
      <c r="FA25" s="153"/>
      <c r="FB25" s="153"/>
      <c r="FC25" s="153"/>
      <c r="FD25" s="153"/>
      <c r="FE25" s="153"/>
      <c r="FF25" s="153"/>
      <c r="FG25" s="153"/>
      <c r="FH25" s="153"/>
      <c r="FI25" s="153"/>
      <c r="FJ25" s="153"/>
      <c r="FK25" s="153"/>
      <c r="FL25" s="153"/>
      <c r="FM25" s="153"/>
      <c r="FN25" s="153"/>
      <c r="FO25" s="153"/>
      <c r="FP25" s="153"/>
      <c r="FQ25" s="153"/>
      <c r="FR25" s="153"/>
      <c r="FS25" s="153"/>
      <c r="FT25" s="153"/>
      <c r="FU25" s="153"/>
      <c r="FV25" s="153"/>
      <c r="FW25" s="153"/>
      <c r="FX25" s="153"/>
      <c r="FY25" s="153"/>
      <c r="FZ25" s="153"/>
      <c r="GA25" s="153"/>
      <c r="GB25" s="153"/>
      <c r="GC25" s="153"/>
      <c r="GD25" s="153"/>
      <c r="GE25" s="153"/>
      <c r="GF25" s="153"/>
      <c r="GG25" s="153"/>
      <c r="GH25" s="153"/>
      <c r="GI25" s="153"/>
      <c r="GJ25" s="153"/>
      <c r="GK25" s="153"/>
      <c r="GL25" s="153"/>
      <c r="GM25" s="153"/>
      <c r="GN25" s="153"/>
      <c r="GO25" s="153" t="str">
        <f>"" &amp; TEXT(AE25,"#0.00%") &amp; "/" &amp; TEXT(AD25,"#0.00% ") &amp; "" &amp; "" &amp; " " &amp; ""</f>
        <v xml:space="preserve">100.00%/100.00%  </v>
      </c>
      <c r="GP25" s="153"/>
      <c r="GQ25" s="153"/>
      <c r="GR25" s="153"/>
      <c r="GS25" s="153"/>
      <c r="GT25" s="153"/>
      <c r="GU25" s="153"/>
      <c r="GV25" s="153"/>
      <c r="GW25" s="153"/>
      <c r="GX25" s="153"/>
      <c r="GY25" s="153"/>
      <c r="GZ25" s="153"/>
      <c r="HA25" s="153"/>
      <c r="HB25" s="153"/>
      <c r="HC25" s="153"/>
      <c r="HD25" s="153"/>
      <c r="HE25" s="153"/>
      <c r="HF25" s="153"/>
      <c r="HG25" s="153"/>
      <c r="HH25" s="153"/>
      <c r="HI25" s="153"/>
      <c r="HJ25" s="153"/>
      <c r="HK25" s="153"/>
      <c r="HL25" s="153"/>
      <c r="HM25" s="153"/>
      <c r="HN25" s="153"/>
      <c r="HO25" s="153"/>
      <c r="HP25" s="153"/>
      <c r="HQ25" s="153"/>
      <c r="HR25" s="153"/>
      <c r="HS25" s="153"/>
      <c r="HT25" s="153"/>
      <c r="HU25" s="153"/>
      <c r="HV25" s="153"/>
      <c r="HW25" s="153"/>
      <c r="HX25" s="153"/>
      <c r="HY25" s="153"/>
      <c r="HZ25" s="153"/>
      <c r="IA25" s="153"/>
      <c r="IB25" s="153"/>
      <c r="IC25" s="153"/>
      <c r="ID25" s="153"/>
      <c r="IE25" s="153"/>
      <c r="IF25" s="153"/>
      <c r="IG25" s="153"/>
      <c r="IH25" s="153"/>
      <c r="II25" s="153"/>
      <c r="IJ25" s="153"/>
      <c r="IK25" s="153"/>
      <c r="IL25" s="153"/>
      <c r="IM25" s="153"/>
      <c r="IN25" s="153"/>
      <c r="IO25" s="153"/>
      <c r="IP25" s="153"/>
      <c r="IQ25" s="153"/>
      <c r="IR25" s="153"/>
      <c r="IS25" s="153"/>
      <c r="IT25" s="153"/>
      <c r="IU25" s="153"/>
      <c r="IV25" s="153"/>
      <c r="IW25" s="153"/>
      <c r="IX25" s="153"/>
      <c r="IY25" s="153"/>
      <c r="IZ25" s="153"/>
      <c r="JA25" s="153"/>
      <c r="JB25" s="153"/>
      <c r="JC25" s="153"/>
      <c r="JD25" s="153"/>
      <c r="JE25" s="153"/>
      <c r="JF25" s="153"/>
      <c r="JG25" s="153"/>
      <c r="JH25" s="153"/>
      <c r="JI25" s="153"/>
      <c r="JJ25" s="153"/>
      <c r="JK25" s="153"/>
      <c r="JL25" s="153"/>
      <c r="JM25" s="153"/>
      <c r="JN25" s="153"/>
      <c r="JO25" s="153"/>
      <c r="JP25" s="153"/>
      <c r="JQ25" s="153"/>
      <c r="JR25" s="153"/>
      <c r="JS25" s="153"/>
      <c r="JT25" s="153"/>
      <c r="JU25" s="153"/>
      <c r="JV25" s="153"/>
      <c r="JW25" s="153"/>
    </row>
    <row r="26" spans="1:283" ht="12" customHeight="1" outlineLevel="3">
      <c r="A26" s="123"/>
      <c r="B26" s="123"/>
      <c r="C26" s="123">
        <v>4</v>
      </c>
      <c r="D26" s="151" t="s">
        <v>1981</v>
      </c>
      <c r="E26" s="124"/>
      <c r="F26" s="124"/>
      <c r="G26" s="124"/>
      <c r="H26" s="124" t="s">
        <v>1964</v>
      </c>
      <c r="I26" s="124"/>
      <c r="J26" s="124"/>
      <c r="K26" s="124"/>
      <c r="L26" s="124"/>
      <c r="M26" s="124"/>
      <c r="N26" s="124"/>
      <c r="O26" s="124"/>
      <c r="P26" s="125">
        <v>45880</v>
      </c>
      <c r="Q26" s="125">
        <v>45898</v>
      </c>
      <c r="R26" s="124"/>
      <c r="S26" s="126">
        <v>14</v>
      </c>
      <c r="T26" s="126">
        <v>14</v>
      </c>
      <c r="U26" s="126">
        <v>14</v>
      </c>
      <c r="V26" s="126">
        <v>14</v>
      </c>
      <c r="W26" s="125">
        <v>45880</v>
      </c>
      <c r="X26" s="125">
        <v>45946</v>
      </c>
      <c r="Y26" s="127">
        <v>43</v>
      </c>
      <c r="Z26" s="128">
        <v>43</v>
      </c>
      <c r="AA26" s="126">
        <v>1</v>
      </c>
      <c r="AB26" s="124"/>
      <c r="AC26" s="129" t="s">
        <v>2027</v>
      </c>
      <c r="AD26" s="150">
        <v>1</v>
      </c>
      <c r="AE26" s="251">
        <v>1</v>
      </c>
      <c r="AF26" s="18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3"/>
      <c r="BC26" s="153"/>
      <c r="BD26" s="153"/>
      <c r="BE26" s="153"/>
      <c r="BF26" s="153"/>
      <c r="BG26" s="153"/>
      <c r="BH26" s="153"/>
      <c r="BI26" s="153"/>
      <c r="BJ26" s="153"/>
      <c r="BK26" s="153"/>
      <c r="BL26" s="153"/>
      <c r="BM26" s="153"/>
      <c r="BN26" s="153"/>
      <c r="BO26" s="153"/>
      <c r="BP26" s="153"/>
      <c r="BQ26" s="153"/>
      <c r="BR26" s="153"/>
      <c r="BS26" s="153"/>
      <c r="BT26" s="153"/>
      <c r="BU26" s="153"/>
      <c r="BV26" s="153"/>
      <c r="BW26" s="153"/>
      <c r="BX26" s="153"/>
      <c r="BY26" s="153"/>
      <c r="BZ26" s="153"/>
      <c r="CA26" s="153"/>
      <c r="CB26" s="153"/>
      <c r="CC26" s="153"/>
      <c r="CD26" s="153"/>
      <c r="CE26" s="153"/>
      <c r="CF26" s="153"/>
      <c r="CG26" s="153"/>
      <c r="CH26" s="153"/>
      <c r="CI26" s="153"/>
      <c r="CJ26" s="153"/>
      <c r="CK26" s="153"/>
      <c r="CL26" s="153"/>
      <c r="CM26" s="153"/>
      <c r="CN26" s="153"/>
      <c r="CO26" s="153"/>
      <c r="CP26" s="153"/>
      <c r="CQ26" s="153"/>
      <c r="CR26" s="153"/>
      <c r="CS26" s="153"/>
      <c r="CT26" s="153"/>
      <c r="CU26" s="153"/>
      <c r="CV26" s="153"/>
      <c r="CW26" s="153"/>
      <c r="CX26" s="153"/>
      <c r="CY26" s="153"/>
      <c r="CZ26" s="153"/>
      <c r="DA26" s="153"/>
      <c r="DB26" s="153"/>
      <c r="DC26" s="153"/>
      <c r="DD26" s="153"/>
      <c r="DE26" s="153"/>
      <c r="DF26" s="153"/>
      <c r="DG26" s="153"/>
      <c r="DH26" s="153"/>
      <c r="DI26" s="153"/>
      <c r="DJ26" s="153"/>
      <c r="DK26" s="153"/>
      <c r="DL26" s="153"/>
      <c r="DM26" s="153"/>
      <c r="DN26" s="153"/>
      <c r="DO26" s="153"/>
      <c r="DP26" s="153"/>
      <c r="DQ26" s="153"/>
      <c r="DR26" s="153"/>
      <c r="DS26" s="153"/>
      <c r="DT26" s="153"/>
      <c r="DU26" s="153"/>
      <c r="DV26" s="153"/>
      <c r="DW26" s="153"/>
      <c r="DX26" s="153"/>
      <c r="DY26" s="153"/>
      <c r="DZ26" s="153"/>
      <c r="EA26" s="153"/>
      <c r="EB26" s="153"/>
      <c r="EC26" s="153"/>
      <c r="ED26" s="153"/>
      <c r="EE26" s="153"/>
      <c r="EF26" s="153"/>
      <c r="EG26" s="153"/>
      <c r="EH26" s="153"/>
      <c r="EI26" s="153"/>
      <c r="EJ26" s="153"/>
      <c r="EK26" s="153"/>
      <c r="EL26" s="153"/>
      <c r="EM26" s="153"/>
      <c r="EN26" s="153"/>
      <c r="EO26" s="153"/>
      <c r="EP26" s="153"/>
      <c r="EQ26" s="153"/>
      <c r="ER26" s="153"/>
      <c r="ES26" s="153"/>
      <c r="ET26" s="153"/>
      <c r="EU26" s="153"/>
      <c r="EV26" s="153"/>
      <c r="EW26" s="153"/>
      <c r="EX26" s="153"/>
      <c r="EY26" s="153"/>
      <c r="EZ26" s="153"/>
      <c r="FA26" s="153"/>
      <c r="FB26" s="153"/>
      <c r="FC26" s="153"/>
      <c r="FD26" s="153"/>
      <c r="FE26" s="153"/>
      <c r="FF26" s="153"/>
      <c r="FG26" s="153"/>
      <c r="FH26" s="153"/>
      <c r="FI26" s="153"/>
      <c r="FJ26" s="153"/>
      <c r="FK26" s="153"/>
      <c r="FL26" s="153"/>
      <c r="FM26" s="153" t="str">
        <f>"" &amp; TEXT(AE26,"#0.00%") &amp; "/" &amp; TEXT(AD26,"#0.00% ") &amp; "" &amp; "" &amp; " " &amp; ""</f>
        <v xml:space="preserve">100.00%/100.00%  </v>
      </c>
      <c r="FN26" s="153"/>
      <c r="FO26" s="153"/>
      <c r="FP26" s="153"/>
      <c r="FQ26" s="153"/>
      <c r="FR26" s="153"/>
      <c r="FS26" s="153"/>
      <c r="FT26" s="153"/>
      <c r="FU26" s="153"/>
      <c r="FV26" s="153"/>
      <c r="FW26" s="153"/>
      <c r="FX26" s="153"/>
      <c r="FY26" s="153"/>
      <c r="FZ26" s="153"/>
      <c r="GA26" s="153"/>
      <c r="GB26" s="153"/>
      <c r="GC26" s="153"/>
      <c r="GD26" s="153"/>
      <c r="GE26" s="153"/>
      <c r="GF26" s="153"/>
      <c r="GG26" s="153"/>
      <c r="GH26" s="153"/>
      <c r="GI26" s="153"/>
      <c r="GJ26" s="153"/>
      <c r="GK26" s="153"/>
      <c r="GL26" s="153"/>
      <c r="GM26" s="153"/>
      <c r="GN26" s="153"/>
      <c r="GO26" s="153"/>
      <c r="GP26" s="153"/>
      <c r="GQ26" s="153"/>
      <c r="GR26" s="153"/>
      <c r="GS26" s="153"/>
      <c r="GT26" s="153"/>
      <c r="GU26" s="153"/>
      <c r="GV26" s="153"/>
      <c r="GW26" s="153"/>
      <c r="GX26" s="153"/>
      <c r="GY26" s="153"/>
      <c r="GZ26" s="153"/>
      <c r="HA26" s="153"/>
      <c r="HB26" s="153"/>
      <c r="HC26" s="153"/>
      <c r="HD26" s="153"/>
      <c r="HE26" s="153"/>
      <c r="HF26" s="153"/>
      <c r="HG26" s="153"/>
      <c r="HH26" s="153"/>
      <c r="HI26" s="153"/>
      <c r="HJ26" s="153"/>
      <c r="HK26" s="153"/>
      <c r="HL26" s="153"/>
      <c r="HM26" s="153"/>
      <c r="HN26" s="153"/>
      <c r="HO26" s="153"/>
      <c r="HP26" s="153"/>
      <c r="HQ26" s="153"/>
      <c r="HR26" s="153"/>
      <c r="HS26" s="153"/>
      <c r="HT26" s="153"/>
      <c r="HU26" s="153"/>
      <c r="HV26" s="153"/>
      <c r="HW26" s="153"/>
      <c r="HX26" s="153"/>
      <c r="HY26" s="153"/>
      <c r="HZ26" s="153"/>
      <c r="IA26" s="153"/>
      <c r="IB26" s="153"/>
      <c r="IC26" s="153"/>
      <c r="ID26" s="153"/>
      <c r="IE26" s="153"/>
      <c r="IF26" s="153"/>
      <c r="IG26" s="153"/>
      <c r="IH26" s="153"/>
      <c r="II26" s="153"/>
      <c r="IJ26" s="153"/>
      <c r="IK26" s="153"/>
      <c r="IL26" s="153"/>
      <c r="IM26" s="153"/>
      <c r="IN26" s="153"/>
      <c r="IO26" s="153"/>
      <c r="IP26" s="153"/>
      <c r="IQ26" s="153"/>
      <c r="IR26" s="153"/>
      <c r="IS26" s="153"/>
      <c r="IT26" s="153"/>
      <c r="IU26" s="153"/>
      <c r="IV26" s="153"/>
      <c r="IW26" s="153"/>
      <c r="IX26" s="153"/>
      <c r="IY26" s="153"/>
      <c r="IZ26" s="153"/>
      <c r="JA26" s="153"/>
      <c r="JB26" s="153"/>
      <c r="JC26" s="153"/>
      <c r="JD26" s="153"/>
      <c r="JE26" s="153"/>
      <c r="JF26" s="153"/>
      <c r="JG26" s="153"/>
      <c r="JH26" s="153"/>
      <c r="JI26" s="153"/>
      <c r="JJ26" s="153"/>
      <c r="JK26" s="153"/>
      <c r="JL26" s="153"/>
      <c r="JM26" s="153"/>
      <c r="JN26" s="153"/>
      <c r="JO26" s="153"/>
      <c r="JP26" s="153"/>
      <c r="JQ26" s="153"/>
      <c r="JR26" s="153"/>
      <c r="JS26" s="153"/>
      <c r="JT26" s="153"/>
      <c r="JU26" s="153"/>
      <c r="JV26" s="153"/>
      <c r="JW26" s="153"/>
    </row>
    <row r="27" spans="1:283" ht="12" customHeight="1" outlineLevel="3">
      <c r="A27" s="123"/>
      <c r="B27" s="123"/>
      <c r="C27" s="123">
        <v>4</v>
      </c>
      <c r="D27" s="151" t="s">
        <v>1982</v>
      </c>
      <c r="E27" s="124"/>
      <c r="F27" s="124"/>
      <c r="G27" s="124"/>
      <c r="H27" s="124" t="s">
        <v>1965</v>
      </c>
      <c r="I27" s="124"/>
      <c r="J27" s="124"/>
      <c r="K27" s="124"/>
      <c r="L27" s="124"/>
      <c r="M27" s="124"/>
      <c r="N27" s="124"/>
      <c r="O27" s="124"/>
      <c r="P27" s="125">
        <v>45880</v>
      </c>
      <c r="Q27" s="125">
        <v>45895</v>
      </c>
      <c r="R27" s="124"/>
      <c r="S27" s="126">
        <v>11</v>
      </c>
      <c r="T27" s="126">
        <v>11</v>
      </c>
      <c r="U27" s="126">
        <v>11</v>
      </c>
      <c r="V27" s="126">
        <v>11</v>
      </c>
      <c r="W27" s="125">
        <v>45880</v>
      </c>
      <c r="X27" s="125">
        <v>45898</v>
      </c>
      <c r="Y27" s="127">
        <v>14</v>
      </c>
      <c r="Z27" s="128">
        <v>14</v>
      </c>
      <c r="AA27" s="126">
        <v>1</v>
      </c>
      <c r="AB27" s="124"/>
      <c r="AC27" s="129" t="s">
        <v>2028</v>
      </c>
      <c r="AD27" s="150">
        <v>1</v>
      </c>
      <c r="AE27" s="251">
        <v>1</v>
      </c>
      <c r="AF27" s="183"/>
      <c r="AG27" s="153"/>
      <c r="AH27" s="153"/>
      <c r="AI27" s="153"/>
      <c r="AJ27" s="153"/>
      <c r="AK27" s="153"/>
      <c r="AL27" s="153"/>
      <c r="AM27" s="153"/>
      <c r="AN27" s="153"/>
      <c r="AO27" s="153"/>
      <c r="AP27" s="153"/>
      <c r="AQ27" s="153"/>
      <c r="AR27" s="153"/>
      <c r="AS27" s="153"/>
      <c r="AT27" s="153"/>
      <c r="AU27" s="153"/>
      <c r="AV27" s="153"/>
      <c r="AW27" s="153"/>
      <c r="AX27" s="153"/>
      <c r="AY27" s="153"/>
      <c r="AZ27" s="153"/>
      <c r="BA27" s="153"/>
      <c r="BB27" s="153"/>
      <c r="BC27" s="153"/>
      <c r="BD27" s="153"/>
      <c r="BE27" s="153"/>
      <c r="BF27" s="153"/>
      <c r="BG27" s="153"/>
      <c r="BH27" s="153"/>
      <c r="BI27" s="153"/>
      <c r="BJ27" s="153"/>
      <c r="BK27" s="153"/>
      <c r="BL27" s="153"/>
      <c r="BM27" s="153"/>
      <c r="BN27" s="153"/>
      <c r="BO27" s="153"/>
      <c r="BP27" s="153"/>
      <c r="BQ27" s="153"/>
      <c r="BR27" s="153"/>
      <c r="BS27" s="153"/>
      <c r="BT27" s="153"/>
      <c r="BU27" s="153"/>
      <c r="BV27" s="153"/>
      <c r="BW27" s="153"/>
      <c r="BX27" s="153"/>
      <c r="BY27" s="153"/>
      <c r="BZ27" s="153"/>
      <c r="CA27" s="153"/>
      <c r="CB27" s="153"/>
      <c r="CC27" s="153"/>
      <c r="CD27" s="153"/>
      <c r="CE27" s="153"/>
      <c r="CF27" s="153"/>
      <c r="CG27" s="153"/>
      <c r="CH27" s="153"/>
      <c r="CI27" s="153"/>
      <c r="CJ27" s="153"/>
      <c r="CK27" s="153"/>
      <c r="CL27" s="153"/>
      <c r="CM27" s="153"/>
      <c r="CN27" s="153"/>
      <c r="CO27" s="153"/>
      <c r="CP27" s="153"/>
      <c r="CQ27" s="153"/>
      <c r="CR27" s="153"/>
      <c r="CS27" s="153"/>
      <c r="CT27" s="153"/>
      <c r="CU27" s="153"/>
      <c r="CV27" s="153"/>
      <c r="CW27" s="153"/>
      <c r="CX27" s="153"/>
      <c r="CY27" s="153"/>
      <c r="CZ27" s="153"/>
      <c r="DA27" s="153"/>
      <c r="DB27" s="153"/>
      <c r="DC27" s="153"/>
      <c r="DD27" s="153"/>
      <c r="DE27" s="153"/>
      <c r="DF27" s="153"/>
      <c r="DG27" s="153"/>
      <c r="DH27" s="153"/>
      <c r="DI27" s="153"/>
      <c r="DJ27" s="153"/>
      <c r="DK27" s="153"/>
      <c r="DL27" s="153"/>
      <c r="DM27" s="153"/>
      <c r="DN27" s="153"/>
      <c r="DO27" s="153"/>
      <c r="DP27" s="153"/>
      <c r="DQ27" s="153" t="str">
        <f>"" &amp; TEXT(AE27,"#0.00%") &amp; "/" &amp; TEXT(AD27,"#0.00% ") &amp; "" &amp; "" &amp; " " &amp; ""</f>
        <v xml:space="preserve">100.00%/100.00%  </v>
      </c>
      <c r="DR27" s="153"/>
      <c r="DS27" s="153"/>
      <c r="DT27" s="153"/>
      <c r="DU27" s="153"/>
      <c r="DV27" s="153"/>
      <c r="DW27" s="153"/>
      <c r="DX27" s="153"/>
      <c r="DY27" s="153"/>
      <c r="DZ27" s="153"/>
      <c r="EA27" s="153"/>
      <c r="EB27" s="153"/>
      <c r="EC27" s="153"/>
      <c r="ED27" s="153"/>
      <c r="EE27" s="153"/>
      <c r="EF27" s="153"/>
      <c r="EG27" s="153"/>
      <c r="EH27" s="153"/>
      <c r="EI27" s="153"/>
      <c r="EJ27" s="153"/>
      <c r="EK27" s="153"/>
      <c r="EL27" s="153"/>
      <c r="EM27" s="153"/>
      <c r="EN27" s="153"/>
      <c r="EO27" s="153"/>
      <c r="EP27" s="153"/>
      <c r="EQ27" s="153"/>
      <c r="ER27" s="153"/>
      <c r="ES27" s="153"/>
      <c r="ET27" s="153"/>
      <c r="EU27" s="153"/>
      <c r="EV27" s="153"/>
      <c r="EW27" s="153"/>
      <c r="EX27" s="153"/>
      <c r="EY27" s="153"/>
      <c r="EZ27" s="153"/>
      <c r="FA27" s="153"/>
      <c r="FB27" s="153"/>
      <c r="FC27" s="153"/>
      <c r="FD27" s="153"/>
      <c r="FE27" s="153"/>
      <c r="FF27" s="153"/>
      <c r="FG27" s="153"/>
      <c r="FH27" s="153"/>
      <c r="FI27" s="153"/>
      <c r="FJ27" s="153"/>
      <c r="FK27" s="153"/>
      <c r="FL27" s="153"/>
      <c r="FM27" s="153"/>
      <c r="FN27" s="153"/>
      <c r="FO27" s="153"/>
      <c r="FP27" s="153"/>
      <c r="FQ27" s="153"/>
      <c r="FR27" s="153"/>
      <c r="FS27" s="153"/>
      <c r="FT27" s="153"/>
      <c r="FU27" s="153"/>
      <c r="FV27" s="153"/>
      <c r="FW27" s="153"/>
      <c r="FX27" s="153"/>
      <c r="FY27" s="153"/>
      <c r="FZ27" s="153"/>
      <c r="GA27" s="153"/>
      <c r="GB27" s="153"/>
      <c r="GC27" s="153"/>
      <c r="GD27" s="153"/>
      <c r="GE27" s="153"/>
      <c r="GF27" s="153"/>
      <c r="GG27" s="153"/>
      <c r="GH27" s="153"/>
      <c r="GI27" s="153"/>
      <c r="GJ27" s="153"/>
      <c r="GK27" s="153"/>
      <c r="GL27" s="153"/>
      <c r="GM27" s="153"/>
      <c r="GN27" s="153"/>
      <c r="GO27" s="153"/>
      <c r="GP27" s="153"/>
      <c r="GQ27" s="153"/>
      <c r="GR27" s="153"/>
      <c r="GS27" s="153"/>
      <c r="GT27" s="153"/>
      <c r="GU27" s="153"/>
      <c r="GV27" s="153"/>
      <c r="GW27" s="153"/>
      <c r="GX27" s="153"/>
      <c r="GY27" s="153"/>
      <c r="GZ27" s="153"/>
      <c r="HA27" s="153"/>
      <c r="HB27" s="153"/>
      <c r="HC27" s="153"/>
      <c r="HD27" s="153"/>
      <c r="HE27" s="153"/>
      <c r="HF27" s="153"/>
      <c r="HG27" s="153"/>
      <c r="HH27" s="153"/>
      <c r="HI27" s="153"/>
      <c r="HJ27" s="153"/>
      <c r="HK27" s="153"/>
      <c r="HL27" s="153"/>
      <c r="HM27" s="153"/>
      <c r="HN27" s="153"/>
      <c r="HO27" s="153"/>
      <c r="HP27" s="153"/>
      <c r="HQ27" s="153"/>
      <c r="HR27" s="153"/>
      <c r="HS27" s="153"/>
      <c r="HT27" s="153"/>
      <c r="HU27" s="153"/>
      <c r="HV27" s="153"/>
      <c r="HW27" s="153"/>
      <c r="HX27" s="153"/>
      <c r="HY27" s="153"/>
      <c r="HZ27" s="153"/>
      <c r="IA27" s="153"/>
      <c r="IB27" s="153"/>
      <c r="IC27" s="153"/>
      <c r="ID27" s="153"/>
      <c r="IE27" s="153"/>
      <c r="IF27" s="153"/>
      <c r="IG27" s="153"/>
      <c r="IH27" s="153"/>
      <c r="II27" s="153"/>
      <c r="IJ27" s="153"/>
      <c r="IK27" s="153"/>
      <c r="IL27" s="153"/>
      <c r="IM27" s="153"/>
      <c r="IN27" s="153"/>
      <c r="IO27" s="153"/>
      <c r="IP27" s="153"/>
      <c r="IQ27" s="153"/>
      <c r="IR27" s="153"/>
      <c r="IS27" s="153"/>
      <c r="IT27" s="153"/>
      <c r="IU27" s="153"/>
      <c r="IV27" s="153"/>
      <c r="IW27" s="153"/>
      <c r="IX27" s="153"/>
      <c r="IY27" s="153"/>
      <c r="IZ27" s="153"/>
      <c r="JA27" s="153"/>
      <c r="JB27" s="153"/>
      <c r="JC27" s="153"/>
      <c r="JD27" s="153"/>
      <c r="JE27" s="153"/>
      <c r="JF27" s="153"/>
      <c r="JG27" s="153"/>
      <c r="JH27" s="153"/>
      <c r="JI27" s="153"/>
      <c r="JJ27" s="153"/>
      <c r="JK27" s="153"/>
      <c r="JL27" s="153"/>
      <c r="JM27" s="153"/>
      <c r="JN27" s="153"/>
      <c r="JO27" s="153"/>
      <c r="JP27" s="153"/>
      <c r="JQ27" s="153"/>
      <c r="JR27" s="153"/>
      <c r="JS27" s="153"/>
      <c r="JT27" s="153"/>
      <c r="JU27" s="153"/>
      <c r="JV27" s="153"/>
      <c r="JW27" s="153"/>
    </row>
    <row r="28" spans="1:283" ht="15.75" customHeight="1" outlineLevel="2">
      <c r="A28" s="123"/>
      <c r="B28" s="123" t="s">
        <v>1934</v>
      </c>
      <c r="C28" s="123">
        <v>3</v>
      </c>
      <c r="D28" s="151" t="s">
        <v>1983</v>
      </c>
      <c r="E28" s="124"/>
      <c r="F28" s="124"/>
      <c r="G28" s="124" t="s">
        <v>1458</v>
      </c>
      <c r="H28" s="124"/>
      <c r="I28" s="124"/>
      <c r="J28" s="124"/>
      <c r="K28" s="124"/>
      <c r="L28" s="124"/>
      <c r="M28" s="124"/>
      <c r="N28" s="124"/>
      <c r="O28" s="124"/>
      <c r="P28" s="125">
        <v>45880</v>
      </c>
      <c r="Q28" s="125">
        <v>45891</v>
      </c>
      <c r="R28" s="124"/>
      <c r="S28" s="126">
        <v>9</v>
      </c>
      <c r="T28" s="126">
        <v>9</v>
      </c>
      <c r="U28" s="126">
        <v>9</v>
      </c>
      <c r="V28" s="126">
        <v>9</v>
      </c>
      <c r="W28" s="125">
        <v>45880</v>
      </c>
      <c r="X28" s="125">
        <v>45898</v>
      </c>
      <c r="Y28" s="127">
        <v>14</v>
      </c>
      <c r="Z28" s="128">
        <v>14</v>
      </c>
      <c r="AA28" s="126"/>
      <c r="AB28" s="124"/>
      <c r="AC28" s="197"/>
      <c r="AD28" s="150">
        <v>1</v>
      </c>
      <c r="AE28" s="252">
        <v>1</v>
      </c>
      <c r="AF28" s="183"/>
      <c r="AG28" s="153"/>
      <c r="AH28" s="153"/>
      <c r="AI28" s="153"/>
      <c r="AJ28" s="153"/>
      <c r="AK28" s="153"/>
      <c r="AL28" s="153"/>
      <c r="AM28" s="153"/>
      <c r="AN28" s="153"/>
      <c r="AO28" s="153"/>
      <c r="AP28" s="153"/>
      <c r="AQ28" s="153"/>
      <c r="AR28" s="153"/>
      <c r="AS28" s="153"/>
      <c r="AT28" s="153"/>
      <c r="AU28" s="153"/>
      <c r="AV28" s="153"/>
      <c r="AW28" s="153"/>
      <c r="AX28" s="153"/>
      <c r="AY28" s="153"/>
      <c r="AZ28" s="153"/>
      <c r="BA28" s="153"/>
      <c r="BB28" s="153"/>
      <c r="BC28" s="153"/>
      <c r="BD28" s="153"/>
      <c r="BE28" s="153"/>
      <c r="BF28" s="153"/>
      <c r="BG28" s="153"/>
      <c r="BH28" s="153"/>
      <c r="BI28" s="153"/>
      <c r="BJ28" s="153"/>
      <c r="BK28" s="153"/>
      <c r="BL28" s="153"/>
      <c r="BM28" s="153"/>
      <c r="BN28" s="153"/>
      <c r="BO28" s="153"/>
      <c r="BP28" s="153"/>
      <c r="BQ28" s="153"/>
      <c r="BR28" s="153"/>
      <c r="BS28" s="153"/>
      <c r="BT28" s="153"/>
      <c r="BU28" s="153"/>
      <c r="BV28" s="153"/>
      <c r="BW28" s="153"/>
      <c r="BX28" s="153"/>
      <c r="BY28" s="153"/>
      <c r="BZ28" s="153"/>
      <c r="CA28" s="153"/>
      <c r="CB28" s="153"/>
      <c r="CC28" s="153"/>
      <c r="CD28" s="153"/>
      <c r="CE28" s="153"/>
      <c r="CF28" s="153"/>
      <c r="CG28" s="153"/>
      <c r="CH28" s="153"/>
      <c r="CI28" s="153"/>
      <c r="CJ28" s="153"/>
      <c r="CK28" s="153"/>
      <c r="CL28" s="153"/>
      <c r="CM28" s="153"/>
      <c r="CN28" s="153"/>
      <c r="CO28" s="153"/>
      <c r="CP28" s="153"/>
      <c r="CQ28" s="153"/>
      <c r="CR28" s="153"/>
      <c r="CS28" s="153"/>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t="str">
        <f>"" &amp; TEXT(AE28,"#0.00%") &amp; "/" &amp; TEXT(AD28,"#0.00% ") &amp; "" &amp; "" &amp; " " &amp; ""</f>
        <v xml:space="preserve">100.00%/100.00%  </v>
      </c>
      <c r="DR28" s="153"/>
      <c r="DS28" s="153"/>
      <c r="DT28" s="153"/>
      <c r="DU28" s="153"/>
      <c r="DV28" s="153"/>
      <c r="DW28" s="153"/>
      <c r="DX28" s="153"/>
      <c r="DY28" s="153"/>
      <c r="DZ28" s="153"/>
      <c r="EA28" s="153"/>
      <c r="EB28" s="153"/>
      <c r="EC28" s="153"/>
      <c r="ED28" s="153"/>
      <c r="EE28" s="153"/>
      <c r="EF28" s="153"/>
      <c r="EG28" s="153"/>
      <c r="EH28" s="153"/>
      <c r="EI28" s="153"/>
      <c r="EJ28" s="153"/>
      <c r="EK28" s="153"/>
      <c r="EL28" s="153"/>
      <c r="EM28" s="153"/>
      <c r="EN28" s="153"/>
      <c r="EO28" s="153"/>
      <c r="EP28" s="153"/>
      <c r="EQ28" s="153"/>
      <c r="ER28" s="153"/>
      <c r="ES28" s="153"/>
      <c r="ET28" s="153"/>
      <c r="EU28" s="153"/>
      <c r="EV28" s="153"/>
      <c r="EW28" s="153"/>
      <c r="EX28" s="153"/>
      <c r="EY28" s="153"/>
      <c r="EZ28" s="153"/>
      <c r="FA28" s="153"/>
      <c r="FB28" s="153"/>
      <c r="FC28" s="153"/>
      <c r="FD28" s="153"/>
      <c r="FE28" s="153"/>
      <c r="FF28" s="153"/>
      <c r="FG28" s="153"/>
      <c r="FH28" s="153"/>
      <c r="FI28" s="153"/>
      <c r="FJ28" s="153"/>
      <c r="FK28" s="153"/>
      <c r="FL28" s="153"/>
      <c r="FM28" s="153"/>
      <c r="FN28" s="153"/>
      <c r="FO28" s="153"/>
      <c r="FP28" s="153"/>
      <c r="FQ28" s="153"/>
      <c r="FR28" s="153"/>
      <c r="FS28" s="153"/>
      <c r="FT28" s="153"/>
      <c r="FU28" s="153"/>
      <c r="FV28" s="153"/>
      <c r="FW28" s="153"/>
      <c r="FX28" s="153"/>
      <c r="FY28" s="153"/>
      <c r="FZ28" s="153"/>
      <c r="GA28" s="153"/>
      <c r="GB28" s="153"/>
      <c r="GC28" s="153"/>
      <c r="GD28" s="153"/>
      <c r="GE28" s="153"/>
      <c r="GF28" s="153"/>
      <c r="GG28" s="153"/>
      <c r="GH28" s="153"/>
      <c r="GI28" s="153"/>
      <c r="GJ28" s="153"/>
      <c r="GK28" s="153"/>
      <c r="GL28" s="153"/>
      <c r="GM28" s="153"/>
      <c r="GN28" s="153"/>
      <c r="GO28" s="153"/>
      <c r="GP28" s="153"/>
      <c r="GQ28" s="153"/>
      <c r="GR28" s="153"/>
      <c r="GS28" s="153"/>
      <c r="GT28" s="153"/>
      <c r="GU28" s="153"/>
      <c r="GV28" s="153"/>
      <c r="GW28" s="153"/>
      <c r="GX28" s="153"/>
      <c r="GY28" s="153"/>
      <c r="GZ28" s="153"/>
      <c r="HA28" s="153"/>
      <c r="HB28" s="153"/>
      <c r="HC28" s="153"/>
      <c r="HD28" s="153"/>
      <c r="HE28" s="153"/>
      <c r="HF28" s="153"/>
      <c r="HG28" s="153"/>
      <c r="HH28" s="153"/>
      <c r="HI28" s="153"/>
      <c r="HJ28" s="153"/>
      <c r="HK28" s="153"/>
      <c r="HL28" s="153"/>
      <c r="HM28" s="153"/>
      <c r="HN28" s="153"/>
      <c r="HO28" s="153"/>
      <c r="HP28" s="153"/>
      <c r="HQ28" s="153"/>
      <c r="HR28" s="153"/>
      <c r="HS28" s="153"/>
      <c r="HT28" s="153"/>
      <c r="HU28" s="153"/>
      <c r="HV28" s="153"/>
      <c r="HW28" s="153"/>
      <c r="HX28" s="153"/>
      <c r="HY28" s="153"/>
      <c r="HZ28" s="153"/>
      <c r="IA28" s="153"/>
      <c r="IB28" s="153"/>
      <c r="IC28" s="153"/>
      <c r="ID28" s="153"/>
      <c r="IE28" s="153"/>
      <c r="IF28" s="153"/>
      <c r="IG28" s="153"/>
      <c r="IH28" s="153"/>
      <c r="II28" s="153"/>
      <c r="IJ28" s="153"/>
      <c r="IK28" s="153"/>
      <c r="IL28" s="153"/>
      <c r="IM28" s="153"/>
      <c r="IN28" s="153"/>
      <c r="IO28" s="153"/>
      <c r="IP28" s="153"/>
      <c r="IQ28" s="153"/>
      <c r="IR28" s="153"/>
      <c r="IS28" s="153"/>
      <c r="IT28" s="153"/>
      <c r="IU28" s="153"/>
      <c r="IV28" s="153"/>
      <c r="IW28" s="153"/>
      <c r="IX28" s="153"/>
      <c r="IY28" s="153"/>
      <c r="IZ28" s="153"/>
      <c r="JA28" s="153"/>
      <c r="JB28" s="153"/>
      <c r="JC28" s="153"/>
      <c r="JD28" s="153"/>
      <c r="JE28" s="153"/>
      <c r="JF28" s="153"/>
      <c r="JG28" s="153"/>
      <c r="JH28" s="153"/>
      <c r="JI28" s="153"/>
      <c r="JJ28" s="153"/>
      <c r="JK28" s="153"/>
      <c r="JL28" s="153"/>
      <c r="JM28" s="153"/>
      <c r="JN28" s="153"/>
      <c r="JO28" s="153"/>
      <c r="JP28" s="153"/>
      <c r="JQ28" s="153"/>
      <c r="JR28" s="153"/>
      <c r="JS28" s="153"/>
      <c r="JT28" s="153"/>
      <c r="JU28" s="153"/>
      <c r="JV28" s="153"/>
      <c r="JW28" s="153"/>
    </row>
    <row r="29" spans="1:283" ht="12" customHeight="1" outlineLevel="3">
      <c r="A29" s="123"/>
      <c r="B29" s="123"/>
      <c r="C29" s="123">
        <v>4</v>
      </c>
      <c r="D29" s="151" t="s">
        <v>1984</v>
      </c>
      <c r="E29" s="124"/>
      <c r="F29" s="124"/>
      <c r="G29" s="124"/>
      <c r="H29" s="124" t="s">
        <v>1827</v>
      </c>
      <c r="I29" s="124"/>
      <c r="J29" s="124"/>
      <c r="K29" s="124"/>
      <c r="L29" s="124"/>
      <c r="M29" s="124"/>
      <c r="N29" s="124"/>
      <c r="O29" s="124"/>
      <c r="P29" s="125">
        <v>45880</v>
      </c>
      <c r="Q29" s="125">
        <v>45891</v>
      </c>
      <c r="R29" s="124"/>
      <c r="S29" s="126">
        <v>9</v>
      </c>
      <c r="T29" s="126">
        <v>9</v>
      </c>
      <c r="U29" s="126">
        <v>9</v>
      </c>
      <c r="V29" s="126">
        <v>9</v>
      </c>
      <c r="W29" s="125">
        <v>45880</v>
      </c>
      <c r="X29" s="125">
        <v>45898</v>
      </c>
      <c r="Y29" s="127">
        <v>14</v>
      </c>
      <c r="Z29" s="128">
        <v>14</v>
      </c>
      <c r="AA29" s="126">
        <v>1</v>
      </c>
      <c r="AB29" s="124"/>
      <c r="AC29" s="129"/>
      <c r="AD29" s="150">
        <v>1</v>
      </c>
      <c r="AE29" s="251">
        <v>1</v>
      </c>
      <c r="AF29" s="18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c r="BJ29" s="153"/>
      <c r="BK29" s="153"/>
      <c r="BL29" s="153"/>
      <c r="BM29" s="153"/>
      <c r="BN29" s="153"/>
      <c r="BO29" s="153"/>
      <c r="BP29" s="153"/>
      <c r="BQ29" s="153"/>
      <c r="BR29" s="153"/>
      <c r="BS29" s="153"/>
      <c r="BT29" s="153"/>
      <c r="BU29" s="153"/>
      <c r="BV29" s="153"/>
      <c r="BW29" s="153"/>
      <c r="BX29" s="153"/>
      <c r="BY29" s="153"/>
      <c r="BZ29" s="153"/>
      <c r="CA29" s="153"/>
      <c r="CB29" s="153"/>
      <c r="CC29" s="153"/>
      <c r="CD29" s="153"/>
      <c r="CE29" s="153"/>
      <c r="CF29" s="153"/>
      <c r="CG29" s="153"/>
      <c r="CH29" s="153"/>
      <c r="CI29" s="153"/>
      <c r="CJ29" s="153"/>
      <c r="CK29" s="153"/>
      <c r="CL29" s="153"/>
      <c r="CM29" s="153"/>
      <c r="CN29" s="153"/>
      <c r="CO29" s="153"/>
      <c r="CP29" s="153"/>
      <c r="CQ29" s="153"/>
      <c r="CR29" s="153"/>
      <c r="CS29" s="153"/>
      <c r="CT29" s="153"/>
      <c r="CU29" s="153"/>
      <c r="CV29" s="153"/>
      <c r="CW29" s="153"/>
      <c r="CX29" s="153"/>
      <c r="CY29" s="153"/>
      <c r="CZ29" s="153"/>
      <c r="DA29" s="153"/>
      <c r="DB29" s="153"/>
      <c r="DC29" s="153"/>
      <c r="DD29" s="153"/>
      <c r="DE29" s="153"/>
      <c r="DF29" s="153"/>
      <c r="DG29" s="153"/>
      <c r="DH29" s="153"/>
      <c r="DI29" s="153"/>
      <c r="DJ29" s="153"/>
      <c r="DK29" s="153"/>
      <c r="DL29" s="153"/>
      <c r="DM29" s="153"/>
      <c r="DN29" s="153"/>
      <c r="DO29" s="153"/>
      <c r="DP29" s="153"/>
      <c r="DQ29" s="153" t="str">
        <f>"" &amp; TEXT(AE29,"#0.00%") &amp; "/" &amp; TEXT(AD29,"#0.00% ") &amp; "" &amp; "" &amp; " " &amp; ""</f>
        <v xml:space="preserve">100.00%/100.00%  </v>
      </c>
      <c r="DR29" s="153"/>
      <c r="DS29" s="153"/>
      <c r="DT29" s="153"/>
      <c r="DU29" s="153"/>
      <c r="DV29" s="153"/>
      <c r="DW29" s="153"/>
      <c r="DX29" s="153"/>
      <c r="DY29" s="153"/>
      <c r="DZ29" s="153"/>
      <c r="EA29" s="153"/>
      <c r="EB29" s="153"/>
      <c r="EC29" s="153"/>
      <c r="ED29" s="153"/>
      <c r="EE29" s="153"/>
      <c r="EF29" s="153"/>
      <c r="EG29" s="153"/>
      <c r="EH29" s="153"/>
      <c r="EI29" s="153"/>
      <c r="EJ29" s="153"/>
      <c r="EK29" s="153"/>
      <c r="EL29" s="153"/>
      <c r="EM29" s="153"/>
      <c r="EN29" s="153"/>
      <c r="EO29" s="153"/>
      <c r="EP29" s="153"/>
      <c r="EQ29" s="153"/>
      <c r="ER29" s="153"/>
      <c r="ES29" s="153"/>
      <c r="ET29" s="153"/>
      <c r="EU29" s="153"/>
      <c r="EV29" s="153"/>
      <c r="EW29" s="153"/>
      <c r="EX29" s="153"/>
      <c r="EY29" s="153"/>
      <c r="EZ29" s="153"/>
      <c r="FA29" s="153"/>
      <c r="FB29" s="153"/>
      <c r="FC29" s="153"/>
      <c r="FD29" s="153"/>
      <c r="FE29" s="153"/>
      <c r="FF29" s="153"/>
      <c r="FG29" s="153"/>
      <c r="FH29" s="153"/>
      <c r="FI29" s="153"/>
      <c r="FJ29" s="153"/>
      <c r="FK29" s="153"/>
      <c r="FL29" s="153"/>
      <c r="FM29" s="153"/>
      <c r="FN29" s="153"/>
      <c r="FO29" s="153"/>
      <c r="FP29" s="153"/>
      <c r="FQ29" s="153"/>
      <c r="FR29" s="153"/>
      <c r="FS29" s="153"/>
      <c r="FT29" s="153"/>
      <c r="FU29" s="153"/>
      <c r="FV29" s="153"/>
      <c r="FW29" s="153"/>
      <c r="FX29" s="153"/>
      <c r="FY29" s="153"/>
      <c r="FZ29" s="153"/>
      <c r="GA29" s="153"/>
      <c r="GB29" s="153"/>
      <c r="GC29" s="153"/>
      <c r="GD29" s="153"/>
      <c r="GE29" s="153"/>
      <c r="GF29" s="153"/>
      <c r="GG29" s="153"/>
      <c r="GH29" s="153"/>
      <c r="GI29" s="153"/>
      <c r="GJ29" s="153"/>
      <c r="GK29" s="153"/>
      <c r="GL29" s="153"/>
      <c r="GM29" s="153"/>
      <c r="GN29" s="153"/>
      <c r="GO29" s="153"/>
      <c r="GP29" s="153"/>
      <c r="GQ29" s="153"/>
      <c r="GR29" s="153"/>
      <c r="GS29" s="153"/>
      <c r="GT29" s="153"/>
      <c r="GU29" s="153"/>
      <c r="GV29" s="153"/>
      <c r="GW29" s="153"/>
      <c r="GX29" s="153"/>
      <c r="GY29" s="153"/>
      <c r="GZ29" s="153"/>
      <c r="HA29" s="153"/>
      <c r="HB29" s="153"/>
      <c r="HC29" s="153"/>
      <c r="HD29" s="153"/>
      <c r="HE29" s="153"/>
      <c r="HF29" s="153"/>
      <c r="HG29" s="153"/>
      <c r="HH29" s="153"/>
      <c r="HI29" s="153"/>
      <c r="HJ29" s="153"/>
      <c r="HK29" s="153"/>
      <c r="HL29" s="153"/>
      <c r="HM29" s="153"/>
      <c r="HN29" s="153"/>
      <c r="HO29" s="153"/>
      <c r="HP29" s="153"/>
      <c r="HQ29" s="153"/>
      <c r="HR29" s="153"/>
      <c r="HS29" s="153"/>
      <c r="HT29" s="153"/>
      <c r="HU29" s="153"/>
      <c r="HV29" s="153"/>
      <c r="HW29" s="153"/>
      <c r="HX29" s="153"/>
      <c r="HY29" s="153"/>
      <c r="HZ29" s="153"/>
      <c r="IA29" s="153"/>
      <c r="IB29" s="153"/>
      <c r="IC29" s="153"/>
      <c r="ID29" s="153"/>
      <c r="IE29" s="153"/>
      <c r="IF29" s="153"/>
      <c r="IG29" s="153"/>
      <c r="IH29" s="153"/>
      <c r="II29" s="153"/>
      <c r="IJ29" s="153"/>
      <c r="IK29" s="153"/>
      <c r="IL29" s="153"/>
      <c r="IM29" s="153"/>
      <c r="IN29" s="153"/>
      <c r="IO29" s="153"/>
      <c r="IP29" s="153"/>
      <c r="IQ29" s="153"/>
      <c r="IR29" s="153"/>
      <c r="IS29" s="153"/>
      <c r="IT29" s="153"/>
      <c r="IU29" s="153"/>
      <c r="IV29" s="153"/>
      <c r="IW29" s="153"/>
      <c r="IX29" s="153"/>
      <c r="IY29" s="153"/>
      <c r="IZ29" s="153"/>
      <c r="JA29" s="153"/>
      <c r="JB29" s="153"/>
      <c r="JC29" s="153"/>
      <c r="JD29" s="153"/>
      <c r="JE29" s="153"/>
      <c r="JF29" s="153"/>
      <c r="JG29" s="153"/>
      <c r="JH29" s="153"/>
      <c r="JI29" s="153"/>
      <c r="JJ29" s="153"/>
      <c r="JK29" s="153"/>
      <c r="JL29" s="153"/>
      <c r="JM29" s="153"/>
      <c r="JN29" s="153"/>
      <c r="JO29" s="153"/>
      <c r="JP29" s="153"/>
      <c r="JQ29" s="153"/>
      <c r="JR29" s="153"/>
      <c r="JS29" s="153"/>
      <c r="JT29" s="153"/>
      <c r="JU29" s="153"/>
      <c r="JV29" s="153"/>
      <c r="JW29" s="153"/>
    </row>
    <row r="30" spans="1:283" ht="12" customHeight="1" outlineLevel="1">
      <c r="A30" s="123"/>
      <c r="B30" s="123" t="s">
        <v>1934</v>
      </c>
      <c r="C30" s="123">
        <v>2</v>
      </c>
      <c r="D30" s="151" t="s">
        <v>1985</v>
      </c>
      <c r="E30" s="124"/>
      <c r="F30" s="124" t="s">
        <v>1431</v>
      </c>
      <c r="G30" s="124"/>
      <c r="H30" s="124"/>
      <c r="I30" s="124"/>
      <c r="J30" s="124"/>
      <c r="K30" s="124"/>
      <c r="L30" s="124"/>
      <c r="M30" s="124"/>
      <c r="N30" s="124"/>
      <c r="O30" s="124"/>
      <c r="P30" s="125">
        <v>45894</v>
      </c>
      <c r="Q30" s="125">
        <v>45989</v>
      </c>
      <c r="R30" s="124"/>
      <c r="S30" s="126">
        <v>175</v>
      </c>
      <c r="T30" s="126">
        <v>175</v>
      </c>
      <c r="U30" s="126">
        <v>65</v>
      </c>
      <c r="V30" s="126">
        <v>65</v>
      </c>
      <c r="W30" s="125">
        <v>45894</v>
      </c>
      <c r="X30" s="125"/>
      <c r="Y30" s="127">
        <v>208.5</v>
      </c>
      <c r="Z30" s="128">
        <v>0</v>
      </c>
      <c r="AA30" s="126"/>
      <c r="AB30" s="124"/>
      <c r="AC30" s="129"/>
      <c r="AD30" s="150">
        <v>1</v>
      </c>
      <c r="AE30" s="310">
        <v>0.99142857142857144</v>
      </c>
      <c r="AF30" s="183"/>
      <c r="AG30" s="153"/>
      <c r="AH30" s="153"/>
      <c r="AI30" s="153"/>
      <c r="AJ30" s="153"/>
      <c r="AK30" s="153"/>
      <c r="AL30" s="153"/>
      <c r="AM30" s="153"/>
      <c r="AN30" s="153"/>
      <c r="AO30" s="153"/>
      <c r="AP30" s="153"/>
      <c r="AQ30" s="153"/>
      <c r="AR30" s="153"/>
      <c r="AS30" s="153"/>
      <c r="AT30" s="153"/>
      <c r="AU30" s="153"/>
      <c r="AV30" s="153"/>
      <c r="AW30" s="153"/>
      <c r="AX30" s="153"/>
      <c r="AY30" s="153"/>
      <c r="AZ30" s="153"/>
      <c r="BA30" s="153"/>
      <c r="BB30" s="153"/>
      <c r="BC30" s="153"/>
      <c r="BD30" s="153"/>
      <c r="BE30" s="153"/>
      <c r="BF30" s="153"/>
      <c r="BG30" s="153"/>
      <c r="BH30" s="153"/>
      <c r="BI30" s="153"/>
      <c r="BJ30" s="153"/>
      <c r="BK30" s="153"/>
      <c r="BL30" s="153"/>
      <c r="BM30" s="153"/>
      <c r="BN30" s="153"/>
      <c r="BO30" s="153"/>
      <c r="BP30" s="153"/>
      <c r="BQ30" s="153"/>
      <c r="BR30" s="153"/>
      <c r="BS30" s="153"/>
      <c r="BT30" s="153"/>
      <c r="BU30" s="153"/>
      <c r="BV30" s="153"/>
      <c r="BW30" s="153"/>
      <c r="BX30" s="153"/>
      <c r="BY30" s="153"/>
      <c r="BZ30" s="153"/>
      <c r="CA30" s="153"/>
      <c r="CB30" s="153"/>
      <c r="CC30" s="153"/>
      <c r="CD30" s="153"/>
      <c r="CE30" s="153"/>
      <c r="CF30" s="153"/>
      <c r="CG30" s="153"/>
      <c r="CH30" s="153"/>
      <c r="CI30" s="153"/>
      <c r="CJ30" s="153"/>
      <c r="CK30" s="153"/>
      <c r="CL30" s="153"/>
      <c r="CM30" s="153"/>
      <c r="CN30" s="153"/>
      <c r="CO30" s="153"/>
      <c r="CP30" s="153"/>
      <c r="CQ30" s="153"/>
      <c r="CR30" s="153"/>
      <c r="CS30" s="153"/>
      <c r="CT30" s="153"/>
      <c r="CU30" s="153"/>
      <c r="CV30" s="153"/>
      <c r="CW30" s="153"/>
      <c r="CX30" s="153"/>
      <c r="CY30" s="153"/>
      <c r="CZ30" s="153"/>
      <c r="DA30" s="153"/>
      <c r="DB30" s="153"/>
      <c r="DC30" s="153"/>
      <c r="DD30" s="153"/>
      <c r="DE30" s="153"/>
      <c r="DF30" s="153"/>
      <c r="DG30" s="153"/>
      <c r="DH30" s="153"/>
      <c r="DI30" s="153"/>
      <c r="DJ30" s="153"/>
      <c r="DK30" s="153"/>
      <c r="DL30" s="153"/>
      <c r="DM30" s="153"/>
      <c r="DN30" s="153"/>
      <c r="DO30" s="153"/>
      <c r="DP30" s="153"/>
      <c r="DQ30" s="153"/>
      <c r="DR30" s="153"/>
      <c r="DS30" s="153"/>
      <c r="DT30" s="153"/>
      <c r="DU30" s="153"/>
      <c r="DV30" s="153"/>
      <c r="DW30" s="153"/>
      <c r="DX30" s="153"/>
      <c r="DY30" s="153"/>
      <c r="DZ30" s="153"/>
      <c r="EA30" s="153"/>
      <c r="EB30" s="153"/>
      <c r="EC30" s="153"/>
      <c r="ED30" s="153"/>
      <c r="EE30" s="153"/>
      <c r="EF30" s="153"/>
      <c r="EG30" s="153"/>
      <c r="EH30" s="153"/>
      <c r="EI30" s="153"/>
      <c r="EJ30" s="153"/>
      <c r="EK30" s="153"/>
      <c r="EL30" s="153"/>
      <c r="EM30" s="153"/>
      <c r="EN30" s="153"/>
      <c r="EO30" s="153"/>
      <c r="EP30" s="153"/>
      <c r="EQ30" s="153"/>
      <c r="ER30" s="153"/>
      <c r="ES30" s="153"/>
      <c r="ET30" s="153"/>
      <c r="EU30" s="153"/>
      <c r="EV30" s="153"/>
      <c r="EW30" s="153"/>
      <c r="EX30" s="153"/>
      <c r="EY30" s="153"/>
      <c r="EZ30" s="153"/>
      <c r="FA30" s="153"/>
      <c r="FB30" s="153"/>
      <c r="FC30" s="153"/>
      <c r="FD30" s="153"/>
      <c r="FE30" s="153"/>
      <c r="FF30" s="153"/>
      <c r="FG30" s="153"/>
      <c r="FH30" s="153"/>
      <c r="FI30" s="153"/>
      <c r="FJ30" s="153"/>
      <c r="FK30" s="153"/>
      <c r="FL30" s="153"/>
      <c r="FM30" s="153"/>
      <c r="FN30" s="153"/>
      <c r="FO30" s="153"/>
      <c r="FP30" s="153"/>
      <c r="FQ30" s="153"/>
      <c r="FR30" s="153"/>
      <c r="FS30" s="153"/>
      <c r="FT30" s="153"/>
      <c r="FU30" s="153"/>
      <c r="FV30" s="153"/>
      <c r="FW30" s="153"/>
      <c r="FX30" s="153"/>
      <c r="FY30" s="153"/>
      <c r="FZ30" s="153"/>
      <c r="GA30" s="153"/>
      <c r="GB30" s="153"/>
      <c r="GC30" s="153"/>
      <c r="GD30" s="153"/>
      <c r="GE30" s="153"/>
      <c r="GF30" s="153"/>
      <c r="GG30" s="153"/>
      <c r="GH30" s="153"/>
      <c r="GI30" s="153"/>
      <c r="GJ30" s="153"/>
      <c r="GK30" s="153"/>
      <c r="GL30" s="153"/>
      <c r="GM30" s="153"/>
      <c r="GN30" s="153"/>
      <c r="GO30" s="153"/>
      <c r="GP30" s="153"/>
      <c r="GQ30" s="153"/>
      <c r="GR30" s="153"/>
      <c r="GS30" s="153"/>
      <c r="GT30" s="153"/>
      <c r="GU30" s="153"/>
      <c r="GV30" s="153"/>
      <c r="GW30" s="153"/>
      <c r="GX30" s="153"/>
      <c r="GY30" s="153"/>
      <c r="GZ30" s="153"/>
      <c r="HA30" s="153"/>
      <c r="HB30" s="153"/>
      <c r="HC30" s="153" t="str">
        <f>"" &amp; TEXT(AE30,"#0.00%") &amp; "/" &amp; TEXT(AD30,"#0.00% ") &amp; "" &amp; "" &amp; " " &amp; ""</f>
        <v xml:space="preserve">99.14%/100.00%  </v>
      </c>
      <c r="HD30" s="153"/>
      <c r="HE30" s="153"/>
      <c r="HF30" s="153"/>
      <c r="HG30" s="153"/>
      <c r="HH30" s="153"/>
      <c r="HI30" s="153"/>
      <c r="HJ30" s="153"/>
      <c r="HK30" s="153"/>
      <c r="HL30" s="153"/>
      <c r="HM30" s="153"/>
      <c r="HN30" s="153"/>
      <c r="HO30" s="153"/>
      <c r="HP30" s="153"/>
      <c r="HQ30" s="153"/>
      <c r="HR30" s="153"/>
      <c r="HS30" s="153"/>
      <c r="HT30" s="153"/>
      <c r="HU30" s="153"/>
      <c r="HV30" s="153"/>
      <c r="HW30" s="153"/>
      <c r="HX30" s="153"/>
      <c r="HY30" s="153"/>
      <c r="HZ30" s="153"/>
      <c r="IA30" s="153"/>
      <c r="IB30" s="153"/>
      <c r="IC30" s="153"/>
      <c r="ID30" s="153"/>
      <c r="IE30" s="153"/>
      <c r="IF30" s="153"/>
      <c r="IG30" s="153"/>
      <c r="IH30" s="153"/>
      <c r="II30" s="153"/>
      <c r="IJ30" s="153"/>
      <c r="IK30" s="153"/>
      <c r="IL30" s="153"/>
      <c r="IM30" s="153"/>
      <c r="IN30" s="153"/>
      <c r="IO30" s="153"/>
      <c r="IP30" s="153"/>
      <c r="IQ30" s="153"/>
      <c r="IR30" s="153"/>
      <c r="IS30" s="153"/>
      <c r="IT30" s="153"/>
      <c r="IU30" s="153"/>
      <c r="IV30" s="153"/>
      <c r="IW30" s="153"/>
      <c r="IX30" s="153"/>
      <c r="IY30" s="153"/>
      <c r="IZ30" s="153"/>
      <c r="JA30" s="153"/>
      <c r="JB30" s="153"/>
      <c r="JC30" s="153"/>
      <c r="JD30" s="153"/>
      <c r="JE30" s="153"/>
      <c r="JF30" s="153"/>
      <c r="JG30" s="153"/>
      <c r="JH30" s="153"/>
      <c r="JI30" s="153"/>
      <c r="JJ30" s="153"/>
      <c r="JK30" s="153"/>
      <c r="JL30" s="153"/>
      <c r="JM30" s="153"/>
      <c r="JN30" s="153"/>
      <c r="JO30" s="153"/>
      <c r="JP30" s="153"/>
      <c r="JQ30" s="153"/>
      <c r="JR30" s="153"/>
      <c r="JS30" s="153"/>
      <c r="JT30" s="153"/>
      <c r="JU30" s="153"/>
      <c r="JV30" s="153"/>
      <c r="JW30" s="153"/>
    </row>
    <row r="31" spans="1:283" ht="12" customHeight="1" outlineLevel="2">
      <c r="A31" s="123"/>
      <c r="B31" s="123" t="s">
        <v>1934</v>
      </c>
      <c r="C31" s="123">
        <v>3</v>
      </c>
      <c r="D31" s="151" t="s">
        <v>1986</v>
      </c>
      <c r="E31" s="124"/>
      <c r="F31" s="124"/>
      <c r="G31" s="124" t="s">
        <v>1647</v>
      </c>
      <c r="H31" s="124"/>
      <c r="I31" s="124"/>
      <c r="J31" s="124"/>
      <c r="K31" s="124"/>
      <c r="L31" s="124"/>
      <c r="M31" s="124"/>
      <c r="N31" s="124"/>
      <c r="O31" s="124"/>
      <c r="P31" s="125">
        <v>45894</v>
      </c>
      <c r="Q31" s="125">
        <v>45968</v>
      </c>
      <c r="R31" s="124"/>
      <c r="S31" s="126">
        <v>155</v>
      </c>
      <c r="T31" s="126">
        <v>155</v>
      </c>
      <c r="U31" s="126">
        <v>50</v>
      </c>
      <c r="V31" s="126">
        <v>50</v>
      </c>
      <c r="W31" s="125">
        <v>45894</v>
      </c>
      <c r="X31" s="125">
        <v>45975</v>
      </c>
      <c r="Y31" s="127">
        <v>182</v>
      </c>
      <c r="Z31" s="128">
        <v>55</v>
      </c>
      <c r="AA31" s="126"/>
      <c r="AB31" s="124"/>
      <c r="AC31" s="129" t="s">
        <v>2035</v>
      </c>
      <c r="AD31" s="150">
        <v>1</v>
      </c>
      <c r="AE31" s="252">
        <v>1</v>
      </c>
      <c r="AF31" s="183"/>
      <c r="AG31" s="153"/>
      <c r="AH31" s="153"/>
      <c r="AI31" s="153"/>
      <c r="AJ31" s="153"/>
      <c r="AK31" s="153"/>
      <c r="AL31" s="153"/>
      <c r="AM31" s="153"/>
      <c r="AN31" s="153"/>
      <c r="AO31" s="153"/>
      <c r="AP31" s="153"/>
      <c r="AQ31" s="153"/>
      <c r="AR31" s="153"/>
      <c r="AS31" s="153"/>
      <c r="AT31" s="153"/>
      <c r="AU31" s="153"/>
      <c r="AV31" s="153"/>
      <c r="AW31" s="153"/>
      <c r="AX31" s="153"/>
      <c r="AY31" s="153"/>
      <c r="AZ31" s="153"/>
      <c r="BA31" s="153"/>
      <c r="BB31" s="153"/>
      <c r="BC31" s="153"/>
      <c r="BD31" s="153"/>
      <c r="BE31" s="153"/>
      <c r="BF31" s="153"/>
      <c r="BG31" s="153"/>
      <c r="BH31" s="153"/>
      <c r="BI31" s="153"/>
      <c r="BJ31" s="153"/>
      <c r="BK31" s="153"/>
      <c r="BL31" s="153"/>
      <c r="BM31" s="153"/>
      <c r="BN31" s="153"/>
      <c r="BO31" s="153"/>
      <c r="BP31" s="153"/>
      <c r="BQ31" s="153"/>
      <c r="BR31" s="153"/>
      <c r="BS31" s="153"/>
      <c r="BT31" s="153"/>
      <c r="BU31" s="153"/>
      <c r="BV31" s="153"/>
      <c r="BW31" s="153"/>
      <c r="BX31" s="153"/>
      <c r="BY31" s="153"/>
      <c r="BZ31" s="153"/>
      <c r="CA31" s="153"/>
      <c r="CB31" s="153"/>
      <c r="CC31" s="153"/>
      <c r="CD31" s="153"/>
      <c r="CE31" s="153"/>
      <c r="CF31" s="153"/>
      <c r="CG31" s="153"/>
      <c r="CH31" s="153"/>
      <c r="CI31" s="153"/>
      <c r="CJ31" s="153"/>
      <c r="CK31" s="153"/>
      <c r="CL31" s="153"/>
      <c r="CM31" s="153"/>
      <c r="CN31" s="153"/>
      <c r="CO31" s="153"/>
      <c r="CP31" s="153"/>
      <c r="CQ31" s="153"/>
      <c r="CR31" s="153"/>
      <c r="CS31" s="153"/>
      <c r="CT31" s="153"/>
      <c r="CU31" s="153"/>
      <c r="CV31" s="153"/>
      <c r="CW31" s="153"/>
      <c r="CX31" s="153"/>
      <c r="CY31" s="153"/>
      <c r="CZ31" s="153"/>
      <c r="DA31" s="153"/>
      <c r="DB31" s="153"/>
      <c r="DC31" s="153"/>
      <c r="DD31" s="153"/>
      <c r="DE31" s="153"/>
      <c r="DF31" s="153"/>
      <c r="DG31" s="153"/>
      <c r="DH31" s="153"/>
      <c r="DI31" s="153"/>
      <c r="DJ31" s="153"/>
      <c r="DK31" s="153"/>
      <c r="DL31" s="153"/>
      <c r="DM31" s="153"/>
      <c r="DN31" s="153"/>
      <c r="DO31" s="153"/>
      <c r="DP31" s="153"/>
      <c r="DQ31" s="153"/>
      <c r="DR31" s="153"/>
      <c r="DS31" s="153"/>
      <c r="DT31" s="153"/>
      <c r="DU31" s="153"/>
      <c r="DV31" s="153"/>
      <c r="DW31" s="153"/>
      <c r="DX31" s="153"/>
      <c r="DY31" s="153"/>
      <c r="DZ31" s="153"/>
      <c r="EA31" s="153"/>
      <c r="EB31" s="153"/>
      <c r="EC31" s="153"/>
      <c r="ED31" s="153"/>
      <c r="EE31" s="153"/>
      <c r="EF31" s="153"/>
      <c r="EG31" s="153"/>
      <c r="EH31" s="153"/>
      <c r="EI31" s="153"/>
      <c r="EJ31" s="153"/>
      <c r="EK31" s="153"/>
      <c r="EL31" s="153"/>
      <c r="EM31" s="153"/>
      <c r="EN31" s="153"/>
      <c r="EO31" s="153"/>
      <c r="EP31" s="153"/>
      <c r="EQ31" s="153"/>
      <c r="ER31" s="153"/>
      <c r="ES31" s="153"/>
      <c r="ET31" s="153"/>
      <c r="EU31" s="153"/>
      <c r="EV31" s="153"/>
      <c r="EW31" s="153"/>
      <c r="EX31" s="153"/>
      <c r="EY31" s="153"/>
      <c r="EZ31" s="153"/>
      <c r="FA31" s="153"/>
      <c r="FB31" s="153"/>
      <c r="FC31" s="153"/>
      <c r="FD31" s="153"/>
      <c r="FE31" s="153"/>
      <c r="FF31" s="153"/>
      <c r="FG31" s="153"/>
      <c r="FH31" s="153"/>
      <c r="FI31" s="153"/>
      <c r="FJ31" s="153"/>
      <c r="FK31" s="153"/>
      <c r="FL31" s="153"/>
      <c r="FM31" s="153"/>
      <c r="FN31" s="153"/>
      <c r="FO31" s="153"/>
      <c r="FP31" s="153"/>
      <c r="FQ31" s="153"/>
      <c r="FR31" s="153"/>
      <c r="FS31" s="153"/>
      <c r="FT31" s="153"/>
      <c r="FU31" s="153"/>
      <c r="FV31" s="153"/>
      <c r="FW31" s="153"/>
      <c r="FX31" s="153"/>
      <c r="FY31" s="153"/>
      <c r="FZ31" s="153"/>
      <c r="GA31" s="153"/>
      <c r="GB31" s="153"/>
      <c r="GC31" s="153"/>
      <c r="GD31" s="153"/>
      <c r="GE31" s="153"/>
      <c r="GF31" s="153"/>
      <c r="GG31" s="153"/>
      <c r="GH31" s="153"/>
      <c r="GI31" s="153"/>
      <c r="GJ31" s="153"/>
      <c r="GK31" s="153"/>
      <c r="GL31" s="153"/>
      <c r="GM31" s="153"/>
      <c r="GN31" s="153"/>
      <c r="GO31" s="153"/>
      <c r="GP31" s="153" t="str">
        <f>"" &amp; TEXT(AE31,"#0.00%") &amp; "/" &amp; TEXT(AD31,"#0.00% ") &amp; "" &amp; "" &amp; " " &amp; ""</f>
        <v xml:space="preserve">100.00%/100.00%  </v>
      </c>
      <c r="GQ31" s="153"/>
      <c r="GR31" s="153"/>
      <c r="GS31" s="153"/>
      <c r="GT31" s="153"/>
      <c r="GU31" s="153"/>
      <c r="GV31" s="153"/>
      <c r="GW31" s="153"/>
      <c r="GX31" s="153"/>
      <c r="GY31" s="153"/>
      <c r="GZ31" s="153"/>
      <c r="HA31" s="153"/>
      <c r="HB31" s="153"/>
      <c r="HC31" s="153"/>
      <c r="HD31" s="153"/>
      <c r="HE31" s="153"/>
      <c r="HF31" s="153"/>
      <c r="HG31" s="153"/>
      <c r="HH31" s="153"/>
      <c r="HI31" s="153"/>
      <c r="HJ31" s="153"/>
      <c r="HK31" s="153"/>
      <c r="HL31" s="153"/>
      <c r="HM31" s="153"/>
      <c r="HN31" s="153"/>
      <c r="HO31" s="153"/>
      <c r="HP31" s="153"/>
      <c r="HQ31" s="153"/>
      <c r="HR31" s="153"/>
      <c r="HS31" s="153"/>
      <c r="HT31" s="153"/>
      <c r="HU31" s="153"/>
      <c r="HV31" s="153"/>
      <c r="HW31" s="153"/>
      <c r="HX31" s="153"/>
      <c r="HY31" s="153"/>
      <c r="HZ31" s="153"/>
      <c r="IA31" s="153"/>
      <c r="IB31" s="153"/>
      <c r="IC31" s="153"/>
      <c r="ID31" s="153"/>
      <c r="IE31" s="153"/>
      <c r="IF31" s="153"/>
      <c r="IG31" s="153"/>
      <c r="IH31" s="153"/>
      <c r="II31" s="153"/>
      <c r="IJ31" s="153"/>
      <c r="IK31" s="153"/>
      <c r="IL31" s="153"/>
      <c r="IM31" s="153"/>
      <c r="IN31" s="153"/>
      <c r="IO31" s="153"/>
      <c r="IP31" s="153"/>
      <c r="IQ31" s="153"/>
      <c r="IR31" s="153"/>
      <c r="IS31" s="153"/>
      <c r="IT31" s="153"/>
      <c r="IU31" s="153"/>
      <c r="IV31" s="153"/>
      <c r="IW31" s="153"/>
      <c r="IX31" s="153"/>
      <c r="IY31" s="153"/>
      <c r="IZ31" s="153"/>
      <c r="JA31" s="153"/>
      <c r="JB31" s="153"/>
      <c r="JC31" s="153"/>
      <c r="JD31" s="153"/>
      <c r="JE31" s="153"/>
      <c r="JF31" s="153"/>
      <c r="JG31" s="153"/>
      <c r="JH31" s="153"/>
      <c r="JI31" s="153"/>
      <c r="JJ31" s="153"/>
      <c r="JK31" s="153"/>
      <c r="JL31" s="153"/>
      <c r="JM31" s="153"/>
      <c r="JN31" s="153"/>
      <c r="JO31" s="153"/>
      <c r="JP31" s="153"/>
      <c r="JQ31" s="153"/>
      <c r="JR31" s="153"/>
      <c r="JS31" s="153"/>
      <c r="JT31" s="153"/>
      <c r="JU31" s="153"/>
      <c r="JV31" s="153"/>
      <c r="JW31" s="153"/>
    </row>
    <row r="32" spans="1:283" ht="12" customHeight="1" outlineLevel="3">
      <c r="A32" s="123"/>
      <c r="B32" s="123"/>
      <c r="C32" s="123">
        <v>4</v>
      </c>
      <c r="D32" s="151" t="s">
        <v>1987</v>
      </c>
      <c r="E32" s="124"/>
      <c r="F32" s="124"/>
      <c r="G32" s="124"/>
      <c r="H32" s="124" t="s">
        <v>1757</v>
      </c>
      <c r="I32" s="124"/>
      <c r="J32" s="124"/>
      <c r="K32" s="124"/>
      <c r="L32" s="124"/>
      <c r="M32" s="124"/>
      <c r="N32" s="124"/>
      <c r="O32" s="124"/>
      <c r="P32" s="125">
        <v>45894</v>
      </c>
      <c r="Q32" s="125">
        <v>45898</v>
      </c>
      <c r="R32" s="124"/>
      <c r="S32" s="126">
        <v>5</v>
      </c>
      <c r="T32" s="126">
        <v>5</v>
      </c>
      <c r="U32" s="126">
        <v>5</v>
      </c>
      <c r="V32" s="126">
        <v>5</v>
      </c>
      <c r="W32" s="125">
        <v>45894</v>
      </c>
      <c r="X32" s="125">
        <v>45898</v>
      </c>
      <c r="Y32" s="127">
        <v>5</v>
      </c>
      <c r="Z32" s="128">
        <v>5</v>
      </c>
      <c r="AA32" s="126">
        <v>1</v>
      </c>
      <c r="AB32" s="124"/>
      <c r="AC32" s="129"/>
      <c r="AD32" s="150">
        <v>1</v>
      </c>
      <c r="AE32" s="251">
        <v>1</v>
      </c>
      <c r="AF32" s="183"/>
      <c r="AG32" s="153"/>
      <c r="AH32" s="153"/>
      <c r="AI32" s="153"/>
      <c r="AJ32" s="153"/>
      <c r="AK32" s="153"/>
      <c r="AL32" s="153"/>
      <c r="AM32" s="153"/>
      <c r="AN32" s="153"/>
      <c r="AO32" s="153"/>
      <c r="AP32" s="153"/>
      <c r="AQ32" s="153"/>
      <c r="AR32" s="153"/>
      <c r="AS32" s="153"/>
      <c r="AT32" s="153"/>
      <c r="AU32" s="153"/>
      <c r="AV32" s="153"/>
      <c r="AW32" s="153"/>
      <c r="AX32" s="153"/>
      <c r="AY32" s="153"/>
      <c r="AZ32" s="153"/>
      <c r="BA32" s="153"/>
      <c r="BB32" s="153"/>
      <c r="BC32" s="153"/>
      <c r="BD32" s="153"/>
      <c r="BE32" s="153"/>
      <c r="BF32" s="153"/>
      <c r="BG32" s="153"/>
      <c r="BH32" s="153"/>
      <c r="BI32" s="153"/>
      <c r="BJ32" s="153"/>
      <c r="BK32" s="153"/>
      <c r="BL32" s="153"/>
      <c r="BM32" s="153"/>
      <c r="BN32" s="153"/>
      <c r="BO32" s="153"/>
      <c r="BP32" s="153"/>
      <c r="BQ32" s="153"/>
      <c r="BR32" s="153"/>
      <c r="BS32" s="153"/>
      <c r="BT32" s="153"/>
      <c r="BU32" s="153"/>
      <c r="BV32" s="153"/>
      <c r="BW32" s="153"/>
      <c r="BX32" s="153"/>
      <c r="BY32" s="153"/>
      <c r="BZ32" s="153"/>
      <c r="CA32" s="153"/>
      <c r="CB32" s="153"/>
      <c r="CC32" s="153"/>
      <c r="CD32" s="153"/>
      <c r="CE32" s="153"/>
      <c r="CF32" s="153"/>
      <c r="CG32" s="153"/>
      <c r="CH32" s="153"/>
      <c r="CI32" s="153"/>
      <c r="CJ32" s="153"/>
      <c r="CK32" s="153"/>
      <c r="CL32" s="153"/>
      <c r="CM32" s="153"/>
      <c r="CN32" s="153"/>
      <c r="CO32" s="153"/>
      <c r="CP32" s="153"/>
      <c r="CQ32" s="153"/>
      <c r="CR32" s="153"/>
      <c r="CS32" s="153"/>
      <c r="CT32" s="153"/>
      <c r="CU32" s="153"/>
      <c r="CV32" s="153"/>
      <c r="CW32" s="153"/>
      <c r="CX32" s="153"/>
      <c r="CY32" s="153"/>
      <c r="CZ32" s="153"/>
      <c r="DA32" s="153"/>
      <c r="DB32" s="153"/>
      <c r="DC32" s="153"/>
      <c r="DD32" s="153"/>
      <c r="DE32" s="153"/>
      <c r="DF32" s="153"/>
      <c r="DG32" s="153"/>
      <c r="DH32" s="153"/>
      <c r="DI32" s="153"/>
      <c r="DJ32" s="153"/>
      <c r="DK32" s="153"/>
      <c r="DL32" s="153"/>
      <c r="DM32" s="153"/>
      <c r="DN32" s="153"/>
      <c r="DO32" s="153"/>
      <c r="DP32" s="153"/>
      <c r="DQ32" s="153" t="str">
        <f>"" &amp; TEXT(AE32,"#0.00%") &amp; "/" &amp; TEXT(AD32,"#0.00% ") &amp; "" &amp; "" &amp; " " &amp; ""</f>
        <v xml:space="preserve">100.00%/100.00%  </v>
      </c>
      <c r="DR32" s="153"/>
      <c r="DS32" s="153"/>
      <c r="DT32" s="153"/>
      <c r="DU32" s="153"/>
      <c r="DV32" s="153"/>
      <c r="DW32" s="153"/>
      <c r="DX32" s="153"/>
      <c r="DY32" s="153"/>
      <c r="DZ32" s="153"/>
      <c r="EA32" s="153"/>
      <c r="EB32" s="153"/>
      <c r="EC32" s="153"/>
      <c r="ED32" s="153"/>
      <c r="EE32" s="153"/>
      <c r="EF32" s="153"/>
      <c r="EG32" s="153"/>
      <c r="EH32" s="153"/>
      <c r="EI32" s="153"/>
      <c r="EJ32" s="153"/>
      <c r="EK32" s="153"/>
      <c r="EL32" s="153"/>
      <c r="EM32" s="153"/>
      <c r="EN32" s="153"/>
      <c r="EO32" s="153"/>
      <c r="EP32" s="153"/>
      <c r="EQ32" s="153"/>
      <c r="ER32" s="153"/>
      <c r="ES32" s="153"/>
      <c r="ET32" s="153"/>
      <c r="EU32" s="153"/>
      <c r="EV32" s="153"/>
      <c r="EW32" s="153"/>
      <c r="EX32" s="153"/>
      <c r="EY32" s="153"/>
      <c r="EZ32" s="153"/>
      <c r="FA32" s="153"/>
      <c r="FB32" s="153"/>
      <c r="FC32" s="153"/>
      <c r="FD32" s="153"/>
      <c r="FE32" s="153"/>
      <c r="FF32" s="153"/>
      <c r="FG32" s="153"/>
      <c r="FH32" s="153"/>
      <c r="FI32" s="153"/>
      <c r="FJ32" s="153"/>
      <c r="FK32" s="153"/>
      <c r="FL32" s="153"/>
      <c r="FM32" s="153"/>
      <c r="FN32" s="153"/>
      <c r="FO32" s="153"/>
      <c r="FP32" s="153"/>
      <c r="FQ32" s="153"/>
      <c r="FR32" s="153"/>
      <c r="FS32" s="153"/>
      <c r="FT32" s="153"/>
      <c r="FU32" s="153"/>
      <c r="FV32" s="153"/>
      <c r="FW32" s="153"/>
      <c r="FX32" s="153"/>
      <c r="FY32" s="153"/>
      <c r="FZ32" s="153"/>
      <c r="GA32" s="153"/>
      <c r="GB32" s="153"/>
      <c r="GC32" s="153"/>
      <c r="GD32" s="153"/>
      <c r="GE32" s="153"/>
      <c r="GF32" s="153"/>
      <c r="GG32" s="153"/>
      <c r="GH32" s="153"/>
      <c r="GI32" s="153"/>
      <c r="GJ32" s="153"/>
      <c r="GK32" s="153"/>
      <c r="GL32" s="153"/>
      <c r="GM32" s="153"/>
      <c r="GN32" s="153"/>
      <c r="GO32" s="153"/>
      <c r="GP32" s="153"/>
      <c r="GQ32" s="153"/>
      <c r="GR32" s="153"/>
      <c r="GS32" s="153"/>
      <c r="GT32" s="153"/>
      <c r="GU32" s="153"/>
      <c r="GV32" s="153"/>
      <c r="GW32" s="153"/>
      <c r="GX32" s="153"/>
      <c r="GY32" s="153"/>
      <c r="GZ32" s="153"/>
      <c r="HA32" s="153"/>
      <c r="HB32" s="153"/>
      <c r="HC32" s="153"/>
      <c r="HD32" s="153"/>
      <c r="HE32" s="153"/>
      <c r="HF32" s="153"/>
      <c r="HG32" s="153"/>
      <c r="HH32" s="153"/>
      <c r="HI32" s="153"/>
      <c r="HJ32" s="153"/>
      <c r="HK32" s="153"/>
      <c r="HL32" s="153"/>
      <c r="HM32" s="153"/>
      <c r="HN32" s="153"/>
      <c r="HO32" s="153"/>
      <c r="HP32" s="153"/>
      <c r="HQ32" s="153"/>
      <c r="HR32" s="153"/>
      <c r="HS32" s="153"/>
      <c r="HT32" s="153"/>
      <c r="HU32" s="153"/>
      <c r="HV32" s="153"/>
      <c r="HW32" s="153"/>
      <c r="HX32" s="153"/>
      <c r="HY32" s="153"/>
      <c r="HZ32" s="153"/>
      <c r="IA32" s="153"/>
      <c r="IB32" s="153"/>
      <c r="IC32" s="153"/>
      <c r="ID32" s="153"/>
      <c r="IE32" s="153"/>
      <c r="IF32" s="153"/>
      <c r="IG32" s="153"/>
      <c r="IH32" s="153"/>
      <c r="II32" s="153"/>
      <c r="IJ32" s="153"/>
      <c r="IK32" s="153"/>
      <c r="IL32" s="153"/>
      <c r="IM32" s="153"/>
      <c r="IN32" s="153"/>
      <c r="IO32" s="153"/>
      <c r="IP32" s="153"/>
      <c r="IQ32" s="153"/>
      <c r="IR32" s="153"/>
      <c r="IS32" s="153"/>
      <c r="IT32" s="153"/>
      <c r="IU32" s="153"/>
      <c r="IV32" s="153"/>
      <c r="IW32" s="153"/>
      <c r="IX32" s="153"/>
      <c r="IY32" s="153"/>
      <c r="IZ32" s="153"/>
      <c r="JA32" s="153"/>
      <c r="JB32" s="153"/>
      <c r="JC32" s="153"/>
      <c r="JD32" s="153"/>
      <c r="JE32" s="153"/>
      <c r="JF32" s="153"/>
      <c r="JG32" s="153"/>
      <c r="JH32" s="153"/>
      <c r="JI32" s="153"/>
      <c r="JJ32" s="153"/>
      <c r="JK32" s="153"/>
      <c r="JL32" s="153"/>
      <c r="JM32" s="153"/>
      <c r="JN32" s="153"/>
      <c r="JO32" s="153"/>
      <c r="JP32" s="153"/>
      <c r="JQ32" s="153"/>
      <c r="JR32" s="153"/>
      <c r="JS32" s="153"/>
      <c r="JT32" s="153"/>
      <c r="JU32" s="153"/>
      <c r="JV32" s="153"/>
      <c r="JW32" s="153"/>
    </row>
    <row r="33" spans="1:283" ht="12" customHeight="1" outlineLevel="3">
      <c r="A33" s="123"/>
      <c r="B33" s="123"/>
      <c r="C33" s="123">
        <v>4</v>
      </c>
      <c r="D33" s="151" t="s">
        <v>1988</v>
      </c>
      <c r="E33" s="124"/>
      <c r="F33" s="124"/>
      <c r="G33" s="124"/>
      <c r="H33" s="124" t="s">
        <v>1758</v>
      </c>
      <c r="I33" s="124"/>
      <c r="J33" s="124"/>
      <c r="K33" s="124"/>
      <c r="L33" s="124"/>
      <c r="M33" s="124"/>
      <c r="N33" s="124"/>
      <c r="O33" s="124"/>
      <c r="P33" s="125">
        <v>45894</v>
      </c>
      <c r="Q33" s="125">
        <v>45894</v>
      </c>
      <c r="R33" s="124"/>
      <c r="S33" s="126">
        <v>1</v>
      </c>
      <c r="T33" s="126">
        <v>1</v>
      </c>
      <c r="U33" s="126">
        <v>1</v>
      </c>
      <c r="V33" s="126">
        <v>1</v>
      </c>
      <c r="W33" s="125">
        <v>45898</v>
      </c>
      <c r="X33" s="125">
        <v>45898</v>
      </c>
      <c r="Y33" s="127">
        <v>1</v>
      </c>
      <c r="Z33" s="128">
        <v>1</v>
      </c>
      <c r="AA33" s="126">
        <v>1</v>
      </c>
      <c r="AB33" s="124"/>
      <c r="AC33" s="129"/>
      <c r="AD33" s="150">
        <v>1</v>
      </c>
      <c r="AE33" s="251">
        <v>1</v>
      </c>
      <c r="AF33" s="18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c r="BE33" s="153"/>
      <c r="BF33" s="153"/>
      <c r="BG33" s="153"/>
      <c r="BH33" s="153"/>
      <c r="BI33" s="153"/>
      <c r="BJ33" s="153"/>
      <c r="BK33" s="153"/>
      <c r="BL33" s="153"/>
      <c r="BM33" s="153"/>
      <c r="BN33" s="153"/>
      <c r="BO33" s="153"/>
      <c r="BP33" s="153"/>
      <c r="BQ33" s="153"/>
      <c r="BR33" s="153"/>
      <c r="BS33" s="153"/>
      <c r="BT33" s="153"/>
      <c r="BU33" s="153"/>
      <c r="BV33" s="153"/>
      <c r="BW33" s="153"/>
      <c r="BX33" s="153"/>
      <c r="BY33" s="153"/>
      <c r="BZ33" s="153"/>
      <c r="CA33" s="153"/>
      <c r="CB33" s="153"/>
      <c r="CC33" s="153"/>
      <c r="CD33" s="153"/>
      <c r="CE33" s="153"/>
      <c r="CF33" s="153"/>
      <c r="CG33" s="153"/>
      <c r="CH33" s="153"/>
      <c r="CI33" s="153"/>
      <c r="CJ33" s="153"/>
      <c r="CK33" s="153"/>
      <c r="CL33" s="153"/>
      <c r="CM33" s="153"/>
      <c r="CN33" s="153"/>
      <c r="CO33" s="153"/>
      <c r="CP33" s="153"/>
      <c r="CQ33" s="153"/>
      <c r="CR33" s="153"/>
      <c r="CS33" s="153"/>
      <c r="CT33" s="153"/>
      <c r="CU33" s="153"/>
      <c r="CV33" s="153"/>
      <c r="CW33" s="153"/>
      <c r="CX33" s="153"/>
      <c r="CY33" s="153"/>
      <c r="CZ33" s="153"/>
      <c r="DA33" s="153"/>
      <c r="DB33" s="153"/>
      <c r="DC33" s="153"/>
      <c r="DD33" s="153"/>
      <c r="DE33" s="153"/>
      <c r="DF33" s="153"/>
      <c r="DG33" s="153"/>
      <c r="DH33" s="153"/>
      <c r="DI33" s="153"/>
      <c r="DJ33" s="153"/>
      <c r="DK33" s="153"/>
      <c r="DL33" s="153"/>
      <c r="DM33" s="153"/>
      <c r="DN33" s="153"/>
      <c r="DO33" s="153"/>
      <c r="DP33" s="153"/>
      <c r="DQ33" s="153" t="str">
        <f>"" &amp; TEXT(AE33,"#0.00%") &amp; "/" &amp; TEXT(AD33,"#0.00% ") &amp; "" &amp; "" &amp; " " &amp; ""</f>
        <v xml:space="preserve">100.00%/100.00%  </v>
      </c>
      <c r="DR33" s="153"/>
      <c r="DS33" s="153"/>
      <c r="DT33" s="153"/>
      <c r="DU33" s="153"/>
      <c r="DV33" s="153"/>
      <c r="DW33" s="153"/>
      <c r="DX33" s="153"/>
      <c r="DY33" s="153"/>
      <c r="DZ33" s="153"/>
      <c r="EA33" s="153"/>
      <c r="EB33" s="153"/>
      <c r="EC33" s="153"/>
      <c r="ED33" s="153"/>
      <c r="EE33" s="153"/>
      <c r="EF33" s="153"/>
      <c r="EG33" s="153"/>
      <c r="EH33" s="153"/>
      <c r="EI33" s="153"/>
      <c r="EJ33" s="153"/>
      <c r="EK33" s="153"/>
      <c r="EL33" s="153"/>
      <c r="EM33" s="153"/>
      <c r="EN33" s="153"/>
      <c r="EO33" s="153"/>
      <c r="EP33" s="153"/>
      <c r="EQ33" s="153"/>
      <c r="ER33" s="153"/>
      <c r="ES33" s="153"/>
      <c r="ET33" s="153"/>
      <c r="EU33" s="153"/>
      <c r="EV33" s="153"/>
      <c r="EW33" s="153"/>
      <c r="EX33" s="153"/>
      <c r="EY33" s="153"/>
      <c r="EZ33" s="153"/>
      <c r="FA33" s="153"/>
      <c r="FB33" s="153"/>
      <c r="FC33" s="153"/>
      <c r="FD33" s="153"/>
      <c r="FE33" s="153"/>
      <c r="FF33" s="153"/>
      <c r="FG33" s="153"/>
      <c r="FH33" s="153"/>
      <c r="FI33" s="153"/>
      <c r="FJ33" s="153"/>
      <c r="FK33" s="153"/>
      <c r="FL33" s="153"/>
      <c r="FM33" s="153"/>
      <c r="FN33" s="153"/>
      <c r="FO33" s="153"/>
      <c r="FP33" s="153"/>
      <c r="FQ33" s="153"/>
      <c r="FR33" s="153"/>
      <c r="FS33" s="153"/>
      <c r="FT33" s="153"/>
      <c r="FU33" s="153"/>
      <c r="FV33" s="153"/>
      <c r="FW33" s="153"/>
      <c r="FX33" s="153"/>
      <c r="FY33" s="153"/>
      <c r="FZ33" s="153"/>
      <c r="GA33" s="153"/>
      <c r="GB33" s="153"/>
      <c r="GC33" s="153"/>
      <c r="GD33" s="153"/>
      <c r="GE33" s="153"/>
      <c r="GF33" s="153"/>
      <c r="GG33" s="153"/>
      <c r="GH33" s="153"/>
      <c r="GI33" s="153"/>
      <c r="GJ33" s="153"/>
      <c r="GK33" s="153"/>
      <c r="GL33" s="153"/>
      <c r="GM33" s="153"/>
      <c r="GN33" s="153"/>
      <c r="GO33" s="153"/>
      <c r="GP33" s="153"/>
      <c r="GQ33" s="153"/>
      <c r="GR33" s="153"/>
      <c r="GS33" s="153"/>
      <c r="GT33" s="153"/>
      <c r="GU33" s="153"/>
      <c r="GV33" s="153"/>
      <c r="GW33" s="153"/>
      <c r="GX33" s="153"/>
      <c r="GY33" s="153"/>
      <c r="GZ33" s="153"/>
      <c r="HA33" s="153"/>
      <c r="HB33" s="153"/>
      <c r="HC33" s="153"/>
      <c r="HD33" s="153"/>
      <c r="HE33" s="153"/>
      <c r="HF33" s="153"/>
      <c r="HG33" s="153"/>
      <c r="HH33" s="153"/>
      <c r="HI33" s="153"/>
      <c r="HJ33" s="153"/>
      <c r="HK33" s="153"/>
      <c r="HL33" s="153"/>
      <c r="HM33" s="153"/>
      <c r="HN33" s="153"/>
      <c r="HO33" s="153"/>
      <c r="HP33" s="153"/>
      <c r="HQ33" s="153"/>
      <c r="HR33" s="153"/>
      <c r="HS33" s="153"/>
      <c r="HT33" s="153"/>
      <c r="HU33" s="153"/>
      <c r="HV33" s="153"/>
      <c r="HW33" s="153"/>
      <c r="HX33" s="153"/>
      <c r="HY33" s="153"/>
      <c r="HZ33" s="153"/>
      <c r="IA33" s="153"/>
      <c r="IB33" s="153"/>
      <c r="IC33" s="153"/>
      <c r="ID33" s="153"/>
      <c r="IE33" s="153"/>
      <c r="IF33" s="153"/>
      <c r="IG33" s="153"/>
      <c r="IH33" s="153"/>
      <c r="II33" s="153"/>
      <c r="IJ33" s="153"/>
      <c r="IK33" s="153"/>
      <c r="IL33" s="153"/>
      <c r="IM33" s="153"/>
      <c r="IN33" s="153"/>
      <c r="IO33" s="153"/>
      <c r="IP33" s="153"/>
      <c r="IQ33" s="153"/>
      <c r="IR33" s="153"/>
      <c r="IS33" s="153"/>
      <c r="IT33" s="153"/>
      <c r="IU33" s="153"/>
      <c r="IV33" s="153"/>
      <c r="IW33" s="153"/>
      <c r="IX33" s="153"/>
      <c r="IY33" s="153"/>
      <c r="IZ33" s="153"/>
      <c r="JA33" s="153"/>
      <c r="JB33" s="153"/>
      <c r="JC33" s="153"/>
      <c r="JD33" s="153"/>
      <c r="JE33" s="153"/>
      <c r="JF33" s="153"/>
      <c r="JG33" s="153"/>
      <c r="JH33" s="153"/>
      <c r="JI33" s="153"/>
      <c r="JJ33" s="153"/>
      <c r="JK33" s="153"/>
      <c r="JL33" s="153"/>
      <c r="JM33" s="153"/>
      <c r="JN33" s="153"/>
      <c r="JO33" s="153"/>
      <c r="JP33" s="153"/>
      <c r="JQ33" s="153"/>
      <c r="JR33" s="153"/>
      <c r="JS33" s="153"/>
      <c r="JT33" s="153"/>
      <c r="JU33" s="153"/>
      <c r="JV33" s="153"/>
      <c r="JW33" s="153"/>
    </row>
    <row r="34" spans="1:283" ht="12" customHeight="1" outlineLevel="3">
      <c r="A34" s="123"/>
      <c r="B34" s="123" t="s">
        <v>1934</v>
      </c>
      <c r="C34" s="123">
        <v>4</v>
      </c>
      <c r="D34" s="151" t="s">
        <v>1989</v>
      </c>
      <c r="E34" s="124"/>
      <c r="F34" s="124"/>
      <c r="G34" s="124"/>
      <c r="H34" s="124" t="s">
        <v>1638</v>
      </c>
      <c r="I34" s="124"/>
      <c r="J34" s="124"/>
      <c r="K34" s="124"/>
      <c r="L34" s="124"/>
      <c r="M34" s="124"/>
      <c r="N34" s="124"/>
      <c r="O34" s="124"/>
      <c r="P34" s="125">
        <v>45901</v>
      </c>
      <c r="Q34" s="125">
        <v>45947</v>
      </c>
      <c r="R34" s="124"/>
      <c r="S34" s="126">
        <v>81</v>
      </c>
      <c r="T34" s="126">
        <v>81</v>
      </c>
      <c r="U34" s="126">
        <v>30</v>
      </c>
      <c r="V34" s="126">
        <v>30</v>
      </c>
      <c r="W34" s="125">
        <v>45901</v>
      </c>
      <c r="X34" s="125">
        <v>45947</v>
      </c>
      <c r="Y34" s="127">
        <v>81</v>
      </c>
      <c r="Z34" s="128">
        <v>30</v>
      </c>
      <c r="AA34" s="126"/>
      <c r="AB34" s="124"/>
      <c r="AC34" s="129"/>
      <c r="AD34" s="150">
        <v>1</v>
      </c>
      <c r="AE34" s="252">
        <v>1</v>
      </c>
      <c r="AF34" s="18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c r="BJ34" s="153"/>
      <c r="BK34" s="153"/>
      <c r="BL34" s="153"/>
      <c r="BM34" s="153"/>
      <c r="BN34" s="153"/>
      <c r="BO34" s="153"/>
      <c r="BP34" s="153"/>
      <c r="BQ34" s="153"/>
      <c r="BR34" s="153"/>
      <c r="BS34" s="153"/>
      <c r="BT34" s="153"/>
      <c r="BU34" s="153"/>
      <c r="BV34" s="153"/>
      <c r="BW34" s="153"/>
      <c r="BX34" s="153"/>
      <c r="BY34" s="153"/>
      <c r="BZ34" s="153"/>
      <c r="CA34" s="153"/>
      <c r="CB34" s="153"/>
      <c r="CC34" s="153"/>
      <c r="CD34" s="153"/>
      <c r="CE34" s="153"/>
      <c r="CF34" s="153"/>
      <c r="CG34" s="153"/>
      <c r="CH34" s="153"/>
      <c r="CI34" s="153"/>
      <c r="CJ34" s="153"/>
      <c r="CK34" s="153"/>
      <c r="CL34" s="153"/>
      <c r="CM34" s="153"/>
      <c r="CN34" s="153"/>
      <c r="CO34" s="153"/>
      <c r="CP34" s="153"/>
      <c r="CQ34" s="153"/>
      <c r="CR34" s="153"/>
      <c r="CS34" s="153"/>
      <c r="CT34" s="153"/>
      <c r="CU34" s="153"/>
      <c r="CV34" s="153"/>
      <c r="CW34" s="153"/>
      <c r="CX34" s="153"/>
      <c r="CY34" s="153"/>
      <c r="CZ34" s="153"/>
      <c r="DA34" s="153"/>
      <c r="DB34" s="153"/>
      <c r="DC34" s="153"/>
      <c r="DD34" s="153"/>
      <c r="DE34" s="153"/>
      <c r="DF34" s="153"/>
      <c r="DG34" s="153"/>
      <c r="DH34" s="153"/>
      <c r="DI34" s="153"/>
      <c r="DJ34" s="153"/>
      <c r="DK34" s="153"/>
      <c r="DL34" s="153"/>
      <c r="DM34" s="153"/>
      <c r="DN34" s="153"/>
      <c r="DO34" s="153"/>
      <c r="DP34" s="153"/>
      <c r="DQ34" s="153"/>
      <c r="DR34" s="153"/>
      <c r="DS34" s="153"/>
      <c r="DT34" s="153"/>
      <c r="DU34" s="153"/>
      <c r="DV34" s="153"/>
      <c r="DW34" s="153"/>
      <c r="DX34" s="153"/>
      <c r="DY34" s="153"/>
      <c r="DZ34" s="153"/>
      <c r="EA34" s="153"/>
      <c r="EB34" s="153"/>
      <c r="EC34" s="153"/>
      <c r="ED34" s="153"/>
      <c r="EE34" s="153"/>
      <c r="EF34" s="153"/>
      <c r="EG34" s="153"/>
      <c r="EH34" s="153"/>
      <c r="EI34" s="153"/>
      <c r="EJ34" s="153"/>
      <c r="EK34" s="153"/>
      <c r="EL34" s="153"/>
      <c r="EM34" s="153"/>
      <c r="EN34" s="153"/>
      <c r="EO34" s="153"/>
      <c r="EP34" s="153"/>
      <c r="EQ34" s="153"/>
      <c r="ER34" s="153"/>
      <c r="ES34" s="153"/>
      <c r="ET34" s="153"/>
      <c r="EU34" s="153"/>
      <c r="EV34" s="153"/>
      <c r="EW34" s="153"/>
      <c r="EX34" s="153"/>
      <c r="EY34" s="153"/>
      <c r="EZ34" s="153"/>
      <c r="FA34" s="153"/>
      <c r="FB34" s="153"/>
      <c r="FC34" s="153"/>
      <c r="FD34" s="153"/>
      <c r="FE34" s="153"/>
      <c r="FF34" s="153"/>
      <c r="FG34" s="153"/>
      <c r="FH34" s="153"/>
      <c r="FI34" s="153"/>
      <c r="FJ34" s="153"/>
      <c r="FK34" s="153"/>
      <c r="FL34" s="153"/>
      <c r="FM34" s="153"/>
      <c r="FN34" s="153" t="str">
        <f>"" &amp; TEXT(AE34,"#0.00%") &amp; "/" &amp; TEXT(AD34,"#0.00% ") &amp; "" &amp; "" &amp; " " &amp; ""</f>
        <v xml:space="preserve">100.00%/100.00%  </v>
      </c>
      <c r="FO34" s="153"/>
      <c r="FP34" s="153"/>
      <c r="FQ34" s="153"/>
      <c r="FR34" s="153"/>
      <c r="FS34" s="153"/>
      <c r="FT34" s="153"/>
      <c r="FU34" s="153"/>
      <c r="FV34" s="153"/>
      <c r="FW34" s="153"/>
      <c r="FX34" s="153"/>
      <c r="FY34" s="153"/>
      <c r="FZ34" s="153"/>
      <c r="GA34" s="153"/>
      <c r="GB34" s="153"/>
      <c r="GC34" s="153"/>
      <c r="GD34" s="153"/>
      <c r="GE34" s="153"/>
      <c r="GF34" s="153"/>
      <c r="GG34" s="153"/>
      <c r="GH34" s="153"/>
      <c r="GI34" s="153"/>
      <c r="GJ34" s="153"/>
      <c r="GK34" s="153"/>
      <c r="GL34" s="153"/>
      <c r="GM34" s="153"/>
      <c r="GN34" s="153"/>
      <c r="GO34" s="153"/>
      <c r="GP34" s="153"/>
      <c r="GQ34" s="153"/>
      <c r="GR34" s="153"/>
      <c r="GS34" s="153"/>
      <c r="GT34" s="153"/>
      <c r="GU34" s="153"/>
      <c r="GV34" s="153"/>
      <c r="GW34" s="153"/>
      <c r="GX34" s="153"/>
      <c r="GY34" s="153"/>
      <c r="GZ34" s="153"/>
      <c r="HA34" s="153"/>
      <c r="HB34" s="153"/>
      <c r="HC34" s="153"/>
      <c r="HD34" s="153"/>
      <c r="HE34" s="153"/>
      <c r="HF34" s="153"/>
      <c r="HG34" s="153"/>
      <c r="HH34" s="153"/>
      <c r="HI34" s="153"/>
      <c r="HJ34" s="153"/>
      <c r="HK34" s="153"/>
      <c r="HL34" s="153"/>
      <c r="HM34" s="153"/>
      <c r="HN34" s="153"/>
      <c r="HO34" s="153"/>
      <c r="HP34" s="153"/>
      <c r="HQ34" s="153"/>
      <c r="HR34" s="153"/>
      <c r="HS34" s="153"/>
      <c r="HT34" s="153"/>
      <c r="HU34" s="153"/>
      <c r="HV34" s="153"/>
      <c r="HW34" s="153"/>
      <c r="HX34" s="153"/>
      <c r="HY34" s="153"/>
      <c r="HZ34" s="153"/>
      <c r="IA34" s="153"/>
      <c r="IB34" s="153"/>
      <c r="IC34" s="153"/>
      <c r="ID34" s="153"/>
      <c r="IE34" s="153"/>
      <c r="IF34" s="153"/>
      <c r="IG34" s="153"/>
      <c r="IH34" s="153"/>
      <c r="II34" s="153"/>
      <c r="IJ34" s="153"/>
      <c r="IK34" s="153"/>
      <c r="IL34" s="153"/>
      <c r="IM34" s="153"/>
      <c r="IN34" s="153"/>
      <c r="IO34" s="153"/>
      <c r="IP34" s="153"/>
      <c r="IQ34" s="153"/>
      <c r="IR34" s="153"/>
      <c r="IS34" s="153"/>
      <c r="IT34" s="153"/>
      <c r="IU34" s="153"/>
      <c r="IV34" s="153"/>
      <c r="IW34" s="153"/>
      <c r="IX34" s="153"/>
      <c r="IY34" s="153"/>
      <c r="IZ34" s="153"/>
      <c r="JA34" s="153"/>
      <c r="JB34" s="153"/>
      <c r="JC34" s="153"/>
      <c r="JD34" s="153"/>
      <c r="JE34" s="153"/>
      <c r="JF34" s="153"/>
      <c r="JG34" s="153"/>
      <c r="JH34" s="153"/>
      <c r="JI34" s="153"/>
      <c r="JJ34" s="153"/>
      <c r="JK34" s="153"/>
      <c r="JL34" s="153"/>
      <c r="JM34" s="153"/>
      <c r="JN34" s="153"/>
      <c r="JO34" s="153"/>
      <c r="JP34" s="153"/>
      <c r="JQ34" s="153"/>
      <c r="JR34" s="153"/>
      <c r="JS34" s="153"/>
      <c r="JT34" s="153"/>
      <c r="JU34" s="153"/>
      <c r="JV34" s="153"/>
      <c r="JW34" s="153"/>
    </row>
    <row r="35" spans="1:283" ht="12" customHeight="1" outlineLevel="4">
      <c r="A35" s="123"/>
      <c r="B35" s="123"/>
      <c r="C35" s="123">
        <v>5</v>
      </c>
      <c r="D35" s="151" t="s">
        <v>1990</v>
      </c>
      <c r="E35" s="124"/>
      <c r="F35" s="124"/>
      <c r="G35" s="124"/>
      <c r="H35" s="124"/>
      <c r="I35" s="124" t="s">
        <v>1905</v>
      </c>
      <c r="J35" s="124"/>
      <c r="K35" s="124"/>
      <c r="L35" s="124"/>
      <c r="M35" s="124"/>
      <c r="N35" s="124"/>
      <c r="O35" s="124"/>
      <c r="P35" s="125">
        <v>45901</v>
      </c>
      <c r="Q35" s="125">
        <v>45910</v>
      </c>
      <c r="R35" s="124"/>
      <c r="S35" s="126">
        <v>8</v>
      </c>
      <c r="T35" s="126">
        <v>8</v>
      </c>
      <c r="U35" s="126">
        <v>8</v>
      </c>
      <c r="V35" s="126">
        <v>8</v>
      </c>
      <c r="W35" s="125">
        <v>45901</v>
      </c>
      <c r="X35" s="125">
        <v>45910</v>
      </c>
      <c r="Y35" s="127">
        <v>8</v>
      </c>
      <c r="Z35" s="128">
        <v>8</v>
      </c>
      <c r="AA35" s="126">
        <v>1</v>
      </c>
      <c r="AB35" s="124"/>
      <c r="AC35" s="129"/>
      <c r="AD35" s="150">
        <v>1</v>
      </c>
      <c r="AE35" s="251">
        <v>1</v>
      </c>
      <c r="AF35" s="183"/>
      <c r="AG35" s="153"/>
      <c r="AH35" s="153"/>
      <c r="AI35" s="153"/>
      <c r="AJ35" s="153"/>
      <c r="AK35" s="153"/>
      <c r="AL35" s="153"/>
      <c r="AM35" s="153"/>
      <c r="AN35" s="153"/>
      <c r="AO35" s="153"/>
      <c r="AP35" s="153"/>
      <c r="AQ35" s="153"/>
      <c r="AR35" s="153"/>
      <c r="AS35" s="153"/>
      <c r="AT35" s="153"/>
      <c r="AU35" s="153"/>
      <c r="AV35" s="153"/>
      <c r="AW35" s="153"/>
      <c r="AX35" s="153"/>
      <c r="AY35" s="153"/>
      <c r="AZ35" s="153"/>
      <c r="BA35" s="153"/>
      <c r="BB35" s="153"/>
      <c r="BC35" s="153"/>
      <c r="BD35" s="153"/>
      <c r="BE35" s="153"/>
      <c r="BF35" s="153"/>
      <c r="BG35" s="153"/>
      <c r="BH35" s="153"/>
      <c r="BI35" s="153"/>
      <c r="BJ35" s="153"/>
      <c r="BK35" s="153"/>
      <c r="BL35" s="153"/>
      <c r="BM35" s="153"/>
      <c r="BN35" s="153"/>
      <c r="BO35" s="153"/>
      <c r="BP35" s="153"/>
      <c r="BQ35" s="153"/>
      <c r="BR35" s="153"/>
      <c r="BS35" s="153"/>
      <c r="BT35" s="153"/>
      <c r="BU35" s="153"/>
      <c r="BV35" s="153"/>
      <c r="BW35" s="153"/>
      <c r="BX35" s="153"/>
      <c r="BY35" s="153"/>
      <c r="BZ35" s="153"/>
      <c r="CA35" s="153"/>
      <c r="CB35" s="153"/>
      <c r="CC35" s="153"/>
      <c r="CD35" s="153"/>
      <c r="CE35" s="153"/>
      <c r="CF35" s="153"/>
      <c r="CG35" s="153"/>
      <c r="CH35" s="153"/>
      <c r="CI35" s="153"/>
      <c r="CJ35" s="153"/>
      <c r="CK35" s="153"/>
      <c r="CL35" s="153"/>
      <c r="CM35" s="153"/>
      <c r="CN35" s="153"/>
      <c r="CO35" s="153"/>
      <c r="CP35" s="153"/>
      <c r="CQ35" s="153"/>
      <c r="CR35" s="153"/>
      <c r="CS35" s="153"/>
      <c r="CT35" s="153"/>
      <c r="CU35" s="153"/>
      <c r="CV35" s="153"/>
      <c r="CW35" s="153"/>
      <c r="CX35" s="153"/>
      <c r="CY35" s="153"/>
      <c r="CZ35" s="153"/>
      <c r="DA35" s="153"/>
      <c r="DB35" s="153"/>
      <c r="DC35" s="153"/>
      <c r="DD35" s="153"/>
      <c r="DE35" s="153"/>
      <c r="DF35" s="153"/>
      <c r="DG35" s="153"/>
      <c r="DH35" s="153"/>
      <c r="DI35" s="153"/>
      <c r="DJ35" s="153"/>
      <c r="DK35" s="153"/>
      <c r="DL35" s="153"/>
      <c r="DM35" s="153"/>
      <c r="DN35" s="153"/>
      <c r="DO35" s="153"/>
      <c r="DP35" s="153"/>
      <c r="DQ35" s="153"/>
      <c r="DR35" s="153"/>
      <c r="DS35" s="153"/>
      <c r="DT35" s="153"/>
      <c r="DU35" s="153"/>
      <c r="DV35" s="153"/>
      <c r="DW35" s="153"/>
      <c r="DX35" s="153"/>
      <c r="DY35" s="153"/>
      <c r="DZ35" s="153"/>
      <c r="EA35" s="153"/>
      <c r="EB35" s="153"/>
      <c r="EC35" s="153" t="str">
        <f>"" &amp; TEXT(AE35,"#0.00%") &amp; "/" &amp; TEXT(AD35,"#0.00% ") &amp; "" &amp; "" &amp; " " &amp; ""</f>
        <v xml:space="preserve">100.00%/100.00%  </v>
      </c>
      <c r="ED35" s="153"/>
      <c r="EE35" s="153"/>
      <c r="EF35" s="153"/>
      <c r="EG35" s="153"/>
      <c r="EH35" s="153"/>
      <c r="EI35" s="153"/>
      <c r="EJ35" s="153"/>
      <c r="EK35" s="153"/>
      <c r="EL35" s="153"/>
      <c r="EM35" s="153"/>
      <c r="EN35" s="153"/>
      <c r="EO35" s="153"/>
      <c r="EP35" s="153"/>
      <c r="EQ35" s="153"/>
      <c r="ER35" s="153"/>
      <c r="ES35" s="153"/>
      <c r="ET35" s="153"/>
      <c r="EU35" s="153"/>
      <c r="EV35" s="153"/>
      <c r="EW35" s="153"/>
      <c r="EX35" s="153"/>
      <c r="EY35" s="153"/>
      <c r="EZ35" s="153"/>
      <c r="FA35" s="153"/>
      <c r="FB35" s="153"/>
      <c r="FC35" s="153"/>
      <c r="FD35" s="153"/>
      <c r="FE35" s="153"/>
      <c r="FF35" s="153"/>
      <c r="FG35" s="153"/>
      <c r="FH35" s="153"/>
      <c r="FI35" s="153"/>
      <c r="FJ35" s="153"/>
      <c r="FK35" s="153"/>
      <c r="FL35" s="153"/>
      <c r="FM35" s="153"/>
      <c r="FN35" s="153"/>
      <c r="FO35" s="153"/>
      <c r="FP35" s="153"/>
      <c r="FQ35" s="153"/>
      <c r="FR35" s="153"/>
      <c r="FS35" s="153"/>
      <c r="FT35" s="153"/>
      <c r="FU35" s="153"/>
      <c r="FV35" s="153"/>
      <c r="FW35" s="153"/>
      <c r="FX35" s="153"/>
      <c r="FY35" s="153"/>
      <c r="FZ35" s="153"/>
      <c r="GA35" s="153"/>
      <c r="GB35" s="153"/>
      <c r="GC35" s="153"/>
      <c r="GD35" s="153"/>
      <c r="GE35" s="153"/>
      <c r="GF35" s="153"/>
      <c r="GG35" s="153"/>
      <c r="GH35" s="153"/>
      <c r="GI35" s="153"/>
      <c r="GJ35" s="153"/>
      <c r="GK35" s="153"/>
      <c r="GL35" s="153"/>
      <c r="GM35" s="153"/>
      <c r="GN35" s="153"/>
      <c r="GO35" s="153"/>
      <c r="GP35" s="153"/>
      <c r="GQ35" s="153"/>
      <c r="GR35" s="153"/>
      <c r="GS35" s="153"/>
      <c r="GT35" s="153"/>
      <c r="GU35" s="153"/>
      <c r="GV35" s="153"/>
      <c r="GW35" s="153"/>
      <c r="GX35" s="153"/>
      <c r="GY35" s="153"/>
      <c r="GZ35" s="153"/>
      <c r="HA35" s="153"/>
      <c r="HB35" s="153"/>
      <c r="HC35" s="153"/>
      <c r="HD35" s="153"/>
      <c r="HE35" s="153"/>
      <c r="HF35" s="153"/>
      <c r="HG35" s="153"/>
      <c r="HH35" s="153"/>
      <c r="HI35" s="153"/>
      <c r="HJ35" s="153"/>
      <c r="HK35" s="153"/>
      <c r="HL35" s="153"/>
      <c r="HM35" s="153"/>
      <c r="HN35" s="153"/>
      <c r="HO35" s="153"/>
      <c r="HP35" s="153"/>
      <c r="HQ35" s="153"/>
      <c r="HR35" s="153"/>
      <c r="HS35" s="153"/>
      <c r="HT35" s="153"/>
      <c r="HU35" s="153"/>
      <c r="HV35" s="153"/>
      <c r="HW35" s="153"/>
      <c r="HX35" s="153"/>
      <c r="HY35" s="153"/>
      <c r="HZ35" s="153"/>
      <c r="IA35" s="153"/>
      <c r="IB35" s="153"/>
      <c r="IC35" s="153"/>
      <c r="ID35" s="153"/>
      <c r="IE35" s="153"/>
      <c r="IF35" s="153"/>
      <c r="IG35" s="153"/>
      <c r="IH35" s="153"/>
      <c r="II35" s="153"/>
      <c r="IJ35" s="153"/>
      <c r="IK35" s="153"/>
      <c r="IL35" s="153"/>
      <c r="IM35" s="153"/>
      <c r="IN35" s="153"/>
      <c r="IO35" s="153"/>
      <c r="IP35" s="153"/>
      <c r="IQ35" s="153"/>
      <c r="IR35" s="153"/>
      <c r="IS35" s="153"/>
      <c r="IT35" s="153"/>
      <c r="IU35" s="153"/>
      <c r="IV35" s="153"/>
      <c r="IW35" s="153"/>
      <c r="IX35" s="153"/>
      <c r="IY35" s="153"/>
      <c r="IZ35" s="153"/>
      <c r="JA35" s="153"/>
      <c r="JB35" s="153"/>
      <c r="JC35" s="153"/>
      <c r="JD35" s="153"/>
      <c r="JE35" s="153"/>
      <c r="JF35" s="153"/>
      <c r="JG35" s="153"/>
      <c r="JH35" s="153"/>
      <c r="JI35" s="153"/>
      <c r="JJ35" s="153"/>
      <c r="JK35" s="153"/>
      <c r="JL35" s="153"/>
      <c r="JM35" s="153"/>
      <c r="JN35" s="153"/>
      <c r="JO35" s="153"/>
      <c r="JP35" s="153"/>
      <c r="JQ35" s="153"/>
      <c r="JR35" s="153"/>
      <c r="JS35" s="153"/>
      <c r="JT35" s="153"/>
      <c r="JU35" s="153"/>
      <c r="JV35" s="153"/>
      <c r="JW35" s="153"/>
    </row>
    <row r="36" spans="1:283" ht="12" customHeight="1" outlineLevel="4">
      <c r="A36" s="123"/>
      <c r="B36" s="123"/>
      <c r="C36" s="123">
        <v>5</v>
      </c>
      <c r="D36" s="151" t="s">
        <v>1991</v>
      </c>
      <c r="E36" s="124"/>
      <c r="F36" s="124"/>
      <c r="G36" s="124"/>
      <c r="H36" s="124"/>
      <c r="I36" s="124" t="s">
        <v>1751</v>
      </c>
      <c r="J36" s="124"/>
      <c r="K36" s="124"/>
      <c r="L36" s="124"/>
      <c r="M36" s="124"/>
      <c r="N36" s="124"/>
      <c r="O36" s="124"/>
      <c r="P36" s="125">
        <v>45901</v>
      </c>
      <c r="Q36" s="125">
        <v>45926</v>
      </c>
      <c r="R36" s="124"/>
      <c r="S36" s="126">
        <v>20</v>
      </c>
      <c r="T36" s="126">
        <v>20</v>
      </c>
      <c r="U36" s="126">
        <v>20</v>
      </c>
      <c r="V36" s="126">
        <v>20</v>
      </c>
      <c r="W36" s="125">
        <v>45901</v>
      </c>
      <c r="X36" s="125">
        <v>45926</v>
      </c>
      <c r="Y36" s="127">
        <v>20</v>
      </c>
      <c r="Z36" s="128">
        <v>20</v>
      </c>
      <c r="AA36" s="126">
        <v>1</v>
      </c>
      <c r="AB36" s="124"/>
      <c r="AC36" s="129"/>
      <c r="AD36" s="150">
        <v>1</v>
      </c>
      <c r="AE36" s="251">
        <v>1</v>
      </c>
      <c r="AF36" s="183"/>
      <c r="AG36" s="153"/>
      <c r="AH36" s="153"/>
      <c r="AI36" s="153"/>
      <c r="AJ36" s="153"/>
      <c r="AK36" s="153"/>
      <c r="AL36" s="153"/>
      <c r="AM36" s="153"/>
      <c r="AN36" s="153"/>
      <c r="AO36" s="153"/>
      <c r="AP36" s="153"/>
      <c r="AQ36" s="153"/>
      <c r="AR36" s="153"/>
      <c r="AS36" s="153"/>
      <c r="AT36" s="153"/>
      <c r="AU36" s="153"/>
      <c r="AV36" s="153"/>
      <c r="AW36" s="153"/>
      <c r="AX36" s="153"/>
      <c r="AY36" s="153"/>
      <c r="AZ36" s="153"/>
      <c r="BA36" s="153"/>
      <c r="BB36" s="153"/>
      <c r="BC36" s="153"/>
      <c r="BD36" s="153"/>
      <c r="BE36" s="153"/>
      <c r="BF36" s="153"/>
      <c r="BG36" s="153"/>
      <c r="BH36" s="153"/>
      <c r="BI36" s="153"/>
      <c r="BJ36" s="153"/>
      <c r="BK36" s="153"/>
      <c r="BL36" s="153"/>
      <c r="BM36" s="153"/>
      <c r="BN36" s="153"/>
      <c r="BO36" s="153"/>
      <c r="BP36" s="153"/>
      <c r="BQ36" s="153"/>
      <c r="BR36" s="153"/>
      <c r="BS36" s="153"/>
      <c r="BT36" s="153"/>
      <c r="BU36" s="153"/>
      <c r="BV36" s="153"/>
      <c r="BW36" s="153"/>
      <c r="BX36" s="153"/>
      <c r="BY36" s="153"/>
      <c r="BZ36" s="153"/>
      <c r="CA36" s="153"/>
      <c r="CB36" s="153"/>
      <c r="CC36" s="153"/>
      <c r="CD36" s="153"/>
      <c r="CE36" s="153"/>
      <c r="CF36" s="153"/>
      <c r="CG36" s="153"/>
      <c r="CH36" s="153"/>
      <c r="CI36" s="153"/>
      <c r="CJ36" s="153"/>
      <c r="CK36" s="153"/>
      <c r="CL36" s="153"/>
      <c r="CM36" s="153"/>
      <c r="CN36" s="153"/>
      <c r="CO36" s="153"/>
      <c r="CP36" s="153"/>
      <c r="CQ36" s="153"/>
      <c r="CR36" s="153"/>
      <c r="CS36" s="153"/>
      <c r="CT36" s="153"/>
      <c r="CU36" s="153"/>
      <c r="CV36" s="153"/>
      <c r="CW36" s="153"/>
      <c r="CX36" s="153"/>
      <c r="CY36" s="153"/>
      <c r="CZ36" s="153"/>
      <c r="DA36" s="153"/>
      <c r="DB36" s="153"/>
      <c r="DC36" s="153"/>
      <c r="DD36" s="153"/>
      <c r="DE36" s="153"/>
      <c r="DF36" s="153"/>
      <c r="DG36" s="153"/>
      <c r="DH36" s="153"/>
      <c r="DI36" s="153"/>
      <c r="DJ36" s="153"/>
      <c r="DK36" s="153"/>
      <c r="DL36" s="153"/>
      <c r="DM36" s="153"/>
      <c r="DN36" s="153"/>
      <c r="DO36" s="153"/>
      <c r="DP36" s="153"/>
      <c r="DQ36" s="153"/>
      <c r="DR36" s="153"/>
      <c r="DS36" s="153"/>
      <c r="DT36" s="153"/>
      <c r="DU36" s="153"/>
      <c r="DV36" s="153"/>
      <c r="DW36" s="153"/>
      <c r="DX36" s="153"/>
      <c r="DY36" s="153"/>
      <c r="DZ36" s="153"/>
      <c r="EA36" s="153"/>
      <c r="EB36" s="153"/>
      <c r="EC36" s="153"/>
      <c r="ED36" s="153"/>
      <c r="EE36" s="153"/>
      <c r="EF36" s="153"/>
      <c r="EG36" s="153"/>
      <c r="EH36" s="153"/>
      <c r="EI36" s="153"/>
      <c r="EJ36" s="153"/>
      <c r="EK36" s="153"/>
      <c r="EL36" s="153"/>
      <c r="EM36" s="153"/>
      <c r="EN36" s="153"/>
      <c r="EO36" s="153"/>
      <c r="EP36" s="153"/>
      <c r="EQ36" s="153"/>
      <c r="ER36" s="153"/>
      <c r="ES36" s="153" t="str">
        <f>"" &amp; TEXT(AE36,"#0.00%") &amp; "/" &amp; TEXT(AD36,"#0.00% ") &amp; "" &amp; "" &amp; " " &amp; ""</f>
        <v xml:space="preserve">100.00%/100.00%  </v>
      </c>
      <c r="ET36" s="153"/>
      <c r="EU36" s="153"/>
      <c r="EV36" s="153"/>
      <c r="EW36" s="153"/>
      <c r="EX36" s="153"/>
      <c r="EY36" s="153"/>
      <c r="EZ36" s="153"/>
      <c r="FA36" s="153"/>
      <c r="FB36" s="153"/>
      <c r="FC36" s="153"/>
      <c r="FD36" s="153"/>
      <c r="FE36" s="153"/>
      <c r="FF36" s="153"/>
      <c r="FG36" s="153"/>
      <c r="FH36" s="153"/>
      <c r="FI36" s="153"/>
      <c r="FJ36" s="153"/>
      <c r="FK36" s="153"/>
      <c r="FL36" s="153"/>
      <c r="FM36" s="153"/>
      <c r="FN36" s="153"/>
      <c r="FO36" s="153"/>
      <c r="FP36" s="153"/>
      <c r="FQ36" s="153"/>
      <c r="FR36" s="153"/>
      <c r="FS36" s="153"/>
      <c r="FT36" s="153"/>
      <c r="FU36" s="153"/>
      <c r="FV36" s="153"/>
      <c r="FW36" s="153"/>
      <c r="FX36" s="153"/>
      <c r="FY36" s="153"/>
      <c r="FZ36" s="153"/>
      <c r="GA36" s="153"/>
      <c r="GB36" s="153"/>
      <c r="GC36" s="153"/>
      <c r="GD36" s="153"/>
      <c r="GE36" s="153"/>
      <c r="GF36" s="153"/>
      <c r="GG36" s="153"/>
      <c r="GH36" s="153"/>
      <c r="GI36" s="153"/>
      <c r="GJ36" s="153"/>
      <c r="GK36" s="153"/>
      <c r="GL36" s="153"/>
      <c r="GM36" s="153"/>
      <c r="GN36" s="153"/>
      <c r="GO36" s="153"/>
      <c r="GP36" s="153"/>
      <c r="GQ36" s="153"/>
      <c r="GR36" s="153"/>
      <c r="GS36" s="153"/>
      <c r="GT36" s="153"/>
      <c r="GU36" s="153"/>
      <c r="GV36" s="153"/>
      <c r="GW36" s="153"/>
      <c r="GX36" s="153"/>
      <c r="GY36" s="153"/>
      <c r="GZ36" s="153"/>
      <c r="HA36" s="153"/>
      <c r="HB36" s="153"/>
      <c r="HC36" s="153"/>
      <c r="HD36" s="153"/>
      <c r="HE36" s="153"/>
      <c r="HF36" s="153"/>
      <c r="HG36" s="153"/>
      <c r="HH36" s="153"/>
      <c r="HI36" s="153"/>
      <c r="HJ36" s="153"/>
      <c r="HK36" s="153"/>
      <c r="HL36" s="153"/>
      <c r="HM36" s="153"/>
      <c r="HN36" s="153"/>
      <c r="HO36" s="153"/>
      <c r="HP36" s="153"/>
      <c r="HQ36" s="153"/>
      <c r="HR36" s="153"/>
      <c r="HS36" s="153"/>
      <c r="HT36" s="153"/>
      <c r="HU36" s="153"/>
      <c r="HV36" s="153"/>
      <c r="HW36" s="153"/>
      <c r="HX36" s="153"/>
      <c r="HY36" s="153"/>
      <c r="HZ36" s="153"/>
      <c r="IA36" s="153"/>
      <c r="IB36" s="153"/>
      <c r="IC36" s="153"/>
      <c r="ID36" s="153"/>
      <c r="IE36" s="153"/>
      <c r="IF36" s="153"/>
      <c r="IG36" s="153"/>
      <c r="IH36" s="153"/>
      <c r="II36" s="153"/>
      <c r="IJ36" s="153"/>
      <c r="IK36" s="153"/>
      <c r="IL36" s="153"/>
      <c r="IM36" s="153"/>
      <c r="IN36" s="153"/>
      <c r="IO36" s="153"/>
      <c r="IP36" s="153"/>
      <c r="IQ36" s="153"/>
      <c r="IR36" s="153"/>
      <c r="IS36" s="153"/>
      <c r="IT36" s="153"/>
      <c r="IU36" s="153"/>
      <c r="IV36" s="153"/>
      <c r="IW36" s="153"/>
      <c r="IX36" s="153"/>
      <c r="IY36" s="153"/>
      <c r="IZ36" s="153"/>
      <c r="JA36" s="153"/>
      <c r="JB36" s="153"/>
      <c r="JC36" s="153"/>
      <c r="JD36" s="153"/>
      <c r="JE36" s="153"/>
      <c r="JF36" s="153"/>
      <c r="JG36" s="153"/>
      <c r="JH36" s="153"/>
      <c r="JI36" s="153"/>
      <c r="JJ36" s="153"/>
      <c r="JK36" s="153"/>
      <c r="JL36" s="153"/>
      <c r="JM36" s="153"/>
      <c r="JN36" s="153"/>
      <c r="JO36" s="153"/>
      <c r="JP36" s="153"/>
      <c r="JQ36" s="153"/>
      <c r="JR36" s="153"/>
      <c r="JS36" s="153"/>
      <c r="JT36" s="153"/>
      <c r="JU36" s="153"/>
      <c r="JV36" s="153"/>
      <c r="JW36" s="153"/>
    </row>
    <row r="37" spans="1:283" ht="12" customHeight="1" outlineLevel="4">
      <c r="A37" s="123"/>
      <c r="B37" s="123"/>
      <c r="C37" s="123">
        <v>5</v>
      </c>
      <c r="D37" s="151" t="s">
        <v>1992</v>
      </c>
      <c r="E37" s="124"/>
      <c r="F37" s="124"/>
      <c r="G37" s="124"/>
      <c r="H37" s="124"/>
      <c r="I37" s="124" t="s">
        <v>1756</v>
      </c>
      <c r="J37" s="124"/>
      <c r="K37" s="124"/>
      <c r="L37" s="124"/>
      <c r="M37" s="124"/>
      <c r="N37" s="124"/>
      <c r="O37" s="124"/>
      <c r="P37" s="125">
        <v>45901</v>
      </c>
      <c r="Q37" s="125">
        <v>45919</v>
      </c>
      <c r="R37" s="124"/>
      <c r="S37" s="126">
        <v>15</v>
      </c>
      <c r="T37" s="126">
        <v>15</v>
      </c>
      <c r="U37" s="126">
        <v>15</v>
      </c>
      <c r="V37" s="126">
        <v>15</v>
      </c>
      <c r="W37" s="125">
        <v>45901</v>
      </c>
      <c r="X37" s="125">
        <v>45919</v>
      </c>
      <c r="Y37" s="127">
        <v>15</v>
      </c>
      <c r="Z37" s="128">
        <v>15</v>
      </c>
      <c r="AA37" s="126">
        <v>1</v>
      </c>
      <c r="AB37" s="124"/>
      <c r="AC37" s="129"/>
      <c r="AD37" s="150">
        <v>1</v>
      </c>
      <c r="AE37" s="251">
        <v>1</v>
      </c>
      <c r="AF37" s="18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3"/>
      <c r="CP37" s="153"/>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t="str">
        <f>"" &amp; TEXT(AE37,"#0.00%") &amp; "/" &amp; TEXT(AD37,"#0.00% ") &amp; "" &amp; "" &amp; " " &amp; ""</f>
        <v xml:space="preserve">100.00%/100.00%  </v>
      </c>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3"/>
      <c r="GB37" s="153"/>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3"/>
      <c r="JN37" s="153"/>
      <c r="JO37" s="153"/>
      <c r="JP37" s="153"/>
      <c r="JQ37" s="153"/>
      <c r="JR37" s="153"/>
      <c r="JS37" s="153"/>
      <c r="JT37" s="153"/>
      <c r="JU37" s="153"/>
      <c r="JV37" s="153"/>
      <c r="JW37" s="153"/>
    </row>
    <row r="38" spans="1:283" ht="12" customHeight="1" outlineLevel="4">
      <c r="A38" s="123"/>
      <c r="B38" s="123"/>
      <c r="C38" s="123">
        <v>5</v>
      </c>
      <c r="D38" s="151" t="s">
        <v>1993</v>
      </c>
      <c r="E38" s="124"/>
      <c r="F38" s="124"/>
      <c r="G38" s="124"/>
      <c r="H38" s="124"/>
      <c r="I38" s="124" t="s">
        <v>1639</v>
      </c>
      <c r="J38" s="124"/>
      <c r="K38" s="124"/>
      <c r="L38" s="124"/>
      <c r="M38" s="124"/>
      <c r="N38" s="124"/>
      <c r="O38" s="124"/>
      <c r="P38" s="125">
        <v>45913</v>
      </c>
      <c r="Q38" s="125">
        <v>45917</v>
      </c>
      <c r="R38" s="124"/>
      <c r="S38" s="126">
        <v>3</v>
      </c>
      <c r="T38" s="126">
        <v>3</v>
      </c>
      <c r="U38" s="126">
        <v>3</v>
      </c>
      <c r="V38" s="126">
        <v>3</v>
      </c>
      <c r="W38" s="125">
        <v>45913</v>
      </c>
      <c r="X38" s="125">
        <v>45917</v>
      </c>
      <c r="Y38" s="127">
        <v>3</v>
      </c>
      <c r="Z38" s="128">
        <v>3</v>
      </c>
      <c r="AA38" s="126">
        <v>1</v>
      </c>
      <c r="AB38" s="124"/>
      <c r="AC38" s="129"/>
      <c r="AD38" s="150">
        <v>1</v>
      </c>
      <c r="AE38" s="251">
        <v>1</v>
      </c>
      <c r="AF38" s="183"/>
      <c r="AG38" s="153"/>
      <c r="AH38" s="153"/>
      <c r="AI38" s="153"/>
      <c r="AJ38" s="153"/>
      <c r="AK38" s="153"/>
      <c r="AL38" s="153"/>
      <c r="AM38" s="153"/>
      <c r="AN38" s="153"/>
      <c r="AO38" s="153"/>
      <c r="AP38" s="153"/>
      <c r="AQ38" s="153"/>
      <c r="AR38" s="153"/>
      <c r="AS38" s="153"/>
      <c r="AT38" s="153"/>
      <c r="AU38" s="153"/>
      <c r="AV38" s="153"/>
      <c r="AW38" s="153"/>
      <c r="AX38" s="153"/>
      <c r="AY38" s="153"/>
      <c r="AZ38" s="153"/>
      <c r="BA38" s="153"/>
      <c r="BB38" s="153"/>
      <c r="BC38" s="153"/>
      <c r="BD38" s="153"/>
      <c r="BE38" s="153"/>
      <c r="BF38" s="153"/>
      <c r="BG38" s="153"/>
      <c r="BH38" s="153"/>
      <c r="BI38" s="153"/>
      <c r="BJ38" s="153"/>
      <c r="BK38" s="153"/>
      <c r="BL38" s="153"/>
      <c r="BM38" s="153"/>
      <c r="BN38" s="153"/>
      <c r="BO38" s="153"/>
      <c r="BP38" s="153"/>
      <c r="BQ38" s="153"/>
      <c r="BR38" s="153"/>
      <c r="BS38" s="153"/>
      <c r="BT38" s="153"/>
      <c r="BU38" s="153"/>
      <c r="BV38" s="153"/>
      <c r="BW38" s="153"/>
      <c r="BX38" s="153"/>
      <c r="BY38" s="153"/>
      <c r="BZ38" s="153"/>
      <c r="CA38" s="153"/>
      <c r="CB38" s="153"/>
      <c r="CC38" s="153"/>
      <c r="CD38" s="153"/>
      <c r="CE38" s="153"/>
      <c r="CF38" s="153"/>
      <c r="CG38" s="153"/>
      <c r="CH38" s="153"/>
      <c r="CI38" s="153"/>
      <c r="CJ38" s="153"/>
      <c r="CK38" s="153"/>
      <c r="CL38" s="153"/>
      <c r="CM38" s="153"/>
      <c r="CN38" s="153"/>
      <c r="CO38" s="153"/>
      <c r="CP38" s="153"/>
      <c r="CQ38" s="153"/>
      <c r="CR38" s="153"/>
      <c r="CS38" s="153"/>
      <c r="CT38" s="153"/>
      <c r="CU38" s="153"/>
      <c r="CV38" s="153"/>
      <c r="CW38" s="153"/>
      <c r="CX38" s="153"/>
      <c r="CY38" s="153"/>
      <c r="CZ38" s="153"/>
      <c r="DA38" s="153"/>
      <c r="DB38" s="153"/>
      <c r="DC38" s="153"/>
      <c r="DD38" s="153"/>
      <c r="DE38" s="153"/>
      <c r="DF38" s="153"/>
      <c r="DG38" s="153"/>
      <c r="DH38" s="153"/>
      <c r="DI38" s="153"/>
      <c r="DJ38" s="153"/>
      <c r="DK38" s="153"/>
      <c r="DL38" s="153"/>
      <c r="DM38" s="153"/>
      <c r="DN38" s="153"/>
      <c r="DO38" s="153"/>
      <c r="DP38" s="153"/>
      <c r="DQ38" s="153"/>
      <c r="DR38" s="153"/>
      <c r="DS38" s="153"/>
      <c r="DT38" s="153"/>
      <c r="DU38" s="153"/>
      <c r="DV38" s="153"/>
      <c r="DW38" s="153"/>
      <c r="DX38" s="153"/>
      <c r="DY38" s="153"/>
      <c r="DZ38" s="153"/>
      <c r="EA38" s="153"/>
      <c r="EB38" s="153"/>
      <c r="EC38" s="153"/>
      <c r="ED38" s="153"/>
      <c r="EE38" s="153"/>
      <c r="EF38" s="153"/>
      <c r="EG38" s="153"/>
      <c r="EH38" s="153"/>
      <c r="EI38" s="153"/>
      <c r="EJ38" s="153" t="str">
        <f>"" &amp; TEXT(AE38,"#0.00%") &amp; "/" &amp; TEXT(AD38,"#0.00% ") &amp; "" &amp; "" &amp; " " &amp; ""</f>
        <v xml:space="preserve">100.00%/100.00%  </v>
      </c>
      <c r="EK38" s="153"/>
      <c r="EL38" s="153"/>
      <c r="EM38" s="153"/>
      <c r="EN38" s="153"/>
      <c r="EO38" s="153"/>
      <c r="EP38" s="153"/>
      <c r="EQ38" s="153"/>
      <c r="ER38" s="153"/>
      <c r="ES38" s="153"/>
      <c r="ET38" s="153"/>
      <c r="EU38" s="153"/>
      <c r="EV38" s="153"/>
      <c r="EW38" s="153"/>
      <c r="EX38" s="153"/>
      <c r="EY38" s="153"/>
      <c r="EZ38" s="153"/>
      <c r="FA38" s="153"/>
      <c r="FB38" s="153"/>
      <c r="FC38" s="153"/>
      <c r="FD38" s="153"/>
      <c r="FE38" s="153"/>
      <c r="FF38" s="153"/>
      <c r="FG38" s="153"/>
      <c r="FH38" s="153"/>
      <c r="FI38" s="153"/>
      <c r="FJ38" s="153"/>
      <c r="FK38" s="153"/>
      <c r="FL38" s="153"/>
      <c r="FM38" s="153"/>
      <c r="FN38" s="153"/>
      <c r="FO38" s="153"/>
      <c r="FP38" s="153"/>
      <c r="FQ38" s="153"/>
      <c r="FR38" s="153"/>
      <c r="FS38" s="153"/>
      <c r="FT38" s="153"/>
      <c r="FU38" s="153"/>
      <c r="FV38" s="153"/>
      <c r="FW38" s="153"/>
      <c r="FX38" s="153"/>
      <c r="FY38" s="153"/>
      <c r="FZ38" s="153"/>
      <c r="GA38" s="153"/>
      <c r="GB38" s="153"/>
      <c r="GC38" s="153"/>
      <c r="GD38" s="153"/>
      <c r="GE38" s="153"/>
      <c r="GF38" s="153"/>
      <c r="GG38" s="153"/>
      <c r="GH38" s="153"/>
      <c r="GI38" s="153"/>
      <c r="GJ38" s="153"/>
      <c r="GK38" s="153"/>
      <c r="GL38" s="153"/>
      <c r="GM38" s="153"/>
      <c r="GN38" s="153"/>
      <c r="GO38" s="153"/>
      <c r="GP38" s="153"/>
      <c r="GQ38" s="153"/>
      <c r="GR38" s="153"/>
      <c r="GS38" s="153"/>
      <c r="GT38" s="153"/>
      <c r="GU38" s="153"/>
      <c r="GV38" s="153"/>
      <c r="GW38" s="153"/>
      <c r="GX38" s="153"/>
      <c r="GY38" s="153"/>
      <c r="GZ38" s="153"/>
      <c r="HA38" s="153"/>
      <c r="HB38" s="153"/>
      <c r="HC38" s="153"/>
      <c r="HD38" s="153"/>
      <c r="HE38" s="153"/>
      <c r="HF38" s="153"/>
      <c r="HG38" s="153"/>
      <c r="HH38" s="153"/>
      <c r="HI38" s="153"/>
      <c r="HJ38" s="153"/>
      <c r="HK38" s="153"/>
      <c r="HL38" s="153"/>
      <c r="HM38" s="153"/>
      <c r="HN38" s="153"/>
      <c r="HO38" s="153"/>
      <c r="HP38" s="153"/>
      <c r="HQ38" s="153"/>
      <c r="HR38" s="153"/>
      <c r="HS38" s="153"/>
      <c r="HT38" s="153"/>
      <c r="HU38" s="153"/>
      <c r="HV38" s="153"/>
      <c r="HW38" s="153"/>
      <c r="HX38" s="153"/>
      <c r="HY38" s="153"/>
      <c r="HZ38" s="153"/>
      <c r="IA38" s="153"/>
      <c r="IB38" s="153"/>
      <c r="IC38" s="153"/>
      <c r="ID38" s="153"/>
      <c r="IE38" s="153"/>
      <c r="IF38" s="153"/>
      <c r="IG38" s="153"/>
      <c r="IH38" s="153"/>
      <c r="II38" s="153"/>
      <c r="IJ38" s="153"/>
      <c r="IK38" s="153"/>
      <c r="IL38" s="153"/>
      <c r="IM38" s="153"/>
      <c r="IN38" s="153"/>
      <c r="IO38" s="153"/>
      <c r="IP38" s="153"/>
      <c r="IQ38" s="153"/>
      <c r="IR38" s="153"/>
      <c r="IS38" s="153"/>
      <c r="IT38" s="153"/>
      <c r="IU38" s="153"/>
      <c r="IV38" s="153"/>
      <c r="IW38" s="153"/>
      <c r="IX38" s="153"/>
      <c r="IY38" s="153"/>
      <c r="IZ38" s="153"/>
      <c r="JA38" s="153"/>
      <c r="JB38" s="153"/>
      <c r="JC38" s="153"/>
      <c r="JD38" s="153"/>
      <c r="JE38" s="153"/>
      <c r="JF38" s="153"/>
      <c r="JG38" s="153"/>
      <c r="JH38" s="153"/>
      <c r="JI38" s="153"/>
      <c r="JJ38" s="153"/>
      <c r="JK38" s="153"/>
      <c r="JL38" s="153"/>
      <c r="JM38" s="153"/>
      <c r="JN38" s="153"/>
      <c r="JO38" s="153"/>
      <c r="JP38" s="153"/>
      <c r="JQ38" s="153"/>
      <c r="JR38" s="153"/>
      <c r="JS38" s="153"/>
      <c r="JT38" s="153"/>
      <c r="JU38" s="153"/>
      <c r="JV38" s="153"/>
      <c r="JW38" s="153"/>
    </row>
    <row r="39" spans="1:283" ht="12" customHeight="1" outlineLevel="4">
      <c r="A39" s="123"/>
      <c r="B39" s="123"/>
      <c r="C39" s="123">
        <v>5</v>
      </c>
      <c r="D39" s="151" t="s">
        <v>1994</v>
      </c>
      <c r="E39" s="124"/>
      <c r="F39" s="124"/>
      <c r="G39" s="124"/>
      <c r="H39" s="124"/>
      <c r="I39" s="124" t="s">
        <v>1747</v>
      </c>
      <c r="J39" s="124"/>
      <c r="K39" s="124"/>
      <c r="L39" s="124"/>
      <c r="M39" s="124"/>
      <c r="N39" s="124"/>
      <c r="O39" s="124"/>
      <c r="P39" s="125">
        <v>45915</v>
      </c>
      <c r="Q39" s="125">
        <v>45926</v>
      </c>
      <c r="R39" s="124"/>
      <c r="S39" s="126">
        <v>10</v>
      </c>
      <c r="T39" s="126">
        <v>10</v>
      </c>
      <c r="U39" s="126">
        <v>10</v>
      </c>
      <c r="V39" s="126">
        <v>10</v>
      </c>
      <c r="W39" s="125">
        <v>45915</v>
      </c>
      <c r="X39" s="125">
        <v>45926</v>
      </c>
      <c r="Y39" s="127">
        <v>10</v>
      </c>
      <c r="Z39" s="128">
        <v>10</v>
      </c>
      <c r="AA39" s="126">
        <v>1</v>
      </c>
      <c r="AB39" s="124"/>
      <c r="AC39" s="129"/>
      <c r="AD39" s="150">
        <v>1</v>
      </c>
      <c r="AE39" s="251">
        <v>1</v>
      </c>
      <c r="AF39" s="18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c r="BJ39" s="153"/>
      <c r="BK39" s="153"/>
      <c r="BL39" s="153"/>
      <c r="BM39" s="153"/>
      <c r="BN39" s="153"/>
      <c r="BO39" s="153"/>
      <c r="BP39" s="153"/>
      <c r="BQ39" s="153"/>
      <c r="BR39" s="153"/>
      <c r="BS39" s="153"/>
      <c r="BT39" s="153"/>
      <c r="BU39" s="153"/>
      <c r="BV39" s="153"/>
      <c r="BW39" s="153"/>
      <c r="BX39" s="153"/>
      <c r="BY39" s="153"/>
      <c r="BZ39" s="153"/>
      <c r="CA39" s="153"/>
      <c r="CB39" s="153"/>
      <c r="CC39" s="153"/>
      <c r="CD39" s="153"/>
      <c r="CE39" s="153"/>
      <c r="CF39" s="153"/>
      <c r="CG39" s="153"/>
      <c r="CH39" s="153"/>
      <c r="CI39" s="153"/>
      <c r="CJ39" s="153"/>
      <c r="CK39" s="153"/>
      <c r="CL39" s="153"/>
      <c r="CM39" s="153"/>
      <c r="CN39" s="153"/>
      <c r="CO39" s="153"/>
      <c r="CP39" s="153"/>
      <c r="CQ39" s="153"/>
      <c r="CR39" s="153"/>
      <c r="CS39" s="153"/>
      <c r="CT39" s="153"/>
      <c r="CU39" s="153"/>
      <c r="CV39" s="153"/>
      <c r="CW39" s="153"/>
      <c r="CX39" s="153"/>
      <c r="CY39" s="153"/>
      <c r="CZ39" s="153"/>
      <c r="DA39" s="153"/>
      <c r="DB39" s="153"/>
      <c r="DC39" s="153"/>
      <c r="DD39" s="153"/>
      <c r="DE39" s="153"/>
      <c r="DF39" s="153"/>
      <c r="DG39" s="153"/>
      <c r="DH39" s="153"/>
      <c r="DI39" s="153"/>
      <c r="DJ39" s="153"/>
      <c r="DK39" s="153"/>
      <c r="DL39" s="153"/>
      <c r="DM39" s="153"/>
      <c r="DN39" s="153"/>
      <c r="DO39" s="153"/>
      <c r="DP39" s="153"/>
      <c r="DQ39" s="153"/>
      <c r="DR39" s="153"/>
      <c r="DS39" s="153"/>
      <c r="DT39" s="153"/>
      <c r="DU39" s="153"/>
      <c r="DV39" s="153"/>
      <c r="DW39" s="153"/>
      <c r="DX39" s="153"/>
      <c r="DY39" s="153"/>
      <c r="DZ39" s="153"/>
      <c r="EA39" s="153"/>
      <c r="EB39" s="153"/>
      <c r="EC39" s="153"/>
      <c r="ED39" s="153"/>
      <c r="EE39" s="153"/>
      <c r="EF39" s="153"/>
      <c r="EG39" s="153"/>
      <c r="EH39" s="153"/>
      <c r="EI39" s="153"/>
      <c r="EJ39" s="153"/>
      <c r="EK39" s="153"/>
      <c r="EL39" s="153"/>
      <c r="EM39" s="153"/>
      <c r="EN39" s="153"/>
      <c r="EO39" s="153"/>
      <c r="EP39" s="153"/>
      <c r="EQ39" s="153"/>
      <c r="ER39" s="153"/>
      <c r="ES39" s="153" t="str">
        <f>"" &amp; TEXT(AE39,"#0.00%") &amp; "/" &amp; TEXT(AD39,"#0.00% ") &amp; "" &amp; "" &amp; " " &amp; ""</f>
        <v xml:space="preserve">100.00%/100.00%  </v>
      </c>
      <c r="ET39" s="153"/>
      <c r="EU39" s="153"/>
      <c r="EV39" s="153"/>
      <c r="EW39" s="153"/>
      <c r="EX39" s="153"/>
      <c r="EY39" s="153"/>
      <c r="EZ39" s="153"/>
      <c r="FA39" s="153"/>
      <c r="FB39" s="153"/>
      <c r="FC39" s="153"/>
      <c r="FD39" s="153"/>
      <c r="FE39" s="153"/>
      <c r="FF39" s="153"/>
      <c r="FG39" s="153"/>
      <c r="FH39" s="153"/>
      <c r="FI39" s="153"/>
      <c r="FJ39" s="153"/>
      <c r="FK39" s="153"/>
      <c r="FL39" s="153"/>
      <c r="FM39" s="153"/>
      <c r="FN39" s="153"/>
      <c r="FO39" s="153"/>
      <c r="FP39" s="153"/>
      <c r="FQ39" s="153"/>
      <c r="FR39" s="153"/>
      <c r="FS39" s="153"/>
      <c r="FT39" s="153"/>
      <c r="FU39" s="153"/>
      <c r="FV39" s="153"/>
      <c r="FW39" s="153"/>
      <c r="FX39" s="153"/>
      <c r="FY39" s="153"/>
      <c r="FZ39" s="153"/>
      <c r="GA39" s="153"/>
      <c r="GB39" s="153"/>
      <c r="GC39" s="153"/>
      <c r="GD39" s="153"/>
      <c r="GE39" s="153"/>
      <c r="GF39" s="153"/>
      <c r="GG39" s="153"/>
      <c r="GH39" s="153"/>
      <c r="GI39" s="153"/>
      <c r="GJ39" s="153"/>
      <c r="GK39" s="153"/>
      <c r="GL39" s="153"/>
      <c r="GM39" s="153"/>
      <c r="GN39" s="153"/>
      <c r="GO39" s="153"/>
      <c r="GP39" s="153"/>
      <c r="GQ39" s="153"/>
      <c r="GR39" s="153"/>
      <c r="GS39" s="153"/>
      <c r="GT39" s="153"/>
      <c r="GU39" s="153"/>
      <c r="GV39" s="153"/>
      <c r="GW39" s="153"/>
      <c r="GX39" s="153"/>
      <c r="GY39" s="153"/>
      <c r="GZ39" s="153"/>
      <c r="HA39" s="153"/>
      <c r="HB39" s="153"/>
      <c r="HC39" s="153"/>
      <c r="HD39" s="153"/>
      <c r="HE39" s="153"/>
      <c r="HF39" s="153"/>
      <c r="HG39" s="153"/>
      <c r="HH39" s="153"/>
      <c r="HI39" s="153"/>
      <c r="HJ39" s="153"/>
      <c r="HK39" s="153"/>
      <c r="HL39" s="153"/>
      <c r="HM39" s="153"/>
      <c r="HN39" s="153"/>
      <c r="HO39" s="153"/>
      <c r="HP39" s="153"/>
      <c r="HQ39" s="153"/>
      <c r="HR39" s="153"/>
      <c r="HS39" s="153"/>
      <c r="HT39" s="153"/>
      <c r="HU39" s="153"/>
      <c r="HV39" s="153"/>
      <c r="HW39" s="153"/>
      <c r="HX39" s="153"/>
      <c r="HY39" s="153"/>
      <c r="HZ39" s="153"/>
      <c r="IA39" s="153"/>
      <c r="IB39" s="153"/>
      <c r="IC39" s="153"/>
      <c r="ID39" s="153"/>
      <c r="IE39" s="153"/>
      <c r="IF39" s="153"/>
      <c r="IG39" s="153"/>
      <c r="IH39" s="153"/>
      <c r="II39" s="153"/>
      <c r="IJ39" s="153"/>
      <c r="IK39" s="153"/>
      <c r="IL39" s="153"/>
      <c r="IM39" s="153"/>
      <c r="IN39" s="153"/>
      <c r="IO39" s="153"/>
      <c r="IP39" s="153"/>
      <c r="IQ39" s="153"/>
      <c r="IR39" s="153"/>
      <c r="IS39" s="153"/>
      <c r="IT39" s="153"/>
      <c r="IU39" s="153"/>
      <c r="IV39" s="153"/>
      <c r="IW39" s="153"/>
      <c r="IX39" s="153"/>
      <c r="IY39" s="153"/>
      <c r="IZ39" s="153"/>
      <c r="JA39" s="153"/>
      <c r="JB39" s="153"/>
      <c r="JC39" s="153"/>
      <c r="JD39" s="153"/>
      <c r="JE39" s="153"/>
      <c r="JF39" s="153"/>
      <c r="JG39" s="153"/>
      <c r="JH39" s="153"/>
      <c r="JI39" s="153"/>
      <c r="JJ39" s="153"/>
      <c r="JK39" s="153"/>
      <c r="JL39" s="153"/>
      <c r="JM39" s="153"/>
      <c r="JN39" s="153"/>
      <c r="JO39" s="153"/>
      <c r="JP39" s="153"/>
      <c r="JQ39" s="153"/>
      <c r="JR39" s="153"/>
      <c r="JS39" s="153"/>
      <c r="JT39" s="153"/>
      <c r="JU39" s="153"/>
      <c r="JV39" s="153"/>
      <c r="JW39" s="153"/>
    </row>
    <row r="40" spans="1:283" ht="12" customHeight="1" outlineLevel="4">
      <c r="A40" s="123"/>
      <c r="B40" s="123"/>
      <c r="C40" s="123">
        <v>5</v>
      </c>
      <c r="D40" s="151" t="s">
        <v>1995</v>
      </c>
      <c r="E40" s="124"/>
      <c r="F40" s="124"/>
      <c r="G40" s="124"/>
      <c r="H40" s="124"/>
      <c r="I40" s="124" t="s">
        <v>1753</v>
      </c>
      <c r="J40" s="124"/>
      <c r="K40" s="124"/>
      <c r="L40" s="124"/>
      <c r="M40" s="124"/>
      <c r="N40" s="124"/>
      <c r="O40" s="124"/>
      <c r="P40" s="125">
        <v>45908</v>
      </c>
      <c r="Q40" s="125">
        <v>45947</v>
      </c>
      <c r="R40" s="124"/>
      <c r="S40" s="126">
        <v>25</v>
      </c>
      <c r="T40" s="126">
        <v>25</v>
      </c>
      <c r="U40" s="126">
        <v>25</v>
      </c>
      <c r="V40" s="126">
        <v>25</v>
      </c>
      <c r="W40" s="125">
        <v>45908</v>
      </c>
      <c r="X40" s="125">
        <v>45947</v>
      </c>
      <c r="Y40" s="127">
        <v>25</v>
      </c>
      <c r="Z40" s="128">
        <v>25</v>
      </c>
      <c r="AA40" s="126">
        <v>1</v>
      </c>
      <c r="AB40" s="124"/>
      <c r="AC40" s="129"/>
      <c r="AD40" s="150">
        <v>1</v>
      </c>
      <c r="AE40" s="251">
        <v>1</v>
      </c>
      <c r="AF40" s="18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c r="BJ40" s="153"/>
      <c r="BK40" s="153"/>
      <c r="BL40" s="153"/>
      <c r="BM40" s="153"/>
      <c r="BN40" s="153"/>
      <c r="BO40" s="153"/>
      <c r="BP40" s="153"/>
      <c r="BQ40" s="153"/>
      <c r="BR40" s="153"/>
      <c r="BS40" s="153"/>
      <c r="BT40" s="153"/>
      <c r="BU40" s="153"/>
      <c r="BV40" s="153"/>
      <c r="BW40" s="153"/>
      <c r="BX40" s="153"/>
      <c r="BY40" s="153"/>
      <c r="BZ40" s="153"/>
      <c r="CA40" s="153"/>
      <c r="CB40" s="153"/>
      <c r="CC40" s="153"/>
      <c r="CD40" s="153"/>
      <c r="CE40" s="153"/>
      <c r="CF40" s="153"/>
      <c r="CG40" s="153"/>
      <c r="CH40" s="153"/>
      <c r="CI40" s="153"/>
      <c r="CJ40" s="153"/>
      <c r="CK40" s="153"/>
      <c r="CL40" s="153"/>
      <c r="CM40" s="153"/>
      <c r="CN40" s="153"/>
      <c r="CO40" s="153"/>
      <c r="CP40" s="153"/>
      <c r="CQ40" s="153"/>
      <c r="CR40" s="153"/>
      <c r="CS40" s="153"/>
      <c r="CT40" s="153"/>
      <c r="CU40" s="153"/>
      <c r="CV40" s="153"/>
      <c r="CW40" s="153"/>
      <c r="CX40" s="153"/>
      <c r="CY40" s="153"/>
      <c r="CZ40" s="153"/>
      <c r="DA40" s="153"/>
      <c r="DB40" s="153"/>
      <c r="DC40" s="153"/>
      <c r="DD40" s="153"/>
      <c r="DE40" s="153"/>
      <c r="DF40" s="153"/>
      <c r="DG40" s="153"/>
      <c r="DH40" s="153"/>
      <c r="DI40" s="153"/>
      <c r="DJ40" s="153"/>
      <c r="DK40" s="153"/>
      <c r="DL40" s="153"/>
      <c r="DM40" s="153"/>
      <c r="DN40" s="153"/>
      <c r="DO40" s="153"/>
      <c r="DP40" s="153"/>
      <c r="DQ40" s="153"/>
      <c r="DR40" s="153"/>
      <c r="DS40" s="153"/>
      <c r="DT40" s="153"/>
      <c r="DU40" s="153"/>
      <c r="DV40" s="153"/>
      <c r="DW40" s="153"/>
      <c r="DX40" s="153"/>
      <c r="DY40" s="153"/>
      <c r="DZ40" s="153"/>
      <c r="EA40" s="153"/>
      <c r="EB40" s="153"/>
      <c r="EC40" s="153"/>
      <c r="ED40" s="153"/>
      <c r="EE40" s="153"/>
      <c r="EF40" s="153"/>
      <c r="EG40" s="153"/>
      <c r="EH40" s="153"/>
      <c r="EI40" s="153"/>
      <c r="EJ40" s="153"/>
      <c r="EK40" s="153"/>
      <c r="EL40" s="153"/>
      <c r="EM40" s="153"/>
      <c r="EN40" s="153"/>
      <c r="EO40" s="153"/>
      <c r="EP40" s="153"/>
      <c r="EQ40" s="153"/>
      <c r="ER40" s="153"/>
      <c r="ES40" s="153"/>
      <c r="ET40" s="153"/>
      <c r="EU40" s="153"/>
      <c r="EV40" s="153"/>
      <c r="EW40" s="153"/>
      <c r="EX40" s="153"/>
      <c r="EY40" s="153"/>
      <c r="EZ40" s="153"/>
      <c r="FA40" s="153"/>
      <c r="FB40" s="153"/>
      <c r="FC40" s="153"/>
      <c r="FD40" s="153"/>
      <c r="FE40" s="153"/>
      <c r="FF40" s="153"/>
      <c r="FG40" s="153"/>
      <c r="FH40" s="153"/>
      <c r="FI40" s="153"/>
      <c r="FJ40" s="153"/>
      <c r="FK40" s="153"/>
      <c r="FL40" s="153"/>
      <c r="FM40" s="153"/>
      <c r="FN40" s="153" t="str">
        <f>"" &amp; TEXT(AE40,"#0.00%") &amp; "/" &amp; TEXT(AD40,"#0.00% ") &amp; "" &amp; "" &amp; " " &amp; ""</f>
        <v xml:space="preserve">100.00%/100.00%  </v>
      </c>
      <c r="FO40" s="153"/>
      <c r="FP40" s="153"/>
      <c r="FQ40" s="153"/>
      <c r="FR40" s="153"/>
      <c r="FS40" s="153"/>
      <c r="FT40" s="153"/>
      <c r="FU40" s="153"/>
      <c r="FV40" s="153"/>
      <c r="FW40" s="153"/>
      <c r="FX40" s="153"/>
      <c r="FY40" s="153"/>
      <c r="FZ40" s="153"/>
      <c r="GA40" s="153"/>
      <c r="GB40" s="153"/>
      <c r="GC40" s="153"/>
      <c r="GD40" s="153"/>
      <c r="GE40" s="153"/>
      <c r="GF40" s="153"/>
      <c r="GG40" s="153"/>
      <c r="GH40" s="153"/>
      <c r="GI40" s="153"/>
      <c r="GJ40" s="153"/>
      <c r="GK40" s="153"/>
      <c r="GL40" s="153"/>
      <c r="GM40" s="153"/>
      <c r="GN40" s="153"/>
      <c r="GO40" s="153"/>
      <c r="GP40" s="153"/>
      <c r="GQ40" s="153"/>
      <c r="GR40" s="153"/>
      <c r="GS40" s="153"/>
      <c r="GT40" s="153"/>
      <c r="GU40" s="153"/>
      <c r="GV40" s="153"/>
      <c r="GW40" s="153"/>
      <c r="GX40" s="153"/>
      <c r="GY40" s="153"/>
      <c r="GZ40" s="153"/>
      <c r="HA40" s="153"/>
      <c r="HB40" s="153"/>
      <c r="HC40" s="153"/>
      <c r="HD40" s="153"/>
      <c r="HE40" s="153"/>
      <c r="HF40" s="153"/>
      <c r="HG40" s="153"/>
      <c r="HH40" s="153"/>
      <c r="HI40" s="153"/>
      <c r="HJ40" s="153"/>
      <c r="HK40" s="153"/>
      <c r="HL40" s="153"/>
      <c r="HM40" s="153"/>
      <c r="HN40" s="153"/>
      <c r="HO40" s="153"/>
      <c r="HP40" s="153"/>
      <c r="HQ40" s="153"/>
      <c r="HR40" s="153"/>
      <c r="HS40" s="153"/>
      <c r="HT40" s="153"/>
      <c r="HU40" s="153"/>
      <c r="HV40" s="153"/>
      <c r="HW40" s="153"/>
      <c r="HX40" s="153"/>
      <c r="HY40" s="153"/>
      <c r="HZ40" s="153"/>
      <c r="IA40" s="153"/>
      <c r="IB40" s="153"/>
      <c r="IC40" s="153"/>
      <c r="ID40" s="153"/>
      <c r="IE40" s="153"/>
      <c r="IF40" s="153"/>
      <c r="IG40" s="153"/>
      <c r="IH40" s="153"/>
      <c r="II40" s="153"/>
      <c r="IJ40" s="153"/>
      <c r="IK40" s="153"/>
      <c r="IL40" s="153"/>
      <c r="IM40" s="153"/>
      <c r="IN40" s="153"/>
      <c r="IO40" s="153"/>
      <c r="IP40" s="153"/>
      <c r="IQ40" s="153"/>
      <c r="IR40" s="153"/>
      <c r="IS40" s="153"/>
      <c r="IT40" s="153"/>
      <c r="IU40" s="153"/>
      <c r="IV40" s="153"/>
      <c r="IW40" s="153"/>
      <c r="IX40" s="153"/>
      <c r="IY40" s="153"/>
      <c r="IZ40" s="153"/>
      <c r="JA40" s="153"/>
      <c r="JB40" s="153"/>
      <c r="JC40" s="153"/>
      <c r="JD40" s="153"/>
      <c r="JE40" s="153"/>
      <c r="JF40" s="153"/>
      <c r="JG40" s="153"/>
      <c r="JH40" s="153"/>
      <c r="JI40" s="153"/>
      <c r="JJ40" s="153"/>
      <c r="JK40" s="153"/>
      <c r="JL40" s="153"/>
      <c r="JM40" s="153"/>
      <c r="JN40" s="153"/>
      <c r="JO40" s="153"/>
      <c r="JP40" s="153"/>
      <c r="JQ40" s="153"/>
      <c r="JR40" s="153"/>
      <c r="JS40" s="153"/>
      <c r="JT40" s="153"/>
      <c r="JU40" s="153"/>
      <c r="JV40" s="153"/>
      <c r="JW40" s="153"/>
    </row>
    <row r="41" spans="1:283" ht="12" customHeight="1" outlineLevel="3">
      <c r="A41" s="123"/>
      <c r="B41" s="123" t="s">
        <v>1934</v>
      </c>
      <c r="C41" s="123">
        <v>4</v>
      </c>
      <c r="D41" s="151" t="s">
        <v>1996</v>
      </c>
      <c r="E41" s="124"/>
      <c r="F41" s="124"/>
      <c r="G41" s="124"/>
      <c r="H41" s="124" t="s">
        <v>1710</v>
      </c>
      <c r="I41" s="124"/>
      <c r="J41" s="124"/>
      <c r="K41" s="124"/>
      <c r="L41" s="124"/>
      <c r="M41" s="124"/>
      <c r="N41" s="124"/>
      <c r="O41" s="124"/>
      <c r="P41" s="125">
        <v>45920</v>
      </c>
      <c r="Q41" s="125">
        <v>45961</v>
      </c>
      <c r="R41" s="124"/>
      <c r="S41" s="126">
        <v>28</v>
      </c>
      <c r="T41" s="126">
        <v>28</v>
      </c>
      <c r="U41" s="126">
        <v>25</v>
      </c>
      <c r="V41" s="126">
        <v>25</v>
      </c>
      <c r="W41" s="125">
        <v>45920</v>
      </c>
      <c r="X41" s="125">
        <v>45958</v>
      </c>
      <c r="Y41" s="127">
        <v>26</v>
      </c>
      <c r="Z41" s="128">
        <v>22</v>
      </c>
      <c r="AA41" s="126"/>
      <c r="AB41" s="124"/>
      <c r="AC41" s="129"/>
      <c r="AD41" s="150">
        <v>1</v>
      </c>
      <c r="AE41" s="252">
        <v>1</v>
      </c>
      <c r="AF41" s="18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c r="BJ41" s="153"/>
      <c r="BK41" s="153"/>
      <c r="BL41" s="153"/>
      <c r="BM41" s="153"/>
      <c r="BN41" s="153"/>
      <c r="BO41" s="153"/>
      <c r="BP41" s="153"/>
      <c r="BQ41" s="153"/>
      <c r="BR41" s="153"/>
      <c r="BS41" s="153"/>
      <c r="BT41" s="153"/>
      <c r="BU41" s="153"/>
      <c r="BV41" s="153"/>
      <c r="BW41" s="153"/>
      <c r="BX41" s="153"/>
      <c r="BY41" s="153"/>
      <c r="BZ41" s="153"/>
      <c r="CA41" s="153"/>
      <c r="CB41" s="153"/>
      <c r="CC41" s="153"/>
      <c r="CD41" s="153"/>
      <c r="CE41" s="153"/>
      <c r="CF41" s="153"/>
      <c r="CG41" s="153"/>
      <c r="CH41" s="153"/>
      <c r="CI41" s="153"/>
      <c r="CJ41" s="153"/>
      <c r="CK41" s="153"/>
      <c r="CL41" s="153"/>
      <c r="CM41" s="153"/>
      <c r="CN41" s="153"/>
      <c r="CO41" s="153"/>
      <c r="CP41" s="153"/>
      <c r="CQ41" s="153"/>
      <c r="CR41" s="153"/>
      <c r="CS41" s="153"/>
      <c r="CT41" s="153"/>
      <c r="CU41" s="153"/>
      <c r="CV41" s="153"/>
      <c r="CW41" s="153"/>
      <c r="CX41" s="153"/>
      <c r="CY41" s="153"/>
      <c r="CZ41" s="153"/>
      <c r="DA41" s="153"/>
      <c r="DB41" s="153"/>
      <c r="DC41" s="153"/>
      <c r="DD41" s="153"/>
      <c r="DE41" s="153"/>
      <c r="DF41" s="153"/>
      <c r="DG41" s="153"/>
      <c r="DH41" s="153"/>
      <c r="DI41" s="153"/>
      <c r="DJ41" s="153"/>
      <c r="DK41" s="153"/>
      <c r="DL41" s="153"/>
      <c r="DM41" s="153"/>
      <c r="DN41" s="153"/>
      <c r="DO41" s="153"/>
      <c r="DP41" s="153"/>
      <c r="DQ41" s="153"/>
      <c r="DR41" s="153"/>
      <c r="DS41" s="153"/>
      <c r="DT41" s="153"/>
      <c r="DU41" s="153"/>
      <c r="DV41" s="153"/>
      <c r="DW41" s="153"/>
      <c r="DX41" s="153"/>
      <c r="DY41" s="153"/>
      <c r="DZ41" s="153"/>
      <c r="EA41" s="153"/>
      <c r="EB41" s="153"/>
      <c r="EC41" s="153"/>
      <c r="ED41" s="153"/>
      <c r="EE41" s="153"/>
      <c r="EF41" s="153"/>
      <c r="EG41" s="153"/>
      <c r="EH41" s="153"/>
      <c r="EI41" s="153"/>
      <c r="EJ41" s="153"/>
      <c r="EK41" s="153"/>
      <c r="EL41" s="153"/>
      <c r="EM41" s="153"/>
      <c r="EN41" s="153"/>
      <c r="EO41" s="153"/>
      <c r="EP41" s="153"/>
      <c r="EQ41" s="153"/>
      <c r="ER41" s="153"/>
      <c r="ES41" s="153"/>
      <c r="ET41" s="153"/>
      <c r="EU41" s="153"/>
      <c r="EV41" s="153"/>
      <c r="EW41" s="153"/>
      <c r="EX41" s="153"/>
      <c r="EY41" s="153"/>
      <c r="EZ41" s="153"/>
      <c r="FA41" s="153"/>
      <c r="FB41" s="153"/>
      <c r="FC41" s="153"/>
      <c r="FD41" s="153"/>
      <c r="FE41" s="153"/>
      <c r="FF41" s="153"/>
      <c r="FG41" s="153"/>
      <c r="FH41" s="153"/>
      <c r="FI41" s="153"/>
      <c r="FJ41" s="153"/>
      <c r="FK41" s="153"/>
      <c r="FL41" s="153"/>
      <c r="FM41" s="153"/>
      <c r="FN41" s="153"/>
      <c r="FO41" s="153"/>
      <c r="FP41" s="153"/>
      <c r="FQ41" s="153"/>
      <c r="FR41" s="153"/>
      <c r="FS41" s="153"/>
      <c r="FT41" s="153"/>
      <c r="FU41" s="153"/>
      <c r="FV41" s="153"/>
      <c r="FW41" s="153"/>
      <c r="FX41" s="153"/>
      <c r="FY41" s="153" t="str">
        <f>"" &amp; TEXT(AE41,"#0.00%") &amp; "/" &amp; TEXT(AD41,"#0.00% ") &amp; "" &amp; "" &amp; " " &amp; ""</f>
        <v xml:space="preserve">100.00%/100.00%  </v>
      </c>
      <c r="FZ41" s="153"/>
      <c r="GA41" s="153"/>
      <c r="GB41" s="153"/>
      <c r="GC41" s="153"/>
      <c r="GD41" s="153"/>
      <c r="GE41" s="153"/>
      <c r="GF41" s="153"/>
      <c r="GG41" s="153"/>
      <c r="GH41" s="153"/>
      <c r="GI41" s="153"/>
      <c r="GJ41" s="153"/>
      <c r="GK41" s="153"/>
      <c r="GL41" s="153"/>
      <c r="GM41" s="153"/>
      <c r="GN41" s="153"/>
      <c r="GO41" s="153"/>
      <c r="GP41" s="153"/>
      <c r="GQ41" s="153"/>
      <c r="GR41" s="153"/>
      <c r="GS41" s="153"/>
      <c r="GT41" s="153"/>
      <c r="GU41" s="153"/>
      <c r="GV41" s="153"/>
      <c r="GW41" s="153"/>
      <c r="GX41" s="153"/>
      <c r="GY41" s="153"/>
      <c r="GZ41" s="153"/>
      <c r="HA41" s="153"/>
      <c r="HB41" s="153"/>
      <c r="HC41" s="153"/>
      <c r="HD41" s="153"/>
      <c r="HE41" s="153"/>
      <c r="HF41" s="153"/>
      <c r="HG41" s="153"/>
      <c r="HH41" s="153"/>
      <c r="HI41" s="153"/>
      <c r="HJ41" s="153"/>
      <c r="HK41" s="153"/>
      <c r="HL41" s="153"/>
      <c r="HM41" s="153"/>
      <c r="HN41" s="153"/>
      <c r="HO41" s="153"/>
      <c r="HP41" s="153"/>
      <c r="HQ41" s="153"/>
      <c r="HR41" s="153"/>
      <c r="HS41" s="153"/>
      <c r="HT41" s="153"/>
      <c r="HU41" s="153"/>
      <c r="HV41" s="153"/>
      <c r="HW41" s="153"/>
      <c r="HX41" s="153"/>
      <c r="HY41" s="153"/>
      <c r="HZ41" s="153"/>
      <c r="IA41" s="153"/>
      <c r="IB41" s="153"/>
      <c r="IC41" s="153"/>
      <c r="ID41" s="153"/>
      <c r="IE41" s="153"/>
      <c r="IF41" s="153"/>
      <c r="IG41" s="153"/>
      <c r="IH41" s="153"/>
      <c r="II41" s="153"/>
      <c r="IJ41" s="153"/>
      <c r="IK41" s="153"/>
      <c r="IL41" s="153"/>
      <c r="IM41" s="153"/>
      <c r="IN41" s="153"/>
      <c r="IO41" s="153"/>
      <c r="IP41" s="153"/>
      <c r="IQ41" s="153"/>
      <c r="IR41" s="153"/>
      <c r="IS41" s="153"/>
      <c r="IT41" s="153"/>
      <c r="IU41" s="153"/>
      <c r="IV41" s="153"/>
      <c r="IW41" s="153"/>
      <c r="IX41" s="153"/>
      <c r="IY41" s="153"/>
      <c r="IZ41" s="153"/>
      <c r="JA41" s="153"/>
      <c r="JB41" s="153"/>
      <c r="JC41" s="153"/>
      <c r="JD41" s="153"/>
      <c r="JE41" s="153"/>
      <c r="JF41" s="153"/>
      <c r="JG41" s="153"/>
      <c r="JH41" s="153"/>
      <c r="JI41" s="153"/>
      <c r="JJ41" s="153"/>
      <c r="JK41" s="153"/>
      <c r="JL41" s="153"/>
      <c r="JM41" s="153"/>
      <c r="JN41" s="153"/>
      <c r="JO41" s="153"/>
      <c r="JP41" s="153"/>
      <c r="JQ41" s="153"/>
      <c r="JR41" s="153"/>
      <c r="JS41" s="153"/>
      <c r="JT41" s="153"/>
      <c r="JU41" s="153"/>
      <c r="JV41" s="153"/>
      <c r="JW41" s="153"/>
    </row>
    <row r="42" spans="1:283" ht="12" customHeight="1" outlineLevel="4">
      <c r="A42" s="123"/>
      <c r="B42" s="123"/>
      <c r="C42" s="123">
        <v>5</v>
      </c>
      <c r="D42" s="151" t="s">
        <v>1997</v>
      </c>
      <c r="E42" s="124"/>
      <c r="F42" s="124"/>
      <c r="G42" s="124"/>
      <c r="H42" s="124"/>
      <c r="I42" s="124" t="s">
        <v>1751</v>
      </c>
      <c r="J42" s="124"/>
      <c r="K42" s="124"/>
      <c r="L42" s="124"/>
      <c r="M42" s="124"/>
      <c r="N42" s="124"/>
      <c r="O42" s="124"/>
      <c r="P42" s="125">
        <v>45929</v>
      </c>
      <c r="Q42" s="125">
        <v>45955</v>
      </c>
      <c r="R42" s="124"/>
      <c r="S42" s="126">
        <v>15</v>
      </c>
      <c r="T42" s="126">
        <v>15</v>
      </c>
      <c r="U42" s="126">
        <v>15</v>
      </c>
      <c r="V42" s="126">
        <v>15</v>
      </c>
      <c r="W42" s="125">
        <v>45929</v>
      </c>
      <c r="X42" s="125">
        <v>45958</v>
      </c>
      <c r="Y42" s="127">
        <v>17</v>
      </c>
      <c r="Z42" s="128">
        <v>17</v>
      </c>
      <c r="AA42" s="126">
        <v>1</v>
      </c>
      <c r="AB42" s="124"/>
      <c r="AC42" s="129"/>
      <c r="AD42" s="150">
        <v>1</v>
      </c>
      <c r="AE42" s="251">
        <v>1</v>
      </c>
      <c r="AF42" s="183"/>
      <c r="AG42" s="153"/>
      <c r="AH42" s="153"/>
      <c r="AI42" s="153"/>
      <c r="AJ42" s="153"/>
      <c r="AK42" s="153"/>
      <c r="AL42" s="153"/>
      <c r="AM42" s="153"/>
      <c r="AN42" s="153"/>
      <c r="AO42" s="153"/>
      <c r="AP42" s="153"/>
      <c r="AQ42" s="153"/>
      <c r="AR42" s="153"/>
      <c r="AS42" s="153"/>
      <c r="AT42" s="153"/>
      <c r="AU42" s="153"/>
      <c r="AV42" s="153"/>
      <c r="AW42" s="153"/>
      <c r="AX42" s="153"/>
      <c r="AY42" s="153"/>
      <c r="AZ42" s="153"/>
      <c r="BA42" s="153"/>
      <c r="BB42" s="153"/>
      <c r="BC42" s="153"/>
      <c r="BD42" s="153"/>
      <c r="BE42" s="153"/>
      <c r="BF42" s="153"/>
      <c r="BG42" s="153"/>
      <c r="BH42" s="153"/>
      <c r="BI42" s="153"/>
      <c r="BJ42" s="153"/>
      <c r="BK42" s="153"/>
      <c r="BL42" s="153"/>
      <c r="BM42" s="153"/>
      <c r="BN42" s="153"/>
      <c r="BO42" s="153"/>
      <c r="BP42" s="153"/>
      <c r="BQ42" s="153"/>
      <c r="BR42" s="153"/>
      <c r="BS42" s="153"/>
      <c r="BT42" s="153"/>
      <c r="BU42" s="153"/>
      <c r="BV42" s="153"/>
      <c r="BW42" s="153"/>
      <c r="BX42" s="153"/>
      <c r="BY42" s="153"/>
      <c r="BZ42" s="153"/>
      <c r="CA42" s="153"/>
      <c r="CB42" s="153"/>
      <c r="CC42" s="153"/>
      <c r="CD42" s="153"/>
      <c r="CE42" s="153"/>
      <c r="CF42" s="153"/>
      <c r="CG42" s="153"/>
      <c r="CH42" s="153"/>
      <c r="CI42" s="153"/>
      <c r="CJ42" s="153"/>
      <c r="CK42" s="153"/>
      <c r="CL42" s="153"/>
      <c r="CM42" s="153"/>
      <c r="CN42" s="153"/>
      <c r="CO42" s="153"/>
      <c r="CP42" s="153"/>
      <c r="CQ42" s="153"/>
      <c r="CR42" s="153"/>
      <c r="CS42" s="153"/>
      <c r="CT42" s="153"/>
      <c r="CU42" s="153"/>
      <c r="CV42" s="153"/>
      <c r="CW42" s="153"/>
      <c r="CX42" s="153"/>
      <c r="CY42" s="153"/>
      <c r="CZ42" s="153"/>
      <c r="DA42" s="153"/>
      <c r="DB42" s="153"/>
      <c r="DC42" s="153"/>
      <c r="DD42" s="153"/>
      <c r="DE42" s="153"/>
      <c r="DF42" s="153"/>
      <c r="DG42" s="153"/>
      <c r="DH42" s="153"/>
      <c r="DI42" s="153"/>
      <c r="DJ42" s="153"/>
      <c r="DK42" s="153"/>
      <c r="DL42" s="153"/>
      <c r="DM42" s="153"/>
      <c r="DN42" s="153"/>
      <c r="DO42" s="153"/>
      <c r="DP42" s="153"/>
      <c r="DQ42" s="153"/>
      <c r="DR42" s="153"/>
      <c r="DS42" s="153"/>
      <c r="DT42" s="153"/>
      <c r="DU42" s="153"/>
      <c r="DV42" s="153"/>
      <c r="DW42" s="153"/>
      <c r="DX42" s="153"/>
      <c r="DY42" s="153"/>
      <c r="DZ42" s="153"/>
      <c r="EA42" s="153"/>
      <c r="EB42" s="153"/>
      <c r="EC42" s="153"/>
      <c r="ED42" s="153"/>
      <c r="EE42" s="153"/>
      <c r="EF42" s="153"/>
      <c r="EG42" s="153"/>
      <c r="EH42" s="153"/>
      <c r="EI42" s="153"/>
      <c r="EJ42" s="153"/>
      <c r="EK42" s="153"/>
      <c r="EL42" s="153"/>
      <c r="EM42" s="153"/>
      <c r="EN42" s="153"/>
      <c r="EO42" s="153"/>
      <c r="EP42" s="153"/>
      <c r="EQ42" s="153"/>
      <c r="ER42" s="153"/>
      <c r="ES42" s="153"/>
      <c r="ET42" s="153"/>
      <c r="EU42" s="153"/>
      <c r="EV42" s="153"/>
      <c r="EW42" s="153"/>
      <c r="EX42" s="153"/>
      <c r="EY42" s="153"/>
      <c r="EZ42" s="153"/>
      <c r="FA42" s="153"/>
      <c r="FB42" s="153"/>
      <c r="FC42" s="153"/>
      <c r="FD42" s="153"/>
      <c r="FE42" s="153"/>
      <c r="FF42" s="153"/>
      <c r="FG42" s="153"/>
      <c r="FH42" s="153"/>
      <c r="FI42" s="153"/>
      <c r="FJ42" s="153"/>
      <c r="FK42" s="153"/>
      <c r="FL42" s="153"/>
      <c r="FM42" s="153"/>
      <c r="FN42" s="153"/>
      <c r="FO42" s="153"/>
      <c r="FP42" s="153"/>
      <c r="FQ42" s="153"/>
      <c r="FR42" s="153"/>
      <c r="FS42" s="153"/>
      <c r="FT42" s="153"/>
      <c r="FU42" s="153"/>
      <c r="FV42" s="153"/>
      <c r="FW42" s="153"/>
      <c r="FX42" s="153"/>
      <c r="FY42" s="153" t="str">
        <f>"" &amp; TEXT(AE42,"#0.00%") &amp; "/" &amp; TEXT(AD42,"#0.00% ") &amp; "" &amp; "" &amp; " " &amp; ""</f>
        <v xml:space="preserve">100.00%/100.00%  </v>
      </c>
      <c r="FZ42" s="153"/>
      <c r="GA42" s="153"/>
      <c r="GB42" s="153"/>
      <c r="GC42" s="153"/>
      <c r="GD42" s="153"/>
      <c r="GE42" s="153"/>
      <c r="GF42" s="153"/>
      <c r="GG42" s="153"/>
      <c r="GH42" s="153"/>
      <c r="GI42" s="153"/>
      <c r="GJ42" s="153"/>
      <c r="GK42" s="153"/>
      <c r="GL42" s="153"/>
      <c r="GM42" s="153"/>
      <c r="GN42" s="153"/>
      <c r="GO42" s="153"/>
      <c r="GP42" s="153"/>
      <c r="GQ42" s="153"/>
      <c r="GR42" s="153"/>
      <c r="GS42" s="153"/>
      <c r="GT42" s="153"/>
      <c r="GU42" s="153"/>
      <c r="GV42" s="153"/>
      <c r="GW42" s="153"/>
      <c r="GX42" s="153"/>
      <c r="GY42" s="153"/>
      <c r="GZ42" s="153"/>
      <c r="HA42" s="153"/>
      <c r="HB42" s="153"/>
      <c r="HC42" s="153"/>
      <c r="HD42" s="153"/>
      <c r="HE42" s="153"/>
      <c r="HF42" s="153"/>
      <c r="HG42" s="153"/>
      <c r="HH42" s="153"/>
      <c r="HI42" s="153"/>
      <c r="HJ42" s="153"/>
      <c r="HK42" s="153"/>
      <c r="HL42" s="153"/>
      <c r="HM42" s="153"/>
      <c r="HN42" s="153"/>
      <c r="HO42" s="153"/>
      <c r="HP42" s="153"/>
      <c r="HQ42" s="153"/>
      <c r="HR42" s="153"/>
      <c r="HS42" s="153"/>
      <c r="HT42" s="153"/>
      <c r="HU42" s="153"/>
      <c r="HV42" s="153"/>
      <c r="HW42" s="153"/>
      <c r="HX42" s="153"/>
      <c r="HY42" s="153"/>
      <c r="HZ42" s="153"/>
      <c r="IA42" s="153"/>
      <c r="IB42" s="153"/>
      <c r="IC42" s="153"/>
      <c r="ID42" s="153"/>
      <c r="IE42" s="153"/>
      <c r="IF42" s="153"/>
      <c r="IG42" s="153"/>
      <c r="IH42" s="153"/>
      <c r="II42" s="153"/>
      <c r="IJ42" s="153"/>
      <c r="IK42" s="153"/>
      <c r="IL42" s="153"/>
      <c r="IM42" s="153"/>
      <c r="IN42" s="153"/>
      <c r="IO42" s="153"/>
      <c r="IP42" s="153"/>
      <c r="IQ42" s="153"/>
      <c r="IR42" s="153"/>
      <c r="IS42" s="153"/>
      <c r="IT42" s="153"/>
      <c r="IU42" s="153"/>
      <c r="IV42" s="153"/>
      <c r="IW42" s="153"/>
      <c r="IX42" s="153"/>
      <c r="IY42" s="153"/>
      <c r="IZ42" s="153"/>
      <c r="JA42" s="153"/>
      <c r="JB42" s="153"/>
      <c r="JC42" s="153"/>
      <c r="JD42" s="153"/>
      <c r="JE42" s="153"/>
      <c r="JF42" s="153"/>
      <c r="JG42" s="153"/>
      <c r="JH42" s="153"/>
      <c r="JI42" s="153"/>
      <c r="JJ42" s="153"/>
      <c r="JK42" s="153"/>
      <c r="JL42" s="153"/>
      <c r="JM42" s="153"/>
      <c r="JN42" s="153"/>
      <c r="JO42" s="153"/>
      <c r="JP42" s="153"/>
      <c r="JQ42" s="153"/>
      <c r="JR42" s="153"/>
      <c r="JS42" s="153"/>
      <c r="JT42" s="153"/>
      <c r="JU42" s="153"/>
      <c r="JV42" s="153"/>
      <c r="JW42" s="153"/>
    </row>
    <row r="43" spans="1:283" ht="12" customHeight="1" outlineLevel="4">
      <c r="A43" s="123"/>
      <c r="B43" s="123"/>
      <c r="C43" s="123">
        <v>5</v>
      </c>
      <c r="D43" s="151" t="s">
        <v>1998</v>
      </c>
      <c r="E43" s="124"/>
      <c r="F43" s="124"/>
      <c r="G43" s="124"/>
      <c r="H43" s="124"/>
      <c r="I43" s="124" t="s">
        <v>1970</v>
      </c>
      <c r="J43" s="124"/>
      <c r="K43" s="124"/>
      <c r="L43" s="124"/>
      <c r="M43" s="124"/>
      <c r="N43" s="124"/>
      <c r="O43" s="124"/>
      <c r="P43" s="125">
        <v>45920</v>
      </c>
      <c r="Q43" s="125">
        <v>45924</v>
      </c>
      <c r="R43" s="124"/>
      <c r="S43" s="126">
        <v>3</v>
      </c>
      <c r="T43" s="126">
        <v>3</v>
      </c>
      <c r="U43" s="126">
        <v>3</v>
      </c>
      <c r="V43" s="126">
        <v>3</v>
      </c>
      <c r="W43" s="125">
        <v>45920</v>
      </c>
      <c r="X43" s="125">
        <v>45924</v>
      </c>
      <c r="Y43" s="127">
        <v>3</v>
      </c>
      <c r="Z43" s="128">
        <v>3</v>
      </c>
      <c r="AA43" s="126">
        <v>1</v>
      </c>
      <c r="AB43" s="124"/>
      <c r="AC43" s="129"/>
      <c r="AD43" s="150">
        <v>1</v>
      </c>
      <c r="AE43" s="251">
        <v>1</v>
      </c>
      <c r="AF43" s="183"/>
      <c r="AG43" s="153"/>
      <c r="AH43" s="153"/>
      <c r="AI43" s="153"/>
      <c r="AJ43" s="153"/>
      <c r="AK43" s="153"/>
      <c r="AL43" s="153"/>
      <c r="AM43" s="153"/>
      <c r="AN43" s="153"/>
      <c r="AO43" s="153"/>
      <c r="AP43" s="153"/>
      <c r="AQ43" s="153"/>
      <c r="AR43" s="153"/>
      <c r="AS43" s="153"/>
      <c r="AT43" s="153"/>
      <c r="AU43" s="153"/>
      <c r="AV43" s="153"/>
      <c r="AW43" s="153"/>
      <c r="AX43" s="153"/>
      <c r="AY43" s="153"/>
      <c r="AZ43" s="153"/>
      <c r="BA43" s="153"/>
      <c r="BB43" s="153"/>
      <c r="BC43" s="153"/>
      <c r="BD43" s="153"/>
      <c r="BE43" s="153"/>
      <c r="BF43" s="153"/>
      <c r="BG43" s="153"/>
      <c r="BH43" s="153"/>
      <c r="BI43" s="153"/>
      <c r="BJ43" s="153"/>
      <c r="BK43" s="153"/>
      <c r="BL43" s="153"/>
      <c r="BM43" s="153"/>
      <c r="BN43" s="153"/>
      <c r="BO43" s="153"/>
      <c r="BP43" s="153"/>
      <c r="BQ43" s="153"/>
      <c r="BR43" s="153"/>
      <c r="BS43" s="153"/>
      <c r="BT43" s="153"/>
      <c r="BU43" s="153"/>
      <c r="BV43" s="153"/>
      <c r="BW43" s="153"/>
      <c r="BX43" s="153"/>
      <c r="BY43" s="153"/>
      <c r="BZ43" s="153"/>
      <c r="CA43" s="153"/>
      <c r="CB43" s="153"/>
      <c r="CC43" s="153"/>
      <c r="CD43" s="153"/>
      <c r="CE43" s="153"/>
      <c r="CF43" s="153"/>
      <c r="CG43" s="153"/>
      <c r="CH43" s="153"/>
      <c r="CI43" s="153"/>
      <c r="CJ43" s="153"/>
      <c r="CK43" s="153"/>
      <c r="CL43" s="153"/>
      <c r="CM43" s="153"/>
      <c r="CN43" s="153"/>
      <c r="CO43" s="153"/>
      <c r="CP43" s="153"/>
      <c r="CQ43" s="153"/>
      <c r="CR43" s="153"/>
      <c r="CS43" s="153"/>
      <c r="CT43" s="153"/>
      <c r="CU43" s="153"/>
      <c r="CV43" s="153"/>
      <c r="CW43" s="153"/>
      <c r="CX43" s="153"/>
      <c r="CY43" s="153"/>
      <c r="CZ43" s="153"/>
      <c r="DA43" s="153"/>
      <c r="DB43" s="153"/>
      <c r="DC43" s="153"/>
      <c r="DD43" s="153"/>
      <c r="DE43" s="153"/>
      <c r="DF43" s="153"/>
      <c r="DG43" s="153"/>
      <c r="DH43" s="153"/>
      <c r="DI43" s="153"/>
      <c r="DJ43" s="153"/>
      <c r="DK43" s="153"/>
      <c r="DL43" s="153"/>
      <c r="DM43" s="153"/>
      <c r="DN43" s="153"/>
      <c r="DO43" s="153"/>
      <c r="DP43" s="153"/>
      <c r="DQ43" s="153"/>
      <c r="DR43" s="153"/>
      <c r="DS43" s="153"/>
      <c r="DT43" s="153"/>
      <c r="DU43" s="153"/>
      <c r="DV43" s="153"/>
      <c r="DW43" s="153"/>
      <c r="DX43" s="153"/>
      <c r="DY43" s="153"/>
      <c r="DZ43" s="153"/>
      <c r="EA43" s="153"/>
      <c r="EB43" s="153"/>
      <c r="EC43" s="153"/>
      <c r="ED43" s="153"/>
      <c r="EE43" s="153"/>
      <c r="EF43" s="153"/>
      <c r="EG43" s="153"/>
      <c r="EH43" s="153"/>
      <c r="EI43" s="153"/>
      <c r="EJ43" s="153"/>
      <c r="EK43" s="153"/>
      <c r="EL43" s="153"/>
      <c r="EM43" s="153"/>
      <c r="EN43" s="153"/>
      <c r="EO43" s="153"/>
      <c r="EP43" s="153"/>
      <c r="EQ43" s="153" t="str">
        <f>"" &amp; TEXT(AE43,"#0.00%") &amp; "/" &amp; TEXT(AD43,"#0.00% ") &amp; "" &amp; "" &amp; " " &amp; ""</f>
        <v xml:space="preserve">100.00%/100.00%  </v>
      </c>
      <c r="ER43" s="153"/>
      <c r="ES43" s="153"/>
      <c r="ET43" s="153"/>
      <c r="EU43" s="153"/>
      <c r="EV43" s="153"/>
      <c r="EW43" s="153"/>
      <c r="EX43" s="153"/>
      <c r="EY43" s="153"/>
      <c r="EZ43" s="153"/>
      <c r="FA43" s="153"/>
      <c r="FB43" s="153"/>
      <c r="FC43" s="153"/>
      <c r="FD43" s="153"/>
      <c r="FE43" s="153"/>
      <c r="FF43" s="153"/>
      <c r="FG43" s="153"/>
      <c r="FH43" s="153"/>
      <c r="FI43" s="153"/>
      <c r="FJ43" s="153"/>
      <c r="FK43" s="153"/>
      <c r="FL43" s="153"/>
      <c r="FM43" s="153"/>
      <c r="FN43" s="153"/>
      <c r="FO43" s="153"/>
      <c r="FP43" s="153"/>
      <c r="FQ43" s="153"/>
      <c r="FR43" s="153"/>
      <c r="FS43" s="153"/>
      <c r="FT43" s="153"/>
      <c r="FU43" s="153"/>
      <c r="FV43" s="153"/>
      <c r="FW43" s="153"/>
      <c r="FX43" s="153"/>
      <c r="FY43" s="153"/>
      <c r="FZ43" s="153"/>
      <c r="GA43" s="153"/>
      <c r="GB43" s="153"/>
      <c r="GC43" s="153"/>
      <c r="GD43" s="153"/>
      <c r="GE43" s="153"/>
      <c r="GF43" s="153"/>
      <c r="GG43" s="153"/>
      <c r="GH43" s="153"/>
      <c r="GI43" s="153"/>
      <c r="GJ43" s="153"/>
      <c r="GK43" s="153"/>
      <c r="GL43" s="153"/>
      <c r="GM43" s="153"/>
      <c r="GN43" s="153"/>
      <c r="GO43" s="153"/>
      <c r="GP43" s="153"/>
      <c r="GQ43" s="153"/>
      <c r="GR43" s="153"/>
      <c r="GS43" s="153"/>
      <c r="GT43" s="153"/>
      <c r="GU43" s="153"/>
      <c r="GV43" s="153"/>
      <c r="GW43" s="153"/>
      <c r="GX43" s="153"/>
      <c r="GY43" s="153"/>
      <c r="GZ43" s="153"/>
      <c r="HA43" s="153"/>
      <c r="HB43" s="153"/>
      <c r="HC43" s="153"/>
      <c r="HD43" s="153"/>
      <c r="HE43" s="153"/>
      <c r="HF43" s="153"/>
      <c r="HG43" s="153"/>
      <c r="HH43" s="153"/>
      <c r="HI43" s="153"/>
      <c r="HJ43" s="153"/>
      <c r="HK43" s="153"/>
      <c r="HL43" s="153"/>
      <c r="HM43" s="153"/>
      <c r="HN43" s="153"/>
      <c r="HO43" s="153"/>
      <c r="HP43" s="153"/>
      <c r="HQ43" s="153"/>
      <c r="HR43" s="153"/>
      <c r="HS43" s="153"/>
      <c r="HT43" s="153"/>
      <c r="HU43" s="153"/>
      <c r="HV43" s="153"/>
      <c r="HW43" s="153"/>
      <c r="HX43" s="153"/>
      <c r="HY43" s="153"/>
      <c r="HZ43" s="153"/>
      <c r="IA43" s="153"/>
      <c r="IB43" s="153"/>
      <c r="IC43" s="153"/>
      <c r="ID43" s="153"/>
      <c r="IE43" s="153"/>
      <c r="IF43" s="153"/>
      <c r="IG43" s="153"/>
      <c r="IH43" s="153"/>
      <c r="II43" s="153"/>
      <c r="IJ43" s="153"/>
      <c r="IK43" s="153"/>
      <c r="IL43" s="153"/>
      <c r="IM43" s="153"/>
      <c r="IN43" s="153"/>
      <c r="IO43" s="153"/>
      <c r="IP43" s="153"/>
      <c r="IQ43" s="153"/>
      <c r="IR43" s="153"/>
      <c r="IS43" s="153"/>
      <c r="IT43" s="153"/>
      <c r="IU43" s="153"/>
      <c r="IV43" s="153"/>
      <c r="IW43" s="153"/>
      <c r="IX43" s="153"/>
      <c r="IY43" s="153"/>
      <c r="IZ43" s="153"/>
      <c r="JA43" s="153"/>
      <c r="JB43" s="153"/>
      <c r="JC43" s="153"/>
      <c r="JD43" s="153"/>
      <c r="JE43" s="153"/>
      <c r="JF43" s="153"/>
      <c r="JG43" s="153"/>
      <c r="JH43" s="153"/>
      <c r="JI43" s="153"/>
      <c r="JJ43" s="153"/>
      <c r="JK43" s="153"/>
      <c r="JL43" s="153"/>
      <c r="JM43" s="153"/>
      <c r="JN43" s="153"/>
      <c r="JO43" s="153"/>
      <c r="JP43" s="153"/>
      <c r="JQ43" s="153"/>
      <c r="JR43" s="153"/>
      <c r="JS43" s="153"/>
      <c r="JT43" s="153"/>
      <c r="JU43" s="153"/>
      <c r="JV43" s="153"/>
      <c r="JW43" s="153"/>
    </row>
    <row r="44" spans="1:283" ht="12" customHeight="1" outlineLevel="4">
      <c r="A44" s="123"/>
      <c r="B44" s="123"/>
      <c r="C44" s="123">
        <v>5</v>
      </c>
      <c r="D44" s="151" t="s">
        <v>1999</v>
      </c>
      <c r="E44" s="124"/>
      <c r="F44" s="124"/>
      <c r="G44" s="124"/>
      <c r="H44" s="124"/>
      <c r="I44" s="124" t="s">
        <v>1753</v>
      </c>
      <c r="J44" s="124"/>
      <c r="K44" s="124"/>
      <c r="L44" s="124"/>
      <c r="M44" s="124"/>
      <c r="N44" s="124"/>
      <c r="O44" s="124"/>
      <c r="P44" s="125">
        <v>45950</v>
      </c>
      <c r="Q44" s="125">
        <v>45961</v>
      </c>
      <c r="R44" s="124"/>
      <c r="S44" s="126">
        <v>10</v>
      </c>
      <c r="T44" s="126">
        <v>10</v>
      </c>
      <c r="U44" s="126">
        <v>10</v>
      </c>
      <c r="V44" s="126">
        <v>10</v>
      </c>
      <c r="W44" s="125">
        <v>45951</v>
      </c>
      <c r="X44" s="125">
        <v>45958</v>
      </c>
      <c r="Y44" s="127">
        <v>6</v>
      </c>
      <c r="Z44" s="128">
        <v>6</v>
      </c>
      <c r="AA44" s="126">
        <v>1</v>
      </c>
      <c r="AB44" s="124"/>
      <c r="AC44" s="129"/>
      <c r="AD44" s="150">
        <v>1</v>
      </c>
      <c r="AE44" s="251">
        <v>1</v>
      </c>
      <c r="AF44" s="18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c r="BJ44" s="153"/>
      <c r="BK44" s="153"/>
      <c r="BL44" s="153"/>
      <c r="BM44" s="153"/>
      <c r="BN44" s="153"/>
      <c r="BO44" s="153"/>
      <c r="BP44" s="153"/>
      <c r="BQ44" s="153"/>
      <c r="BR44" s="153"/>
      <c r="BS44" s="153"/>
      <c r="BT44" s="153"/>
      <c r="BU44" s="153"/>
      <c r="BV44" s="153"/>
      <c r="BW44" s="153"/>
      <c r="BX44" s="153"/>
      <c r="BY44" s="153"/>
      <c r="BZ44" s="153"/>
      <c r="CA44" s="153"/>
      <c r="CB44" s="153"/>
      <c r="CC44" s="153"/>
      <c r="CD44" s="153"/>
      <c r="CE44" s="153"/>
      <c r="CF44" s="153"/>
      <c r="CG44" s="153"/>
      <c r="CH44" s="153"/>
      <c r="CI44" s="153"/>
      <c r="CJ44" s="153"/>
      <c r="CK44" s="153"/>
      <c r="CL44" s="153"/>
      <c r="CM44" s="153"/>
      <c r="CN44" s="153"/>
      <c r="CO44" s="153"/>
      <c r="CP44" s="153"/>
      <c r="CQ44" s="153"/>
      <c r="CR44" s="153"/>
      <c r="CS44" s="153"/>
      <c r="CT44" s="153"/>
      <c r="CU44" s="153"/>
      <c r="CV44" s="153"/>
      <c r="CW44" s="153"/>
      <c r="CX44" s="153"/>
      <c r="CY44" s="153"/>
      <c r="CZ44" s="153"/>
      <c r="DA44" s="153"/>
      <c r="DB44" s="153"/>
      <c r="DC44" s="153"/>
      <c r="DD44" s="153"/>
      <c r="DE44" s="153"/>
      <c r="DF44" s="153"/>
      <c r="DG44" s="153"/>
      <c r="DH44" s="153"/>
      <c r="DI44" s="153"/>
      <c r="DJ44" s="153"/>
      <c r="DK44" s="153"/>
      <c r="DL44" s="153"/>
      <c r="DM44" s="153"/>
      <c r="DN44" s="153"/>
      <c r="DO44" s="153"/>
      <c r="DP44" s="153"/>
      <c r="DQ44" s="153"/>
      <c r="DR44" s="153"/>
      <c r="DS44" s="153"/>
      <c r="DT44" s="153"/>
      <c r="DU44" s="153"/>
      <c r="DV44" s="153"/>
      <c r="DW44" s="153"/>
      <c r="DX44" s="153"/>
      <c r="DY44" s="153"/>
      <c r="DZ44" s="153"/>
      <c r="EA44" s="153"/>
      <c r="EB44" s="153"/>
      <c r="EC44" s="153"/>
      <c r="ED44" s="153"/>
      <c r="EE44" s="153"/>
      <c r="EF44" s="153"/>
      <c r="EG44" s="153"/>
      <c r="EH44" s="153"/>
      <c r="EI44" s="153"/>
      <c r="EJ44" s="153"/>
      <c r="EK44" s="153"/>
      <c r="EL44" s="153"/>
      <c r="EM44" s="153"/>
      <c r="EN44" s="153"/>
      <c r="EO44" s="153"/>
      <c r="EP44" s="153"/>
      <c r="EQ44" s="153"/>
      <c r="ER44" s="153"/>
      <c r="ES44" s="153"/>
      <c r="ET44" s="153"/>
      <c r="EU44" s="153"/>
      <c r="EV44" s="153"/>
      <c r="EW44" s="153"/>
      <c r="EX44" s="153"/>
      <c r="EY44" s="153"/>
      <c r="EZ44" s="153"/>
      <c r="FA44" s="153"/>
      <c r="FB44" s="153"/>
      <c r="FC44" s="153"/>
      <c r="FD44" s="153"/>
      <c r="FE44" s="153"/>
      <c r="FF44" s="153"/>
      <c r="FG44" s="153"/>
      <c r="FH44" s="153"/>
      <c r="FI44" s="153"/>
      <c r="FJ44" s="153"/>
      <c r="FK44" s="153"/>
      <c r="FL44" s="153"/>
      <c r="FM44" s="153"/>
      <c r="FN44" s="153"/>
      <c r="FO44" s="153"/>
      <c r="FP44" s="153"/>
      <c r="FQ44" s="153"/>
      <c r="FR44" s="153"/>
      <c r="FS44" s="153"/>
      <c r="FT44" s="153"/>
      <c r="FU44" s="153"/>
      <c r="FV44" s="153"/>
      <c r="FW44" s="153"/>
      <c r="FX44" s="153"/>
      <c r="FY44" s="153" t="str">
        <f>"" &amp; TEXT(AE44,"#0.00%") &amp; "/" &amp; TEXT(AD44,"#0.00% ") &amp; "" &amp; "" &amp; " " &amp; ""</f>
        <v xml:space="preserve">100.00%/100.00%  </v>
      </c>
      <c r="FZ44" s="153"/>
      <c r="GA44" s="153"/>
      <c r="GB44" s="153"/>
      <c r="GC44" s="153"/>
      <c r="GD44" s="153"/>
      <c r="GE44" s="153"/>
      <c r="GF44" s="153"/>
      <c r="GG44" s="153"/>
      <c r="GH44" s="153"/>
      <c r="GI44" s="153"/>
      <c r="GJ44" s="153"/>
      <c r="GK44" s="153"/>
      <c r="GL44" s="153"/>
      <c r="GM44" s="153"/>
      <c r="GN44" s="153"/>
      <c r="GO44" s="153"/>
      <c r="GP44" s="153"/>
      <c r="GQ44" s="153"/>
      <c r="GR44" s="153"/>
      <c r="GS44" s="153"/>
      <c r="GT44" s="153"/>
      <c r="GU44" s="153"/>
      <c r="GV44" s="153"/>
      <c r="GW44" s="153"/>
      <c r="GX44" s="153"/>
      <c r="GY44" s="153"/>
      <c r="GZ44" s="153"/>
      <c r="HA44" s="153"/>
      <c r="HB44" s="153"/>
      <c r="HC44" s="153"/>
      <c r="HD44" s="153"/>
      <c r="HE44" s="153"/>
      <c r="HF44" s="153"/>
      <c r="HG44" s="153"/>
      <c r="HH44" s="153"/>
      <c r="HI44" s="153"/>
      <c r="HJ44" s="153"/>
      <c r="HK44" s="153"/>
      <c r="HL44" s="153"/>
      <c r="HM44" s="153"/>
      <c r="HN44" s="153"/>
      <c r="HO44" s="153"/>
      <c r="HP44" s="153"/>
      <c r="HQ44" s="153"/>
      <c r="HR44" s="153"/>
      <c r="HS44" s="153"/>
      <c r="HT44" s="153"/>
      <c r="HU44" s="153"/>
      <c r="HV44" s="153"/>
      <c r="HW44" s="153"/>
      <c r="HX44" s="153"/>
      <c r="HY44" s="153"/>
      <c r="HZ44" s="153"/>
      <c r="IA44" s="153"/>
      <c r="IB44" s="153"/>
      <c r="IC44" s="153"/>
      <c r="ID44" s="153"/>
      <c r="IE44" s="153"/>
      <c r="IF44" s="153"/>
      <c r="IG44" s="153"/>
      <c r="IH44" s="153"/>
      <c r="II44" s="153"/>
      <c r="IJ44" s="153"/>
      <c r="IK44" s="153"/>
      <c r="IL44" s="153"/>
      <c r="IM44" s="153"/>
      <c r="IN44" s="153"/>
      <c r="IO44" s="153"/>
      <c r="IP44" s="153"/>
      <c r="IQ44" s="153"/>
      <c r="IR44" s="153"/>
      <c r="IS44" s="153"/>
      <c r="IT44" s="153"/>
      <c r="IU44" s="153"/>
      <c r="IV44" s="153"/>
      <c r="IW44" s="153"/>
      <c r="IX44" s="153"/>
      <c r="IY44" s="153"/>
      <c r="IZ44" s="153"/>
      <c r="JA44" s="153"/>
      <c r="JB44" s="153"/>
      <c r="JC44" s="153"/>
      <c r="JD44" s="153"/>
      <c r="JE44" s="153"/>
      <c r="JF44" s="153"/>
      <c r="JG44" s="153"/>
      <c r="JH44" s="153"/>
      <c r="JI44" s="153"/>
      <c r="JJ44" s="153"/>
      <c r="JK44" s="153"/>
      <c r="JL44" s="153"/>
      <c r="JM44" s="153"/>
      <c r="JN44" s="153"/>
      <c r="JO44" s="153"/>
      <c r="JP44" s="153"/>
      <c r="JQ44" s="153"/>
      <c r="JR44" s="153"/>
      <c r="JS44" s="153"/>
      <c r="JT44" s="153"/>
      <c r="JU44" s="153"/>
      <c r="JV44" s="153"/>
      <c r="JW44" s="153"/>
    </row>
    <row r="45" spans="1:283" ht="12" customHeight="1" outlineLevel="3">
      <c r="A45" s="123"/>
      <c r="B45" s="123" t="s">
        <v>1934</v>
      </c>
      <c r="C45" s="123">
        <v>4</v>
      </c>
      <c r="D45" s="151" t="s">
        <v>2000</v>
      </c>
      <c r="E45" s="124"/>
      <c r="F45" s="124"/>
      <c r="G45" s="124"/>
      <c r="H45" s="124" t="s">
        <v>1605</v>
      </c>
      <c r="I45" s="124"/>
      <c r="J45" s="124"/>
      <c r="K45" s="124"/>
      <c r="L45" s="124"/>
      <c r="M45" s="124"/>
      <c r="N45" s="124"/>
      <c r="O45" s="124"/>
      <c r="P45" s="125">
        <v>45943</v>
      </c>
      <c r="Q45" s="125">
        <v>45968</v>
      </c>
      <c r="R45" s="124"/>
      <c r="S45" s="126">
        <v>40</v>
      </c>
      <c r="T45" s="126">
        <v>40</v>
      </c>
      <c r="U45" s="126">
        <v>20</v>
      </c>
      <c r="V45" s="126">
        <v>20</v>
      </c>
      <c r="W45" s="125">
        <v>45922</v>
      </c>
      <c r="X45" s="125">
        <v>45975</v>
      </c>
      <c r="Y45" s="127">
        <v>69</v>
      </c>
      <c r="Z45" s="128">
        <v>35</v>
      </c>
      <c r="AA45" s="126"/>
      <c r="AB45" s="124"/>
      <c r="AC45" s="129"/>
      <c r="AD45" s="150">
        <v>1</v>
      </c>
      <c r="AE45" s="252">
        <v>1</v>
      </c>
      <c r="AF45" s="183"/>
      <c r="AG45" s="153"/>
      <c r="AH45" s="153"/>
      <c r="AI45" s="153"/>
      <c r="AJ45" s="153"/>
      <c r="AK45" s="153"/>
      <c r="AL45" s="153"/>
      <c r="AM45" s="153"/>
      <c r="AN45" s="153"/>
      <c r="AO45" s="153"/>
      <c r="AP45" s="153"/>
      <c r="AQ45" s="153"/>
      <c r="AR45" s="153"/>
      <c r="AS45" s="153"/>
      <c r="AT45" s="153"/>
      <c r="AU45" s="153"/>
      <c r="AV45" s="153"/>
      <c r="AW45" s="153"/>
      <c r="AX45" s="153"/>
      <c r="AY45" s="153"/>
      <c r="AZ45" s="153"/>
      <c r="BA45" s="153"/>
      <c r="BB45" s="153"/>
      <c r="BC45" s="153"/>
      <c r="BD45" s="153"/>
      <c r="BE45" s="153"/>
      <c r="BF45" s="153"/>
      <c r="BG45" s="153"/>
      <c r="BH45" s="153"/>
      <c r="BI45" s="153"/>
      <c r="BJ45" s="153"/>
      <c r="BK45" s="153"/>
      <c r="BL45" s="153"/>
      <c r="BM45" s="153"/>
      <c r="BN45" s="153"/>
      <c r="BO45" s="153"/>
      <c r="BP45" s="153"/>
      <c r="BQ45" s="153"/>
      <c r="BR45" s="153"/>
      <c r="BS45" s="153"/>
      <c r="BT45" s="153"/>
      <c r="BU45" s="153"/>
      <c r="BV45" s="153"/>
      <c r="BW45" s="153"/>
      <c r="BX45" s="153"/>
      <c r="BY45" s="153"/>
      <c r="BZ45" s="153"/>
      <c r="CA45" s="153"/>
      <c r="CB45" s="153"/>
      <c r="CC45" s="153"/>
      <c r="CD45" s="153"/>
      <c r="CE45" s="153"/>
      <c r="CF45" s="153"/>
      <c r="CG45" s="153"/>
      <c r="CH45" s="153"/>
      <c r="CI45" s="153"/>
      <c r="CJ45" s="153"/>
      <c r="CK45" s="153"/>
      <c r="CL45" s="153"/>
      <c r="CM45" s="153"/>
      <c r="CN45" s="153"/>
      <c r="CO45" s="153"/>
      <c r="CP45" s="153"/>
      <c r="CQ45" s="153"/>
      <c r="CR45" s="153"/>
      <c r="CS45" s="153"/>
      <c r="CT45" s="153"/>
      <c r="CU45" s="153"/>
      <c r="CV45" s="153"/>
      <c r="CW45" s="153"/>
      <c r="CX45" s="153"/>
      <c r="CY45" s="153"/>
      <c r="CZ45" s="153"/>
      <c r="DA45" s="153"/>
      <c r="DB45" s="153"/>
      <c r="DC45" s="153"/>
      <c r="DD45" s="153"/>
      <c r="DE45" s="153"/>
      <c r="DF45" s="153"/>
      <c r="DG45" s="153"/>
      <c r="DH45" s="153"/>
      <c r="DI45" s="153"/>
      <c r="DJ45" s="153"/>
      <c r="DK45" s="153"/>
      <c r="DL45" s="153"/>
      <c r="DM45" s="153"/>
      <c r="DN45" s="153"/>
      <c r="DO45" s="153"/>
      <c r="DP45" s="153"/>
      <c r="DQ45" s="153"/>
      <c r="DR45" s="153"/>
      <c r="DS45" s="153"/>
      <c r="DT45" s="153"/>
      <c r="DU45" s="153"/>
      <c r="DV45" s="153"/>
      <c r="DW45" s="153"/>
      <c r="DX45" s="153"/>
      <c r="DY45" s="153"/>
      <c r="DZ45" s="153"/>
      <c r="EA45" s="153"/>
      <c r="EB45" s="153"/>
      <c r="EC45" s="153"/>
      <c r="ED45" s="153"/>
      <c r="EE45" s="153"/>
      <c r="EF45" s="153"/>
      <c r="EG45" s="153"/>
      <c r="EH45" s="153"/>
      <c r="EI45" s="153"/>
      <c r="EJ45" s="153"/>
      <c r="EK45" s="153"/>
      <c r="EL45" s="153"/>
      <c r="EM45" s="153"/>
      <c r="EN45" s="153"/>
      <c r="EO45" s="153"/>
      <c r="EP45" s="153"/>
      <c r="EQ45" s="153"/>
      <c r="ER45" s="153"/>
      <c r="ES45" s="153"/>
      <c r="ET45" s="153"/>
      <c r="EU45" s="153"/>
      <c r="EV45" s="153"/>
      <c r="EW45" s="153"/>
      <c r="EX45" s="153"/>
      <c r="EY45" s="153"/>
      <c r="EZ45" s="153"/>
      <c r="FA45" s="153"/>
      <c r="FB45" s="153"/>
      <c r="FC45" s="153"/>
      <c r="FD45" s="153"/>
      <c r="FE45" s="153"/>
      <c r="FF45" s="153"/>
      <c r="FG45" s="153"/>
      <c r="FH45" s="153"/>
      <c r="FI45" s="153"/>
      <c r="FJ45" s="153"/>
      <c r="FK45" s="153"/>
      <c r="FL45" s="153"/>
      <c r="FM45" s="153"/>
      <c r="FN45" s="153"/>
      <c r="FO45" s="153"/>
      <c r="FP45" s="153"/>
      <c r="FQ45" s="153"/>
      <c r="FR45" s="153"/>
      <c r="FS45" s="153"/>
      <c r="FT45" s="153"/>
      <c r="FU45" s="153"/>
      <c r="FV45" s="153"/>
      <c r="FW45" s="153"/>
      <c r="FX45" s="153"/>
      <c r="FY45" s="153"/>
      <c r="FZ45" s="153"/>
      <c r="GA45" s="153"/>
      <c r="GB45" s="153"/>
      <c r="GC45" s="153"/>
      <c r="GD45" s="153"/>
      <c r="GE45" s="153"/>
      <c r="GF45" s="153"/>
      <c r="GG45" s="153"/>
      <c r="GH45" s="153"/>
      <c r="GI45" s="153"/>
      <c r="GJ45" s="153"/>
      <c r="GK45" s="153"/>
      <c r="GL45" s="153"/>
      <c r="GM45" s="153"/>
      <c r="GN45" s="153"/>
      <c r="GO45" s="153"/>
      <c r="GP45" s="153" t="str">
        <f>"" &amp; TEXT(AE45,"#0.00%") &amp; "/" &amp; TEXT(AD45,"#0.00% ") &amp; "" &amp; "" &amp; " " &amp; ""</f>
        <v xml:space="preserve">100.00%/100.00%  </v>
      </c>
      <c r="GQ45" s="153"/>
      <c r="GR45" s="153"/>
      <c r="GS45" s="153"/>
      <c r="GT45" s="153"/>
      <c r="GU45" s="153"/>
      <c r="GV45" s="153"/>
      <c r="GW45" s="153"/>
      <c r="GX45" s="153"/>
      <c r="GY45" s="153"/>
      <c r="GZ45" s="153"/>
      <c r="HA45" s="153"/>
      <c r="HB45" s="153"/>
      <c r="HC45" s="153"/>
      <c r="HD45" s="153"/>
      <c r="HE45" s="153"/>
      <c r="HF45" s="153"/>
      <c r="HG45" s="153"/>
      <c r="HH45" s="153"/>
      <c r="HI45" s="153"/>
      <c r="HJ45" s="153"/>
      <c r="HK45" s="153"/>
      <c r="HL45" s="153"/>
      <c r="HM45" s="153"/>
      <c r="HN45" s="153"/>
      <c r="HO45" s="153"/>
      <c r="HP45" s="153"/>
      <c r="HQ45" s="153"/>
      <c r="HR45" s="153"/>
      <c r="HS45" s="153"/>
      <c r="HT45" s="153"/>
      <c r="HU45" s="153"/>
      <c r="HV45" s="153"/>
      <c r="HW45" s="153"/>
      <c r="HX45" s="153"/>
      <c r="HY45" s="153"/>
      <c r="HZ45" s="153"/>
      <c r="IA45" s="153"/>
      <c r="IB45" s="153"/>
      <c r="IC45" s="153"/>
      <c r="ID45" s="153"/>
      <c r="IE45" s="153"/>
      <c r="IF45" s="153"/>
      <c r="IG45" s="153"/>
      <c r="IH45" s="153"/>
      <c r="II45" s="153"/>
      <c r="IJ45" s="153"/>
      <c r="IK45" s="153"/>
      <c r="IL45" s="153"/>
      <c r="IM45" s="153"/>
      <c r="IN45" s="153"/>
      <c r="IO45" s="153"/>
      <c r="IP45" s="153"/>
      <c r="IQ45" s="153"/>
      <c r="IR45" s="153"/>
      <c r="IS45" s="153"/>
      <c r="IT45" s="153"/>
      <c r="IU45" s="153"/>
      <c r="IV45" s="153"/>
      <c r="IW45" s="153"/>
      <c r="IX45" s="153"/>
      <c r="IY45" s="153"/>
      <c r="IZ45" s="153"/>
      <c r="JA45" s="153"/>
      <c r="JB45" s="153"/>
      <c r="JC45" s="153"/>
      <c r="JD45" s="153"/>
      <c r="JE45" s="153"/>
      <c r="JF45" s="153"/>
      <c r="JG45" s="153"/>
      <c r="JH45" s="153"/>
      <c r="JI45" s="153"/>
      <c r="JJ45" s="153"/>
      <c r="JK45" s="153"/>
      <c r="JL45" s="153"/>
      <c r="JM45" s="153"/>
      <c r="JN45" s="153"/>
      <c r="JO45" s="153"/>
      <c r="JP45" s="153"/>
      <c r="JQ45" s="153"/>
      <c r="JR45" s="153"/>
      <c r="JS45" s="153"/>
      <c r="JT45" s="153"/>
      <c r="JU45" s="153"/>
      <c r="JV45" s="153"/>
      <c r="JW45" s="153"/>
    </row>
    <row r="46" spans="1:283" ht="12" customHeight="1" outlineLevel="4">
      <c r="A46" s="123"/>
      <c r="B46" s="123"/>
      <c r="C46" s="123">
        <v>5</v>
      </c>
      <c r="D46" s="151" t="s">
        <v>2001</v>
      </c>
      <c r="E46" s="124"/>
      <c r="F46" s="124"/>
      <c r="G46" s="124"/>
      <c r="H46" s="124"/>
      <c r="I46" s="124" t="s">
        <v>1879</v>
      </c>
      <c r="J46" s="124"/>
      <c r="K46" s="124"/>
      <c r="L46" s="124"/>
      <c r="M46" s="124"/>
      <c r="N46" s="124"/>
      <c r="O46" s="124"/>
      <c r="P46" s="125">
        <v>45943</v>
      </c>
      <c r="Q46" s="125">
        <v>45954</v>
      </c>
      <c r="R46" s="124"/>
      <c r="S46" s="126">
        <v>10</v>
      </c>
      <c r="T46" s="126">
        <v>10</v>
      </c>
      <c r="U46" s="126">
        <v>10</v>
      </c>
      <c r="V46" s="126">
        <v>10</v>
      </c>
      <c r="W46" s="125">
        <v>45922</v>
      </c>
      <c r="X46" s="125">
        <v>45975</v>
      </c>
      <c r="Y46" s="127">
        <v>35</v>
      </c>
      <c r="Z46" s="128">
        <v>35</v>
      </c>
      <c r="AA46" s="126">
        <v>1</v>
      </c>
      <c r="AB46" s="124"/>
      <c r="AC46" s="129"/>
      <c r="AD46" s="150">
        <v>1</v>
      </c>
      <c r="AE46" s="251">
        <v>1</v>
      </c>
      <c r="AF46" s="183"/>
      <c r="AG46" s="153"/>
      <c r="AH46" s="153"/>
      <c r="AI46" s="153"/>
      <c r="AJ46" s="153"/>
      <c r="AK46" s="153"/>
      <c r="AL46" s="153"/>
      <c r="AM46" s="153"/>
      <c r="AN46" s="153"/>
      <c r="AO46" s="153"/>
      <c r="AP46" s="153"/>
      <c r="AQ46" s="153"/>
      <c r="AR46" s="153"/>
      <c r="AS46" s="153"/>
      <c r="AT46" s="153"/>
      <c r="AU46" s="153"/>
      <c r="AV46" s="153"/>
      <c r="AW46" s="153"/>
      <c r="AX46" s="153"/>
      <c r="AY46" s="153"/>
      <c r="AZ46" s="153"/>
      <c r="BA46" s="153"/>
      <c r="BB46" s="153"/>
      <c r="BC46" s="153"/>
      <c r="BD46" s="153"/>
      <c r="BE46" s="153"/>
      <c r="BF46" s="153"/>
      <c r="BG46" s="153"/>
      <c r="BH46" s="153"/>
      <c r="BI46" s="153"/>
      <c r="BJ46" s="153"/>
      <c r="BK46" s="153"/>
      <c r="BL46" s="153"/>
      <c r="BM46" s="153"/>
      <c r="BN46" s="153"/>
      <c r="BO46" s="153"/>
      <c r="BP46" s="153"/>
      <c r="BQ46" s="153"/>
      <c r="BR46" s="153"/>
      <c r="BS46" s="153"/>
      <c r="BT46" s="153"/>
      <c r="BU46" s="153"/>
      <c r="BV46" s="153"/>
      <c r="BW46" s="153"/>
      <c r="BX46" s="153"/>
      <c r="BY46" s="153"/>
      <c r="BZ46" s="153"/>
      <c r="CA46" s="153"/>
      <c r="CB46" s="153"/>
      <c r="CC46" s="153"/>
      <c r="CD46" s="153"/>
      <c r="CE46" s="153"/>
      <c r="CF46" s="153"/>
      <c r="CG46" s="153"/>
      <c r="CH46" s="153"/>
      <c r="CI46" s="153"/>
      <c r="CJ46" s="153"/>
      <c r="CK46" s="153"/>
      <c r="CL46" s="153"/>
      <c r="CM46" s="153"/>
      <c r="CN46" s="153"/>
      <c r="CO46" s="153"/>
      <c r="CP46" s="153"/>
      <c r="CQ46" s="153"/>
      <c r="CR46" s="153"/>
      <c r="CS46" s="153"/>
      <c r="CT46" s="153"/>
      <c r="CU46" s="153"/>
      <c r="CV46" s="153"/>
      <c r="CW46" s="153"/>
      <c r="CX46" s="153"/>
      <c r="CY46" s="153"/>
      <c r="CZ46" s="153"/>
      <c r="DA46" s="153"/>
      <c r="DB46" s="153"/>
      <c r="DC46" s="153"/>
      <c r="DD46" s="153"/>
      <c r="DE46" s="153"/>
      <c r="DF46" s="153"/>
      <c r="DG46" s="153"/>
      <c r="DH46" s="153"/>
      <c r="DI46" s="153"/>
      <c r="DJ46" s="153"/>
      <c r="DK46" s="153"/>
      <c r="DL46" s="153"/>
      <c r="DM46" s="153"/>
      <c r="DN46" s="153"/>
      <c r="DO46" s="153"/>
      <c r="DP46" s="153"/>
      <c r="DQ46" s="153"/>
      <c r="DR46" s="153"/>
      <c r="DS46" s="153"/>
      <c r="DT46" s="153"/>
      <c r="DU46" s="153"/>
      <c r="DV46" s="153"/>
      <c r="DW46" s="153"/>
      <c r="DX46" s="153"/>
      <c r="DY46" s="153"/>
      <c r="DZ46" s="153"/>
      <c r="EA46" s="153"/>
      <c r="EB46" s="153"/>
      <c r="EC46" s="153"/>
      <c r="ED46" s="153"/>
      <c r="EE46" s="153"/>
      <c r="EF46" s="153"/>
      <c r="EG46" s="153"/>
      <c r="EH46" s="153"/>
      <c r="EI46" s="153"/>
      <c r="EJ46" s="153"/>
      <c r="EK46" s="153"/>
      <c r="EL46" s="153"/>
      <c r="EM46" s="153"/>
      <c r="EN46" s="153"/>
      <c r="EO46" s="153"/>
      <c r="EP46" s="153"/>
      <c r="EQ46" s="153"/>
      <c r="ER46" s="153"/>
      <c r="ES46" s="153"/>
      <c r="ET46" s="153"/>
      <c r="EU46" s="153"/>
      <c r="EV46" s="153"/>
      <c r="EW46" s="153"/>
      <c r="EX46" s="153"/>
      <c r="EY46" s="153"/>
      <c r="EZ46" s="153"/>
      <c r="FA46" s="153"/>
      <c r="FB46" s="153"/>
      <c r="FC46" s="153"/>
      <c r="FD46" s="153"/>
      <c r="FE46" s="153"/>
      <c r="FF46" s="153"/>
      <c r="FG46" s="153"/>
      <c r="FH46" s="153"/>
      <c r="FI46" s="153"/>
      <c r="FJ46" s="153"/>
      <c r="FK46" s="153"/>
      <c r="FL46" s="153"/>
      <c r="FM46" s="153"/>
      <c r="FN46" s="153"/>
      <c r="FO46" s="153"/>
      <c r="FP46" s="153"/>
      <c r="FQ46" s="153"/>
      <c r="FR46" s="153"/>
      <c r="FS46" s="153"/>
      <c r="FT46" s="153"/>
      <c r="FU46" s="153"/>
      <c r="FV46" s="153"/>
      <c r="FW46" s="153"/>
      <c r="FX46" s="153"/>
      <c r="FY46" s="153"/>
      <c r="FZ46" s="153"/>
      <c r="GA46" s="153"/>
      <c r="GB46" s="153"/>
      <c r="GC46" s="153"/>
      <c r="GD46" s="153"/>
      <c r="GE46" s="153"/>
      <c r="GF46" s="153"/>
      <c r="GG46" s="153"/>
      <c r="GH46" s="153"/>
      <c r="GI46" s="153"/>
      <c r="GJ46" s="153"/>
      <c r="GK46" s="153"/>
      <c r="GL46" s="153"/>
      <c r="GM46" s="153"/>
      <c r="GN46" s="153"/>
      <c r="GO46" s="153"/>
      <c r="GP46" s="153" t="str">
        <f>"" &amp; TEXT(AE46,"#0.00%") &amp; "/" &amp; TEXT(AD46,"#0.00% ") &amp; "" &amp; "" &amp; " " &amp; ""</f>
        <v xml:space="preserve">100.00%/100.00%  </v>
      </c>
      <c r="GQ46" s="153"/>
      <c r="GR46" s="153"/>
      <c r="GS46" s="153"/>
      <c r="GT46" s="153"/>
      <c r="GU46" s="153"/>
      <c r="GV46" s="153"/>
      <c r="GW46" s="153"/>
      <c r="GX46" s="153"/>
      <c r="GY46" s="153"/>
      <c r="GZ46" s="153"/>
      <c r="HA46" s="153"/>
      <c r="HB46" s="153"/>
      <c r="HC46" s="153"/>
      <c r="HD46" s="153"/>
      <c r="HE46" s="153"/>
      <c r="HF46" s="153"/>
      <c r="HG46" s="153"/>
      <c r="HH46" s="153"/>
      <c r="HI46" s="153"/>
      <c r="HJ46" s="153"/>
      <c r="HK46" s="153"/>
      <c r="HL46" s="153"/>
      <c r="HM46" s="153"/>
      <c r="HN46" s="153"/>
      <c r="HO46" s="153"/>
      <c r="HP46" s="153"/>
      <c r="HQ46" s="153"/>
      <c r="HR46" s="153"/>
      <c r="HS46" s="153"/>
      <c r="HT46" s="153"/>
      <c r="HU46" s="153"/>
      <c r="HV46" s="153"/>
      <c r="HW46" s="153"/>
      <c r="HX46" s="153"/>
      <c r="HY46" s="153"/>
      <c r="HZ46" s="153"/>
      <c r="IA46" s="153"/>
      <c r="IB46" s="153"/>
      <c r="IC46" s="153"/>
      <c r="ID46" s="153"/>
      <c r="IE46" s="153"/>
      <c r="IF46" s="153"/>
      <c r="IG46" s="153"/>
      <c r="IH46" s="153"/>
      <c r="II46" s="153"/>
      <c r="IJ46" s="153"/>
      <c r="IK46" s="153"/>
      <c r="IL46" s="153"/>
      <c r="IM46" s="153"/>
      <c r="IN46" s="153"/>
      <c r="IO46" s="153"/>
      <c r="IP46" s="153"/>
      <c r="IQ46" s="153"/>
      <c r="IR46" s="153"/>
      <c r="IS46" s="153"/>
      <c r="IT46" s="153"/>
      <c r="IU46" s="153"/>
      <c r="IV46" s="153"/>
      <c r="IW46" s="153"/>
      <c r="IX46" s="153"/>
      <c r="IY46" s="153"/>
      <c r="IZ46" s="153"/>
      <c r="JA46" s="153"/>
      <c r="JB46" s="153"/>
      <c r="JC46" s="153"/>
      <c r="JD46" s="153"/>
      <c r="JE46" s="153"/>
      <c r="JF46" s="153"/>
      <c r="JG46" s="153"/>
      <c r="JH46" s="153"/>
      <c r="JI46" s="153"/>
      <c r="JJ46" s="153"/>
      <c r="JK46" s="153"/>
      <c r="JL46" s="153"/>
      <c r="JM46" s="153"/>
      <c r="JN46" s="153"/>
      <c r="JO46" s="153"/>
      <c r="JP46" s="153"/>
      <c r="JQ46" s="153"/>
      <c r="JR46" s="153"/>
      <c r="JS46" s="153"/>
      <c r="JT46" s="153"/>
      <c r="JU46" s="153"/>
      <c r="JV46" s="153"/>
      <c r="JW46" s="153"/>
    </row>
    <row r="47" spans="1:283" ht="12" customHeight="1" outlineLevel="4">
      <c r="A47" s="123"/>
      <c r="B47" s="123"/>
      <c r="C47" s="123">
        <v>5</v>
      </c>
      <c r="D47" s="151" t="s">
        <v>2002</v>
      </c>
      <c r="E47" s="124"/>
      <c r="F47" s="124"/>
      <c r="G47" s="124"/>
      <c r="H47" s="124"/>
      <c r="I47" s="124" t="s">
        <v>1967</v>
      </c>
      <c r="J47" s="124"/>
      <c r="K47" s="124"/>
      <c r="L47" s="124"/>
      <c r="M47" s="124"/>
      <c r="N47" s="124"/>
      <c r="O47" s="124"/>
      <c r="P47" s="125">
        <v>45950</v>
      </c>
      <c r="Q47" s="125">
        <v>45968</v>
      </c>
      <c r="R47" s="124"/>
      <c r="S47" s="126">
        <v>15</v>
      </c>
      <c r="T47" s="126">
        <v>15</v>
      </c>
      <c r="U47" s="126">
        <v>15</v>
      </c>
      <c r="V47" s="126">
        <v>15</v>
      </c>
      <c r="W47" s="125">
        <v>45940</v>
      </c>
      <c r="X47" s="125">
        <v>45965</v>
      </c>
      <c r="Y47" s="127">
        <v>18</v>
      </c>
      <c r="Z47" s="128">
        <v>18</v>
      </c>
      <c r="AA47" s="126">
        <v>1</v>
      </c>
      <c r="AB47" s="124"/>
      <c r="AC47" s="129"/>
      <c r="AD47" s="150">
        <v>1</v>
      </c>
      <c r="AE47" s="251">
        <v>1</v>
      </c>
      <c r="AF47" s="183"/>
      <c r="AG47" s="153"/>
      <c r="AH47" s="153"/>
      <c r="AI47" s="153"/>
      <c r="AJ47" s="153"/>
      <c r="AK47" s="153"/>
      <c r="AL47" s="153"/>
      <c r="AM47" s="153"/>
      <c r="AN47" s="153"/>
      <c r="AO47" s="153"/>
      <c r="AP47" s="153"/>
      <c r="AQ47" s="153"/>
      <c r="AR47" s="153"/>
      <c r="AS47" s="153"/>
      <c r="AT47" s="153"/>
      <c r="AU47" s="153"/>
      <c r="AV47" s="153"/>
      <c r="AW47" s="153"/>
      <c r="AX47" s="153"/>
      <c r="AY47" s="153"/>
      <c r="AZ47" s="153"/>
      <c r="BA47" s="153"/>
      <c r="BB47" s="153"/>
      <c r="BC47" s="153"/>
      <c r="BD47" s="153"/>
      <c r="BE47" s="153"/>
      <c r="BF47" s="153"/>
      <c r="BG47" s="153"/>
      <c r="BH47" s="153"/>
      <c r="BI47" s="153"/>
      <c r="BJ47" s="153"/>
      <c r="BK47" s="153"/>
      <c r="BL47" s="153"/>
      <c r="BM47" s="153"/>
      <c r="BN47" s="153"/>
      <c r="BO47" s="153"/>
      <c r="BP47" s="153"/>
      <c r="BQ47" s="153"/>
      <c r="BR47" s="153"/>
      <c r="BS47" s="153"/>
      <c r="BT47" s="153"/>
      <c r="BU47" s="153"/>
      <c r="BV47" s="153"/>
      <c r="BW47" s="153"/>
      <c r="BX47" s="153"/>
      <c r="BY47" s="153"/>
      <c r="BZ47" s="153"/>
      <c r="CA47" s="153"/>
      <c r="CB47" s="153"/>
      <c r="CC47" s="153"/>
      <c r="CD47" s="153"/>
      <c r="CE47" s="153"/>
      <c r="CF47" s="153"/>
      <c r="CG47" s="153"/>
      <c r="CH47" s="153"/>
      <c r="CI47" s="153"/>
      <c r="CJ47" s="153"/>
      <c r="CK47" s="153"/>
      <c r="CL47" s="153"/>
      <c r="CM47" s="153"/>
      <c r="CN47" s="153"/>
      <c r="CO47" s="153"/>
      <c r="CP47" s="153"/>
      <c r="CQ47" s="153"/>
      <c r="CR47" s="153"/>
      <c r="CS47" s="153"/>
      <c r="CT47" s="153"/>
      <c r="CU47" s="153"/>
      <c r="CV47" s="153"/>
      <c r="CW47" s="153"/>
      <c r="CX47" s="153"/>
      <c r="CY47" s="153"/>
      <c r="CZ47" s="153"/>
      <c r="DA47" s="153"/>
      <c r="DB47" s="153"/>
      <c r="DC47" s="153"/>
      <c r="DD47" s="153"/>
      <c r="DE47" s="153"/>
      <c r="DF47" s="153"/>
      <c r="DG47" s="153"/>
      <c r="DH47" s="153"/>
      <c r="DI47" s="153"/>
      <c r="DJ47" s="153"/>
      <c r="DK47" s="153"/>
      <c r="DL47" s="153"/>
      <c r="DM47" s="153"/>
      <c r="DN47" s="153"/>
      <c r="DO47" s="153"/>
      <c r="DP47" s="153"/>
      <c r="DQ47" s="153"/>
      <c r="DR47" s="153"/>
      <c r="DS47" s="153"/>
      <c r="DT47" s="153"/>
      <c r="DU47" s="153"/>
      <c r="DV47" s="153"/>
      <c r="DW47" s="153"/>
      <c r="DX47" s="153"/>
      <c r="DY47" s="153"/>
      <c r="DZ47" s="153"/>
      <c r="EA47" s="153"/>
      <c r="EB47" s="153"/>
      <c r="EC47" s="153"/>
      <c r="ED47" s="153"/>
      <c r="EE47" s="153"/>
      <c r="EF47" s="153"/>
      <c r="EG47" s="153"/>
      <c r="EH47" s="153"/>
      <c r="EI47" s="153"/>
      <c r="EJ47" s="153"/>
      <c r="EK47" s="153"/>
      <c r="EL47" s="153"/>
      <c r="EM47" s="153"/>
      <c r="EN47" s="153"/>
      <c r="EO47" s="153"/>
      <c r="EP47" s="153"/>
      <c r="EQ47" s="153"/>
      <c r="ER47" s="153"/>
      <c r="ES47" s="153"/>
      <c r="ET47" s="153"/>
      <c r="EU47" s="153"/>
      <c r="EV47" s="153"/>
      <c r="EW47" s="153"/>
      <c r="EX47" s="153"/>
      <c r="EY47" s="153"/>
      <c r="EZ47" s="153"/>
      <c r="FA47" s="153"/>
      <c r="FB47" s="153"/>
      <c r="FC47" s="153"/>
      <c r="FD47" s="153"/>
      <c r="FE47" s="153"/>
      <c r="FF47" s="153"/>
      <c r="FG47" s="153"/>
      <c r="FH47" s="153"/>
      <c r="FI47" s="153"/>
      <c r="FJ47" s="153"/>
      <c r="FK47" s="153"/>
      <c r="FL47" s="153"/>
      <c r="FM47" s="153"/>
      <c r="FN47" s="153"/>
      <c r="FO47" s="153"/>
      <c r="FP47" s="153"/>
      <c r="FQ47" s="153"/>
      <c r="FR47" s="153"/>
      <c r="FS47" s="153"/>
      <c r="FT47" s="153"/>
      <c r="FU47" s="153"/>
      <c r="FV47" s="153"/>
      <c r="FW47" s="153"/>
      <c r="FX47" s="153"/>
      <c r="FY47" s="153"/>
      <c r="FZ47" s="153"/>
      <c r="GA47" s="153"/>
      <c r="GB47" s="153"/>
      <c r="GC47" s="153"/>
      <c r="GD47" s="153"/>
      <c r="GE47" s="153"/>
      <c r="GF47" s="153" t="str">
        <f>"" &amp; TEXT(AE47,"#0.00%") &amp; "/" &amp; TEXT(AD47,"#0.00% ") &amp; "" &amp; "" &amp; " " &amp; ""</f>
        <v xml:space="preserve">100.00%/100.00%  </v>
      </c>
      <c r="GG47" s="153"/>
      <c r="GH47" s="153"/>
      <c r="GI47" s="153"/>
      <c r="GJ47" s="153"/>
      <c r="GK47" s="153"/>
      <c r="GL47" s="153"/>
      <c r="GM47" s="153"/>
      <c r="GN47" s="153"/>
      <c r="GO47" s="153"/>
      <c r="GP47" s="153"/>
      <c r="GQ47" s="153"/>
      <c r="GR47" s="153"/>
      <c r="GS47" s="153"/>
      <c r="GT47" s="153"/>
      <c r="GU47" s="153"/>
      <c r="GV47" s="153"/>
      <c r="GW47" s="153"/>
      <c r="GX47" s="153"/>
      <c r="GY47" s="153"/>
      <c r="GZ47" s="153"/>
      <c r="HA47" s="153"/>
      <c r="HB47" s="153"/>
      <c r="HC47" s="153"/>
      <c r="HD47" s="153"/>
      <c r="HE47" s="153"/>
      <c r="HF47" s="153"/>
      <c r="HG47" s="153"/>
      <c r="HH47" s="153"/>
      <c r="HI47" s="153"/>
      <c r="HJ47" s="153"/>
      <c r="HK47" s="153"/>
      <c r="HL47" s="153"/>
      <c r="HM47" s="153"/>
      <c r="HN47" s="153"/>
      <c r="HO47" s="153"/>
      <c r="HP47" s="153"/>
      <c r="HQ47" s="153"/>
      <c r="HR47" s="153"/>
      <c r="HS47" s="153"/>
      <c r="HT47" s="153"/>
      <c r="HU47" s="153"/>
      <c r="HV47" s="153"/>
      <c r="HW47" s="153"/>
      <c r="HX47" s="153"/>
      <c r="HY47" s="153"/>
      <c r="HZ47" s="153"/>
      <c r="IA47" s="153"/>
      <c r="IB47" s="153"/>
      <c r="IC47" s="153"/>
      <c r="ID47" s="153"/>
      <c r="IE47" s="153"/>
      <c r="IF47" s="153"/>
      <c r="IG47" s="153"/>
      <c r="IH47" s="153"/>
      <c r="II47" s="153"/>
      <c r="IJ47" s="153"/>
      <c r="IK47" s="153"/>
      <c r="IL47" s="153"/>
      <c r="IM47" s="153"/>
      <c r="IN47" s="153"/>
      <c r="IO47" s="153"/>
      <c r="IP47" s="153"/>
      <c r="IQ47" s="153"/>
      <c r="IR47" s="153"/>
      <c r="IS47" s="153"/>
      <c r="IT47" s="153"/>
      <c r="IU47" s="153"/>
      <c r="IV47" s="153"/>
      <c r="IW47" s="153"/>
      <c r="IX47" s="153"/>
      <c r="IY47" s="153"/>
      <c r="IZ47" s="153"/>
      <c r="JA47" s="153"/>
      <c r="JB47" s="153"/>
      <c r="JC47" s="153"/>
      <c r="JD47" s="153"/>
      <c r="JE47" s="153"/>
      <c r="JF47" s="153"/>
      <c r="JG47" s="153"/>
      <c r="JH47" s="153"/>
      <c r="JI47" s="153"/>
      <c r="JJ47" s="153"/>
      <c r="JK47" s="153"/>
      <c r="JL47" s="153"/>
      <c r="JM47" s="153"/>
      <c r="JN47" s="153"/>
      <c r="JO47" s="153"/>
      <c r="JP47" s="153"/>
      <c r="JQ47" s="153"/>
      <c r="JR47" s="153"/>
      <c r="JS47" s="153"/>
      <c r="JT47" s="153"/>
      <c r="JU47" s="153"/>
      <c r="JV47" s="153"/>
      <c r="JW47" s="153"/>
    </row>
    <row r="48" spans="1:283" ht="12" customHeight="1" outlineLevel="4">
      <c r="A48" s="123"/>
      <c r="B48" s="123"/>
      <c r="C48" s="123">
        <v>5</v>
      </c>
      <c r="D48" s="151" t="s">
        <v>2003</v>
      </c>
      <c r="E48" s="124"/>
      <c r="F48" s="124"/>
      <c r="G48" s="124"/>
      <c r="H48" s="124"/>
      <c r="I48" s="124" t="s">
        <v>1968</v>
      </c>
      <c r="J48" s="124"/>
      <c r="K48" s="124"/>
      <c r="L48" s="124"/>
      <c r="M48" s="124"/>
      <c r="N48" s="124"/>
      <c r="O48" s="124"/>
      <c r="P48" s="125">
        <v>45943</v>
      </c>
      <c r="Q48" s="125">
        <v>45961</v>
      </c>
      <c r="R48" s="124"/>
      <c r="S48" s="126">
        <v>15</v>
      </c>
      <c r="T48" s="126">
        <v>15</v>
      </c>
      <c r="U48" s="126">
        <v>15</v>
      </c>
      <c r="V48" s="126">
        <v>15</v>
      </c>
      <c r="W48" s="125">
        <v>45940</v>
      </c>
      <c r="X48" s="125">
        <v>45961</v>
      </c>
      <c r="Y48" s="127">
        <v>16</v>
      </c>
      <c r="Z48" s="128">
        <v>16</v>
      </c>
      <c r="AA48" s="126">
        <v>1</v>
      </c>
      <c r="AB48" s="124"/>
      <c r="AC48" s="129"/>
      <c r="AD48" s="150">
        <v>1</v>
      </c>
      <c r="AE48" s="251">
        <v>1</v>
      </c>
      <c r="AF48" s="183"/>
      <c r="AG48" s="153"/>
      <c r="AH48" s="153"/>
      <c r="AI48" s="153"/>
      <c r="AJ48" s="153"/>
      <c r="AK48" s="153"/>
      <c r="AL48" s="153"/>
      <c r="AM48" s="153"/>
      <c r="AN48" s="153"/>
      <c r="AO48" s="153"/>
      <c r="AP48" s="153"/>
      <c r="AQ48" s="153"/>
      <c r="AR48" s="153"/>
      <c r="AS48" s="153"/>
      <c r="AT48" s="153"/>
      <c r="AU48" s="153"/>
      <c r="AV48" s="153"/>
      <c r="AW48" s="153"/>
      <c r="AX48" s="153"/>
      <c r="AY48" s="153"/>
      <c r="AZ48" s="153"/>
      <c r="BA48" s="153"/>
      <c r="BB48" s="153"/>
      <c r="BC48" s="153"/>
      <c r="BD48" s="153"/>
      <c r="BE48" s="153"/>
      <c r="BF48" s="153"/>
      <c r="BG48" s="153"/>
      <c r="BH48" s="153"/>
      <c r="BI48" s="153"/>
      <c r="BJ48" s="153"/>
      <c r="BK48" s="153"/>
      <c r="BL48" s="153"/>
      <c r="BM48" s="153"/>
      <c r="BN48" s="153"/>
      <c r="BO48" s="153"/>
      <c r="BP48" s="153"/>
      <c r="BQ48" s="153"/>
      <c r="BR48" s="153"/>
      <c r="BS48" s="153"/>
      <c r="BT48" s="153"/>
      <c r="BU48" s="153"/>
      <c r="BV48" s="153"/>
      <c r="BW48" s="153"/>
      <c r="BX48" s="153"/>
      <c r="BY48" s="153"/>
      <c r="BZ48" s="153"/>
      <c r="CA48" s="153"/>
      <c r="CB48" s="153"/>
      <c r="CC48" s="153"/>
      <c r="CD48" s="153"/>
      <c r="CE48" s="153"/>
      <c r="CF48" s="153"/>
      <c r="CG48" s="153"/>
      <c r="CH48" s="153"/>
      <c r="CI48" s="153"/>
      <c r="CJ48" s="153"/>
      <c r="CK48" s="153"/>
      <c r="CL48" s="153"/>
      <c r="CM48" s="153"/>
      <c r="CN48" s="153"/>
      <c r="CO48" s="153"/>
      <c r="CP48" s="153"/>
      <c r="CQ48" s="153"/>
      <c r="CR48" s="153"/>
      <c r="CS48" s="153"/>
      <c r="CT48" s="153"/>
      <c r="CU48" s="153"/>
      <c r="CV48" s="153"/>
      <c r="CW48" s="153"/>
      <c r="CX48" s="153"/>
      <c r="CY48" s="153"/>
      <c r="CZ48" s="153"/>
      <c r="DA48" s="153"/>
      <c r="DB48" s="153"/>
      <c r="DC48" s="153"/>
      <c r="DD48" s="153"/>
      <c r="DE48" s="153"/>
      <c r="DF48" s="153"/>
      <c r="DG48" s="153"/>
      <c r="DH48" s="153"/>
      <c r="DI48" s="153"/>
      <c r="DJ48" s="153"/>
      <c r="DK48" s="153"/>
      <c r="DL48" s="153"/>
      <c r="DM48" s="153"/>
      <c r="DN48" s="153"/>
      <c r="DO48" s="153"/>
      <c r="DP48" s="153"/>
      <c r="DQ48" s="153"/>
      <c r="DR48" s="153"/>
      <c r="DS48" s="153"/>
      <c r="DT48" s="153"/>
      <c r="DU48" s="153"/>
      <c r="DV48" s="153"/>
      <c r="DW48" s="153"/>
      <c r="DX48" s="153"/>
      <c r="DY48" s="153"/>
      <c r="DZ48" s="153"/>
      <c r="EA48" s="153"/>
      <c r="EB48" s="153"/>
      <c r="EC48" s="153"/>
      <c r="ED48" s="153"/>
      <c r="EE48" s="153"/>
      <c r="EF48" s="153"/>
      <c r="EG48" s="153"/>
      <c r="EH48" s="153"/>
      <c r="EI48" s="153"/>
      <c r="EJ48" s="153"/>
      <c r="EK48" s="153"/>
      <c r="EL48" s="153"/>
      <c r="EM48" s="153"/>
      <c r="EN48" s="153"/>
      <c r="EO48" s="153"/>
      <c r="EP48" s="153"/>
      <c r="EQ48" s="153"/>
      <c r="ER48" s="153"/>
      <c r="ES48" s="153"/>
      <c r="ET48" s="153"/>
      <c r="EU48" s="153"/>
      <c r="EV48" s="153"/>
      <c r="EW48" s="153"/>
      <c r="EX48" s="153"/>
      <c r="EY48" s="153"/>
      <c r="EZ48" s="153"/>
      <c r="FA48" s="153"/>
      <c r="FB48" s="153"/>
      <c r="FC48" s="153"/>
      <c r="FD48" s="153"/>
      <c r="FE48" s="153"/>
      <c r="FF48" s="153"/>
      <c r="FG48" s="153"/>
      <c r="FH48" s="153"/>
      <c r="FI48" s="153"/>
      <c r="FJ48" s="153"/>
      <c r="FK48" s="153"/>
      <c r="FL48" s="153"/>
      <c r="FM48" s="153"/>
      <c r="FN48" s="153"/>
      <c r="FO48" s="153"/>
      <c r="FP48" s="153"/>
      <c r="FQ48" s="153"/>
      <c r="FR48" s="153"/>
      <c r="FS48" s="153"/>
      <c r="FT48" s="153"/>
      <c r="FU48" s="153"/>
      <c r="FV48" s="153"/>
      <c r="FW48" s="153"/>
      <c r="FX48" s="153"/>
      <c r="FY48" s="153"/>
      <c r="FZ48" s="153"/>
      <c r="GA48" s="153"/>
      <c r="GB48" s="153" t="str">
        <f>"" &amp; TEXT(AE48,"#0.00%") &amp; "/" &amp; TEXT(AD48,"#0.00% ") &amp; "" &amp; "" &amp; " " &amp; ""</f>
        <v xml:space="preserve">100.00%/100.00%  </v>
      </c>
      <c r="GC48" s="153"/>
      <c r="GD48" s="153"/>
      <c r="GE48" s="153"/>
      <c r="GF48" s="153"/>
      <c r="GG48" s="153"/>
      <c r="GH48" s="153"/>
      <c r="GI48" s="153"/>
      <c r="GJ48" s="153"/>
      <c r="GK48" s="153"/>
      <c r="GL48" s="153"/>
      <c r="GM48" s="153"/>
      <c r="GN48" s="153"/>
      <c r="GO48" s="153"/>
      <c r="GP48" s="153"/>
      <c r="GQ48" s="153"/>
      <c r="GR48" s="153"/>
      <c r="GS48" s="153"/>
      <c r="GT48" s="153"/>
      <c r="GU48" s="153"/>
      <c r="GV48" s="153"/>
      <c r="GW48" s="153"/>
      <c r="GX48" s="153"/>
      <c r="GY48" s="153"/>
      <c r="GZ48" s="153"/>
      <c r="HA48" s="153"/>
      <c r="HB48" s="153"/>
      <c r="HC48" s="153"/>
      <c r="HD48" s="153"/>
      <c r="HE48" s="153"/>
      <c r="HF48" s="153"/>
      <c r="HG48" s="153"/>
      <c r="HH48" s="153"/>
      <c r="HI48" s="153"/>
      <c r="HJ48" s="153"/>
      <c r="HK48" s="153"/>
      <c r="HL48" s="153"/>
      <c r="HM48" s="153"/>
      <c r="HN48" s="153"/>
      <c r="HO48" s="153"/>
      <c r="HP48" s="153"/>
      <c r="HQ48" s="153"/>
      <c r="HR48" s="153"/>
      <c r="HS48" s="153"/>
      <c r="HT48" s="153"/>
      <c r="HU48" s="153"/>
      <c r="HV48" s="153"/>
      <c r="HW48" s="153"/>
      <c r="HX48" s="153"/>
      <c r="HY48" s="153"/>
      <c r="HZ48" s="153"/>
      <c r="IA48" s="153"/>
      <c r="IB48" s="153"/>
      <c r="IC48" s="153"/>
      <c r="ID48" s="153"/>
      <c r="IE48" s="153"/>
      <c r="IF48" s="153"/>
      <c r="IG48" s="153"/>
      <c r="IH48" s="153"/>
      <c r="II48" s="153"/>
      <c r="IJ48" s="153"/>
      <c r="IK48" s="153"/>
      <c r="IL48" s="153"/>
      <c r="IM48" s="153"/>
      <c r="IN48" s="153"/>
      <c r="IO48" s="153"/>
      <c r="IP48" s="153"/>
      <c r="IQ48" s="153"/>
      <c r="IR48" s="153"/>
      <c r="IS48" s="153"/>
      <c r="IT48" s="153"/>
      <c r="IU48" s="153"/>
      <c r="IV48" s="153"/>
      <c r="IW48" s="153"/>
      <c r="IX48" s="153"/>
      <c r="IY48" s="153"/>
      <c r="IZ48" s="153"/>
      <c r="JA48" s="153"/>
      <c r="JB48" s="153"/>
      <c r="JC48" s="153"/>
      <c r="JD48" s="153"/>
      <c r="JE48" s="153"/>
      <c r="JF48" s="153"/>
      <c r="JG48" s="153"/>
      <c r="JH48" s="153"/>
      <c r="JI48" s="153"/>
      <c r="JJ48" s="153"/>
      <c r="JK48" s="153"/>
      <c r="JL48" s="153"/>
      <c r="JM48" s="153"/>
      <c r="JN48" s="153"/>
      <c r="JO48" s="153"/>
      <c r="JP48" s="153"/>
      <c r="JQ48" s="153"/>
      <c r="JR48" s="153"/>
      <c r="JS48" s="153"/>
      <c r="JT48" s="153"/>
      <c r="JU48" s="153"/>
      <c r="JV48" s="153"/>
      <c r="JW48" s="153"/>
    </row>
    <row r="49" spans="1:283" ht="12" customHeight="1" outlineLevel="2">
      <c r="A49" s="123"/>
      <c r="B49" s="123" t="s">
        <v>1934</v>
      </c>
      <c r="C49" s="123">
        <v>3</v>
      </c>
      <c r="D49" s="151" t="s">
        <v>2004</v>
      </c>
      <c r="E49" s="124"/>
      <c r="F49" s="124"/>
      <c r="G49" s="124" t="s">
        <v>1538</v>
      </c>
      <c r="H49" s="124"/>
      <c r="I49" s="124"/>
      <c r="J49" s="124"/>
      <c r="K49" s="124"/>
      <c r="L49" s="124"/>
      <c r="M49" s="124"/>
      <c r="N49" s="124"/>
      <c r="O49" s="124"/>
      <c r="P49" s="125">
        <v>45971</v>
      </c>
      <c r="Q49" s="125">
        <v>45989</v>
      </c>
      <c r="R49" s="124"/>
      <c r="S49" s="126">
        <v>15</v>
      </c>
      <c r="T49" s="126">
        <v>15</v>
      </c>
      <c r="U49" s="126">
        <v>15</v>
      </c>
      <c r="V49" s="126">
        <v>15</v>
      </c>
      <c r="W49" s="125">
        <v>45971</v>
      </c>
      <c r="X49" s="125"/>
      <c r="Y49" s="127">
        <v>15.5</v>
      </c>
      <c r="Z49" s="128">
        <v>0</v>
      </c>
      <c r="AA49" s="126"/>
      <c r="AB49" s="124"/>
      <c r="AC49" s="129"/>
      <c r="AD49" s="150">
        <v>1</v>
      </c>
      <c r="AE49" s="310">
        <v>0.9</v>
      </c>
      <c r="AF49" s="183"/>
      <c r="AG49" s="153"/>
      <c r="AH49" s="153"/>
      <c r="AI49" s="153"/>
      <c r="AJ49" s="153"/>
      <c r="AK49" s="153"/>
      <c r="AL49" s="153"/>
      <c r="AM49" s="153"/>
      <c r="AN49" s="153"/>
      <c r="AO49" s="153"/>
      <c r="AP49" s="153"/>
      <c r="AQ49" s="153"/>
      <c r="AR49" s="153"/>
      <c r="AS49" s="153"/>
      <c r="AT49" s="153"/>
      <c r="AU49" s="153"/>
      <c r="AV49" s="153"/>
      <c r="AW49" s="153"/>
      <c r="AX49" s="153"/>
      <c r="AY49" s="153"/>
      <c r="AZ49" s="153"/>
      <c r="BA49" s="153"/>
      <c r="BB49" s="153"/>
      <c r="BC49" s="153"/>
      <c r="BD49" s="153"/>
      <c r="BE49" s="153"/>
      <c r="BF49" s="153"/>
      <c r="BG49" s="153"/>
      <c r="BH49" s="153"/>
      <c r="BI49" s="153"/>
      <c r="BJ49" s="153"/>
      <c r="BK49" s="153"/>
      <c r="BL49" s="153"/>
      <c r="BM49" s="153"/>
      <c r="BN49" s="153"/>
      <c r="BO49" s="153"/>
      <c r="BP49" s="153"/>
      <c r="BQ49" s="153"/>
      <c r="BR49" s="153"/>
      <c r="BS49" s="153"/>
      <c r="BT49" s="153"/>
      <c r="BU49" s="153"/>
      <c r="BV49" s="153"/>
      <c r="BW49" s="153"/>
      <c r="BX49" s="153"/>
      <c r="BY49" s="153"/>
      <c r="BZ49" s="153"/>
      <c r="CA49" s="153"/>
      <c r="CB49" s="153"/>
      <c r="CC49" s="153"/>
      <c r="CD49" s="153"/>
      <c r="CE49" s="153"/>
      <c r="CF49" s="153"/>
      <c r="CG49" s="153"/>
      <c r="CH49" s="153"/>
      <c r="CI49" s="153"/>
      <c r="CJ49" s="153"/>
      <c r="CK49" s="153"/>
      <c r="CL49" s="153"/>
      <c r="CM49" s="153"/>
      <c r="CN49" s="153"/>
      <c r="CO49" s="153"/>
      <c r="CP49" s="153"/>
      <c r="CQ49" s="153"/>
      <c r="CR49" s="153"/>
      <c r="CS49" s="153"/>
      <c r="CT49" s="153"/>
      <c r="CU49" s="153"/>
      <c r="CV49" s="153"/>
      <c r="CW49" s="153"/>
      <c r="CX49" s="153"/>
      <c r="CY49" s="153"/>
      <c r="CZ49" s="153"/>
      <c r="DA49" s="153"/>
      <c r="DB49" s="153"/>
      <c r="DC49" s="153"/>
      <c r="DD49" s="153"/>
      <c r="DE49" s="153"/>
      <c r="DF49" s="153"/>
      <c r="DG49" s="153"/>
      <c r="DH49" s="153"/>
      <c r="DI49" s="153"/>
      <c r="DJ49" s="153"/>
      <c r="DK49" s="153"/>
      <c r="DL49" s="153"/>
      <c r="DM49" s="153"/>
      <c r="DN49" s="153"/>
      <c r="DO49" s="153"/>
      <c r="DP49" s="153"/>
      <c r="DQ49" s="153"/>
      <c r="DR49" s="153"/>
      <c r="DS49" s="153"/>
      <c r="DT49" s="153"/>
      <c r="DU49" s="153"/>
      <c r="DV49" s="153"/>
      <c r="DW49" s="153"/>
      <c r="DX49" s="153"/>
      <c r="DY49" s="153"/>
      <c r="DZ49" s="153"/>
      <c r="EA49" s="153"/>
      <c r="EB49" s="153"/>
      <c r="EC49" s="153"/>
      <c r="ED49" s="153"/>
      <c r="EE49" s="153"/>
      <c r="EF49" s="153"/>
      <c r="EG49" s="153"/>
      <c r="EH49" s="153"/>
      <c r="EI49" s="153"/>
      <c r="EJ49" s="153"/>
      <c r="EK49" s="153"/>
      <c r="EL49" s="153"/>
      <c r="EM49" s="153"/>
      <c r="EN49" s="153"/>
      <c r="EO49" s="153"/>
      <c r="EP49" s="153"/>
      <c r="EQ49" s="153"/>
      <c r="ER49" s="153"/>
      <c r="ES49" s="153"/>
      <c r="ET49" s="153"/>
      <c r="EU49" s="153"/>
      <c r="EV49" s="153"/>
      <c r="EW49" s="153"/>
      <c r="EX49" s="153"/>
      <c r="EY49" s="153"/>
      <c r="EZ49" s="153"/>
      <c r="FA49" s="153"/>
      <c r="FB49" s="153"/>
      <c r="FC49" s="153"/>
      <c r="FD49" s="153"/>
      <c r="FE49" s="153"/>
      <c r="FF49" s="153"/>
      <c r="FG49" s="153"/>
      <c r="FH49" s="153"/>
      <c r="FI49" s="153"/>
      <c r="FJ49" s="153"/>
      <c r="FK49" s="153"/>
      <c r="FL49" s="153"/>
      <c r="FM49" s="153"/>
      <c r="FN49" s="153"/>
      <c r="FO49" s="153"/>
      <c r="FP49" s="153"/>
      <c r="FQ49" s="153"/>
      <c r="FR49" s="153"/>
      <c r="FS49" s="153"/>
      <c r="FT49" s="153"/>
      <c r="FU49" s="153"/>
      <c r="FV49" s="153"/>
      <c r="FW49" s="153"/>
      <c r="FX49" s="153"/>
      <c r="FY49" s="153"/>
      <c r="FZ49" s="153"/>
      <c r="GA49" s="153"/>
      <c r="GB49" s="153"/>
      <c r="GC49" s="153"/>
      <c r="GD49" s="153"/>
      <c r="GE49" s="153"/>
      <c r="GF49" s="153"/>
      <c r="GG49" s="153"/>
      <c r="GH49" s="153"/>
      <c r="GI49" s="153"/>
      <c r="GJ49" s="153"/>
      <c r="GK49" s="153"/>
      <c r="GL49" s="153"/>
      <c r="GM49" s="153"/>
      <c r="GN49" s="153"/>
      <c r="GO49" s="153"/>
      <c r="GP49" s="153"/>
      <c r="GQ49" s="153"/>
      <c r="GR49" s="153"/>
      <c r="GS49" s="153"/>
      <c r="GT49" s="153"/>
      <c r="GU49" s="153"/>
      <c r="GV49" s="153"/>
      <c r="GW49" s="153"/>
      <c r="GX49" s="153"/>
      <c r="GY49" s="153"/>
      <c r="GZ49" s="153"/>
      <c r="HA49" s="153"/>
      <c r="HB49" s="153" t="str">
        <f>"" &amp; TEXT(AE49,"#0.00%") &amp; "/" &amp; TEXT(AD49,"#0.00% ") &amp; "" &amp; "" &amp; " " &amp; ""</f>
        <v xml:space="preserve">90.00%/100.00%  </v>
      </c>
      <c r="HC49" s="153"/>
      <c r="HD49" s="153"/>
      <c r="HE49" s="153"/>
      <c r="HF49" s="153"/>
      <c r="HG49" s="153"/>
      <c r="HH49" s="153"/>
      <c r="HI49" s="153"/>
      <c r="HJ49" s="153"/>
      <c r="HK49" s="153"/>
      <c r="HL49" s="153"/>
      <c r="HM49" s="153"/>
      <c r="HN49" s="153"/>
      <c r="HO49" s="153"/>
      <c r="HP49" s="153"/>
      <c r="HQ49" s="153"/>
      <c r="HR49" s="153"/>
      <c r="HS49" s="153"/>
      <c r="HT49" s="153"/>
      <c r="HU49" s="153"/>
      <c r="HV49" s="153"/>
      <c r="HW49" s="153"/>
      <c r="HX49" s="153"/>
      <c r="HY49" s="153"/>
      <c r="HZ49" s="153"/>
      <c r="IA49" s="153"/>
      <c r="IB49" s="153"/>
      <c r="IC49" s="153"/>
      <c r="ID49" s="153"/>
      <c r="IE49" s="153"/>
      <c r="IF49" s="153"/>
      <c r="IG49" s="153"/>
      <c r="IH49" s="153"/>
      <c r="II49" s="153"/>
      <c r="IJ49" s="153"/>
      <c r="IK49" s="153"/>
      <c r="IL49" s="153"/>
      <c r="IM49" s="153"/>
      <c r="IN49" s="153"/>
      <c r="IO49" s="153"/>
      <c r="IP49" s="153"/>
      <c r="IQ49" s="153"/>
      <c r="IR49" s="153"/>
      <c r="IS49" s="153"/>
      <c r="IT49" s="153"/>
      <c r="IU49" s="153"/>
      <c r="IV49" s="153"/>
      <c r="IW49" s="153"/>
      <c r="IX49" s="153"/>
      <c r="IY49" s="153"/>
      <c r="IZ49" s="153"/>
      <c r="JA49" s="153"/>
      <c r="JB49" s="153"/>
      <c r="JC49" s="153"/>
      <c r="JD49" s="153"/>
      <c r="JE49" s="153"/>
      <c r="JF49" s="153"/>
      <c r="JG49" s="153"/>
      <c r="JH49" s="153"/>
      <c r="JI49" s="153"/>
      <c r="JJ49" s="153"/>
      <c r="JK49" s="153"/>
      <c r="JL49" s="153"/>
      <c r="JM49" s="153"/>
      <c r="JN49" s="153"/>
      <c r="JO49" s="153"/>
      <c r="JP49" s="153"/>
      <c r="JQ49" s="153"/>
      <c r="JR49" s="153"/>
      <c r="JS49" s="153"/>
      <c r="JT49" s="153"/>
      <c r="JU49" s="153"/>
      <c r="JV49" s="153"/>
      <c r="JW49" s="153"/>
    </row>
    <row r="50" spans="1:283" ht="12" customHeight="1" outlineLevel="3">
      <c r="A50" s="123"/>
      <c r="B50" s="123"/>
      <c r="C50" s="123">
        <v>4</v>
      </c>
      <c r="D50" s="151" t="s">
        <v>2005</v>
      </c>
      <c r="E50" s="124"/>
      <c r="F50" s="124"/>
      <c r="G50" s="124"/>
      <c r="H50" s="124" t="s">
        <v>1876</v>
      </c>
      <c r="I50" s="124"/>
      <c r="J50" s="124"/>
      <c r="K50" s="124"/>
      <c r="L50" s="124"/>
      <c r="M50" s="124"/>
      <c r="N50" s="124"/>
      <c r="O50" s="124"/>
      <c r="P50" s="125">
        <v>45971</v>
      </c>
      <c r="Q50" s="125">
        <v>45982</v>
      </c>
      <c r="R50" s="124"/>
      <c r="S50" s="126">
        <v>10</v>
      </c>
      <c r="T50" s="126">
        <v>10</v>
      </c>
      <c r="U50" s="126">
        <v>10</v>
      </c>
      <c r="V50" s="126">
        <v>10</v>
      </c>
      <c r="W50" s="125">
        <v>45971</v>
      </c>
      <c r="X50" s="125">
        <v>45986</v>
      </c>
      <c r="Y50" s="127">
        <v>12</v>
      </c>
      <c r="Z50" s="128">
        <v>12</v>
      </c>
      <c r="AA50" s="126">
        <v>1</v>
      </c>
      <c r="AB50" s="124"/>
      <c r="AC50" s="129"/>
      <c r="AD50" s="150">
        <v>1</v>
      </c>
      <c r="AE50" s="251">
        <v>1</v>
      </c>
      <c r="AF50" s="18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c r="BJ50" s="153"/>
      <c r="BK50" s="153"/>
      <c r="BL50" s="153"/>
      <c r="BM50" s="153"/>
      <c r="BN50" s="153"/>
      <c r="BO50" s="153"/>
      <c r="BP50" s="153"/>
      <c r="BQ50" s="153"/>
      <c r="BR50" s="153"/>
      <c r="BS50" s="153"/>
      <c r="BT50" s="153"/>
      <c r="BU50" s="153"/>
      <c r="BV50" s="153"/>
      <c r="BW50" s="153"/>
      <c r="BX50" s="153"/>
      <c r="BY50" s="153"/>
      <c r="BZ50" s="153"/>
      <c r="CA50" s="153"/>
      <c r="CB50" s="153"/>
      <c r="CC50" s="153"/>
      <c r="CD50" s="153"/>
      <c r="CE50" s="153"/>
      <c r="CF50" s="153"/>
      <c r="CG50" s="153"/>
      <c r="CH50" s="153"/>
      <c r="CI50" s="153"/>
      <c r="CJ50" s="153"/>
      <c r="CK50" s="153"/>
      <c r="CL50" s="153"/>
      <c r="CM50" s="153"/>
      <c r="CN50" s="153"/>
      <c r="CO50" s="153"/>
      <c r="CP50" s="153"/>
      <c r="CQ50" s="153"/>
      <c r="CR50" s="153"/>
      <c r="CS50" s="153"/>
      <c r="CT50" s="153"/>
      <c r="CU50" s="153"/>
      <c r="CV50" s="153"/>
      <c r="CW50" s="153"/>
      <c r="CX50" s="153"/>
      <c r="CY50" s="153"/>
      <c r="CZ50" s="153"/>
      <c r="DA50" s="153"/>
      <c r="DB50" s="153"/>
      <c r="DC50" s="153"/>
      <c r="DD50" s="153"/>
      <c r="DE50" s="153"/>
      <c r="DF50" s="153"/>
      <c r="DG50" s="153"/>
      <c r="DH50" s="153"/>
      <c r="DI50" s="153"/>
      <c r="DJ50" s="153"/>
      <c r="DK50" s="153"/>
      <c r="DL50" s="153"/>
      <c r="DM50" s="153"/>
      <c r="DN50" s="153"/>
      <c r="DO50" s="153"/>
      <c r="DP50" s="153"/>
      <c r="DQ50" s="153"/>
      <c r="DR50" s="153"/>
      <c r="DS50" s="153"/>
      <c r="DT50" s="153"/>
      <c r="DU50" s="153"/>
      <c r="DV50" s="153"/>
      <c r="DW50" s="153"/>
      <c r="DX50" s="153"/>
      <c r="DY50" s="153"/>
      <c r="DZ50" s="153"/>
      <c r="EA50" s="153"/>
      <c r="EB50" s="153"/>
      <c r="EC50" s="153"/>
      <c r="ED50" s="153"/>
      <c r="EE50" s="153"/>
      <c r="EF50" s="153"/>
      <c r="EG50" s="153"/>
      <c r="EH50" s="153"/>
      <c r="EI50" s="153"/>
      <c r="EJ50" s="153"/>
      <c r="EK50" s="153"/>
      <c r="EL50" s="153"/>
      <c r="EM50" s="153"/>
      <c r="EN50" s="153"/>
      <c r="EO50" s="153"/>
      <c r="EP50" s="153"/>
      <c r="EQ50" s="153"/>
      <c r="ER50" s="153"/>
      <c r="ES50" s="153"/>
      <c r="ET50" s="153"/>
      <c r="EU50" s="153"/>
      <c r="EV50" s="153"/>
      <c r="EW50" s="153"/>
      <c r="EX50" s="153"/>
      <c r="EY50" s="153"/>
      <c r="EZ50" s="153"/>
      <c r="FA50" s="153"/>
      <c r="FB50" s="153"/>
      <c r="FC50" s="153"/>
      <c r="FD50" s="153"/>
      <c r="FE50" s="153"/>
      <c r="FF50" s="153"/>
      <c r="FG50" s="153"/>
      <c r="FH50" s="153"/>
      <c r="FI50" s="153"/>
      <c r="FJ50" s="153"/>
      <c r="FK50" s="153"/>
      <c r="FL50" s="153"/>
      <c r="FM50" s="153"/>
      <c r="FN50" s="153"/>
      <c r="FO50" s="153"/>
      <c r="FP50" s="153"/>
      <c r="FQ50" s="153"/>
      <c r="FR50" s="153"/>
      <c r="FS50" s="153"/>
      <c r="FT50" s="153"/>
      <c r="FU50" s="153"/>
      <c r="FV50" s="153"/>
      <c r="FW50" s="153"/>
      <c r="FX50" s="153"/>
      <c r="FY50" s="153"/>
      <c r="FZ50" s="153"/>
      <c r="GA50" s="153"/>
      <c r="GB50" s="153"/>
      <c r="GC50" s="153"/>
      <c r="GD50" s="153"/>
      <c r="GE50" s="153"/>
      <c r="GF50" s="153"/>
      <c r="GG50" s="153"/>
      <c r="GH50" s="153"/>
      <c r="GI50" s="153"/>
      <c r="GJ50" s="153"/>
      <c r="GK50" s="153"/>
      <c r="GL50" s="153"/>
      <c r="GM50" s="153"/>
      <c r="GN50" s="153"/>
      <c r="GO50" s="153"/>
      <c r="GP50" s="153"/>
      <c r="GQ50" s="153"/>
      <c r="GR50" s="153"/>
      <c r="GS50" s="153"/>
      <c r="GT50" s="153"/>
      <c r="GU50" s="153"/>
      <c r="GV50" s="153"/>
      <c r="GW50" s="153"/>
      <c r="GX50" s="153"/>
      <c r="GY50" s="153"/>
      <c r="GZ50" s="153"/>
      <c r="HA50" s="153" t="str">
        <f>"" &amp; TEXT(AE50,"#0.00%") &amp; "/" &amp; TEXT(AD50,"#0.00% ") &amp; "" &amp; "" &amp; " " &amp; ""</f>
        <v xml:space="preserve">100.00%/100.00%  </v>
      </c>
      <c r="HB50" s="153"/>
      <c r="HC50" s="153"/>
      <c r="HD50" s="153"/>
      <c r="HE50" s="153"/>
      <c r="HF50" s="153"/>
      <c r="HG50" s="153"/>
      <c r="HH50" s="153"/>
      <c r="HI50" s="153"/>
      <c r="HJ50" s="153"/>
      <c r="HK50" s="153"/>
      <c r="HL50" s="153"/>
      <c r="HM50" s="153"/>
      <c r="HN50" s="153"/>
      <c r="HO50" s="153"/>
      <c r="HP50" s="153"/>
      <c r="HQ50" s="153"/>
      <c r="HR50" s="153"/>
      <c r="HS50" s="153"/>
      <c r="HT50" s="153"/>
      <c r="HU50" s="153"/>
      <c r="HV50" s="153"/>
      <c r="HW50" s="153"/>
      <c r="HX50" s="153"/>
      <c r="HY50" s="153"/>
      <c r="HZ50" s="153"/>
      <c r="IA50" s="153"/>
      <c r="IB50" s="153"/>
      <c r="IC50" s="153"/>
      <c r="ID50" s="153"/>
      <c r="IE50" s="153"/>
      <c r="IF50" s="153"/>
      <c r="IG50" s="153"/>
      <c r="IH50" s="153"/>
      <c r="II50" s="153"/>
      <c r="IJ50" s="153"/>
      <c r="IK50" s="153"/>
      <c r="IL50" s="153"/>
      <c r="IM50" s="153"/>
      <c r="IN50" s="153"/>
      <c r="IO50" s="153"/>
      <c r="IP50" s="153"/>
      <c r="IQ50" s="153"/>
      <c r="IR50" s="153"/>
      <c r="IS50" s="153"/>
      <c r="IT50" s="153"/>
      <c r="IU50" s="153"/>
      <c r="IV50" s="153"/>
      <c r="IW50" s="153"/>
      <c r="IX50" s="153"/>
      <c r="IY50" s="153"/>
      <c r="IZ50" s="153"/>
      <c r="JA50" s="153"/>
      <c r="JB50" s="153"/>
      <c r="JC50" s="153"/>
      <c r="JD50" s="153"/>
      <c r="JE50" s="153"/>
      <c r="JF50" s="153"/>
      <c r="JG50" s="153"/>
      <c r="JH50" s="153"/>
      <c r="JI50" s="153"/>
      <c r="JJ50" s="153"/>
      <c r="JK50" s="153"/>
      <c r="JL50" s="153"/>
      <c r="JM50" s="153"/>
      <c r="JN50" s="153"/>
      <c r="JO50" s="153"/>
      <c r="JP50" s="153"/>
      <c r="JQ50" s="153"/>
      <c r="JR50" s="153"/>
      <c r="JS50" s="153"/>
      <c r="JT50" s="153"/>
      <c r="JU50" s="153"/>
      <c r="JV50" s="153"/>
      <c r="JW50" s="153"/>
    </row>
    <row r="51" spans="1:283" ht="12" customHeight="1" outlineLevel="3">
      <c r="A51" s="123"/>
      <c r="B51" s="123"/>
      <c r="C51" s="123">
        <v>4</v>
      </c>
      <c r="D51" s="151" t="s">
        <v>2006</v>
      </c>
      <c r="E51" s="124"/>
      <c r="F51" s="124"/>
      <c r="G51" s="124"/>
      <c r="H51" s="124" t="s">
        <v>1651</v>
      </c>
      <c r="I51" s="124"/>
      <c r="J51" s="124"/>
      <c r="K51" s="124"/>
      <c r="L51" s="124"/>
      <c r="M51" s="124"/>
      <c r="N51" s="124"/>
      <c r="O51" s="124"/>
      <c r="P51" s="125">
        <v>45985</v>
      </c>
      <c r="Q51" s="125">
        <v>45989</v>
      </c>
      <c r="R51" s="124"/>
      <c r="S51" s="126">
        <v>5</v>
      </c>
      <c r="T51" s="126">
        <v>5</v>
      </c>
      <c r="U51" s="126">
        <v>5</v>
      </c>
      <c r="V51" s="126">
        <v>5</v>
      </c>
      <c r="W51" s="125">
        <v>45978</v>
      </c>
      <c r="X51" s="125"/>
      <c r="Y51" s="127">
        <v>3.5</v>
      </c>
      <c r="Z51" s="128">
        <v>0</v>
      </c>
      <c r="AA51" s="126">
        <v>1</v>
      </c>
      <c r="AB51" s="124"/>
      <c r="AC51" s="129" t="s">
        <v>2034</v>
      </c>
      <c r="AD51" s="150">
        <v>1</v>
      </c>
      <c r="AE51" s="309">
        <v>0.7</v>
      </c>
      <c r="AF51" s="183"/>
      <c r="AG51" s="153"/>
      <c r="AH51" s="153"/>
      <c r="AI51" s="153"/>
      <c r="AJ51" s="153"/>
      <c r="AK51" s="153"/>
      <c r="AL51" s="153"/>
      <c r="AM51" s="153"/>
      <c r="AN51" s="153"/>
      <c r="AO51" s="153"/>
      <c r="AP51" s="153"/>
      <c r="AQ51" s="153"/>
      <c r="AR51" s="153"/>
      <c r="AS51" s="153"/>
      <c r="AT51" s="153"/>
      <c r="AU51" s="153"/>
      <c r="AV51" s="153"/>
      <c r="AW51" s="153"/>
      <c r="AX51" s="153"/>
      <c r="AY51" s="153"/>
      <c r="AZ51" s="153"/>
      <c r="BA51" s="153"/>
      <c r="BB51" s="153"/>
      <c r="BC51" s="153"/>
      <c r="BD51" s="153"/>
      <c r="BE51" s="153"/>
      <c r="BF51" s="153"/>
      <c r="BG51" s="153"/>
      <c r="BH51" s="153"/>
      <c r="BI51" s="153"/>
      <c r="BJ51" s="153"/>
      <c r="BK51" s="153"/>
      <c r="BL51" s="153"/>
      <c r="BM51" s="153"/>
      <c r="BN51" s="153"/>
      <c r="BO51" s="153"/>
      <c r="BP51" s="153"/>
      <c r="BQ51" s="153"/>
      <c r="BR51" s="153"/>
      <c r="BS51" s="153"/>
      <c r="BT51" s="153"/>
      <c r="BU51" s="153"/>
      <c r="BV51" s="153"/>
      <c r="BW51" s="153"/>
      <c r="BX51" s="153"/>
      <c r="BY51" s="153"/>
      <c r="BZ51" s="153"/>
      <c r="CA51" s="153"/>
      <c r="CB51" s="153"/>
      <c r="CC51" s="153"/>
      <c r="CD51" s="153"/>
      <c r="CE51" s="153"/>
      <c r="CF51" s="153"/>
      <c r="CG51" s="153"/>
      <c r="CH51" s="153"/>
      <c r="CI51" s="153"/>
      <c r="CJ51" s="153"/>
      <c r="CK51" s="153"/>
      <c r="CL51" s="153"/>
      <c r="CM51" s="153"/>
      <c r="CN51" s="153"/>
      <c r="CO51" s="153"/>
      <c r="CP51" s="153"/>
      <c r="CQ51" s="153"/>
      <c r="CR51" s="153"/>
      <c r="CS51" s="153"/>
      <c r="CT51" s="153"/>
      <c r="CU51" s="153"/>
      <c r="CV51" s="153"/>
      <c r="CW51" s="153"/>
      <c r="CX51" s="153"/>
      <c r="CY51" s="153"/>
      <c r="CZ51" s="153"/>
      <c r="DA51" s="153"/>
      <c r="DB51" s="153"/>
      <c r="DC51" s="153"/>
      <c r="DD51" s="153"/>
      <c r="DE51" s="153"/>
      <c r="DF51" s="153"/>
      <c r="DG51" s="153"/>
      <c r="DH51" s="153"/>
      <c r="DI51" s="153"/>
      <c r="DJ51" s="153"/>
      <c r="DK51" s="153"/>
      <c r="DL51" s="153"/>
      <c r="DM51" s="153"/>
      <c r="DN51" s="153"/>
      <c r="DO51" s="153"/>
      <c r="DP51" s="153"/>
      <c r="DQ51" s="153"/>
      <c r="DR51" s="153"/>
      <c r="DS51" s="153"/>
      <c r="DT51" s="153"/>
      <c r="DU51" s="153"/>
      <c r="DV51" s="153"/>
      <c r="DW51" s="153"/>
      <c r="DX51" s="153"/>
      <c r="DY51" s="153"/>
      <c r="DZ51" s="153"/>
      <c r="EA51" s="153"/>
      <c r="EB51" s="153"/>
      <c r="EC51" s="153"/>
      <c r="ED51" s="153"/>
      <c r="EE51" s="153"/>
      <c r="EF51" s="153"/>
      <c r="EG51" s="153"/>
      <c r="EH51" s="153"/>
      <c r="EI51" s="153"/>
      <c r="EJ51" s="153"/>
      <c r="EK51" s="153"/>
      <c r="EL51" s="153"/>
      <c r="EM51" s="153"/>
      <c r="EN51" s="153"/>
      <c r="EO51" s="153"/>
      <c r="EP51" s="153"/>
      <c r="EQ51" s="153"/>
      <c r="ER51" s="153"/>
      <c r="ES51" s="153"/>
      <c r="ET51" s="153"/>
      <c r="EU51" s="153"/>
      <c r="EV51" s="153"/>
      <c r="EW51" s="153"/>
      <c r="EX51" s="153"/>
      <c r="EY51" s="153"/>
      <c r="EZ51" s="153"/>
      <c r="FA51" s="153"/>
      <c r="FB51" s="153"/>
      <c r="FC51" s="153"/>
      <c r="FD51" s="153"/>
      <c r="FE51" s="153"/>
      <c r="FF51" s="153"/>
      <c r="FG51" s="153"/>
      <c r="FH51" s="153"/>
      <c r="FI51" s="153"/>
      <c r="FJ51" s="153"/>
      <c r="FK51" s="153"/>
      <c r="FL51" s="153"/>
      <c r="FM51" s="153"/>
      <c r="FN51" s="153"/>
      <c r="FO51" s="153"/>
      <c r="FP51" s="153"/>
      <c r="FQ51" s="153"/>
      <c r="FR51" s="153"/>
      <c r="FS51" s="153"/>
      <c r="FT51" s="153"/>
      <c r="FU51" s="153"/>
      <c r="FV51" s="153"/>
      <c r="FW51" s="153"/>
      <c r="FX51" s="153"/>
      <c r="FY51" s="153"/>
      <c r="FZ51" s="153"/>
      <c r="GA51" s="153"/>
      <c r="GB51" s="153"/>
      <c r="GC51" s="153"/>
      <c r="GD51" s="153"/>
      <c r="GE51" s="153"/>
      <c r="GF51" s="153"/>
      <c r="GG51" s="153"/>
      <c r="GH51" s="153"/>
      <c r="GI51" s="153"/>
      <c r="GJ51" s="153"/>
      <c r="GK51" s="153"/>
      <c r="GL51" s="153"/>
      <c r="GM51" s="153"/>
      <c r="GN51" s="153"/>
      <c r="GO51" s="153"/>
      <c r="GP51" s="153"/>
      <c r="GQ51" s="153"/>
      <c r="GR51" s="153"/>
      <c r="GS51" s="153"/>
      <c r="GT51" s="153"/>
      <c r="GU51" s="153" t="str">
        <f>"" &amp; TEXT(AE51,"#0.00%") &amp; "/" &amp; TEXT(AD51,"#0.00% ") &amp; "" &amp; "" &amp; " " &amp; ""</f>
        <v xml:space="preserve">70.00%/100.00%  </v>
      </c>
      <c r="GV51" s="153"/>
      <c r="GW51" s="153"/>
      <c r="GX51" s="153"/>
      <c r="GY51" s="153"/>
      <c r="GZ51" s="153"/>
      <c r="HA51" s="153"/>
      <c r="HB51" s="153"/>
      <c r="HC51" s="153"/>
      <c r="HD51" s="153"/>
      <c r="HE51" s="153"/>
      <c r="HF51" s="153"/>
      <c r="HG51" s="153"/>
      <c r="HH51" s="153"/>
      <c r="HI51" s="153"/>
      <c r="HJ51" s="153"/>
      <c r="HK51" s="153"/>
      <c r="HL51" s="153"/>
      <c r="HM51" s="153"/>
      <c r="HN51" s="153"/>
      <c r="HO51" s="153"/>
      <c r="HP51" s="153"/>
      <c r="HQ51" s="153"/>
      <c r="HR51" s="153"/>
      <c r="HS51" s="153"/>
      <c r="HT51" s="153"/>
      <c r="HU51" s="153"/>
      <c r="HV51" s="153"/>
      <c r="HW51" s="153"/>
      <c r="HX51" s="153"/>
      <c r="HY51" s="153"/>
      <c r="HZ51" s="153"/>
      <c r="IA51" s="153"/>
      <c r="IB51" s="153"/>
      <c r="IC51" s="153"/>
      <c r="ID51" s="153"/>
      <c r="IE51" s="153"/>
      <c r="IF51" s="153"/>
      <c r="IG51" s="153"/>
      <c r="IH51" s="153"/>
      <c r="II51" s="153"/>
      <c r="IJ51" s="153"/>
      <c r="IK51" s="153"/>
      <c r="IL51" s="153"/>
      <c r="IM51" s="153"/>
      <c r="IN51" s="153"/>
      <c r="IO51" s="153"/>
      <c r="IP51" s="153"/>
      <c r="IQ51" s="153"/>
      <c r="IR51" s="153"/>
      <c r="IS51" s="153"/>
      <c r="IT51" s="153"/>
      <c r="IU51" s="153"/>
      <c r="IV51" s="153"/>
      <c r="IW51" s="153"/>
      <c r="IX51" s="153"/>
      <c r="IY51" s="153"/>
      <c r="IZ51" s="153"/>
      <c r="JA51" s="153"/>
      <c r="JB51" s="153"/>
      <c r="JC51" s="153"/>
      <c r="JD51" s="153"/>
      <c r="JE51" s="153"/>
      <c r="JF51" s="153"/>
      <c r="JG51" s="153"/>
      <c r="JH51" s="153"/>
      <c r="JI51" s="153"/>
      <c r="JJ51" s="153"/>
      <c r="JK51" s="153"/>
      <c r="JL51" s="153"/>
      <c r="JM51" s="153"/>
      <c r="JN51" s="153"/>
      <c r="JO51" s="153"/>
      <c r="JP51" s="153"/>
      <c r="JQ51" s="153"/>
      <c r="JR51" s="153"/>
      <c r="JS51" s="153"/>
      <c r="JT51" s="153"/>
      <c r="JU51" s="153"/>
      <c r="JV51" s="153"/>
      <c r="JW51" s="153"/>
    </row>
    <row r="52" spans="1:283" ht="12" customHeight="1" outlineLevel="2">
      <c r="A52" s="123"/>
      <c r="B52" s="123" t="s">
        <v>1934</v>
      </c>
      <c r="C52" s="123">
        <v>3</v>
      </c>
      <c r="D52" s="151" t="s">
        <v>2007</v>
      </c>
      <c r="E52" s="124"/>
      <c r="F52" s="124"/>
      <c r="G52" s="124" t="s">
        <v>1709</v>
      </c>
      <c r="H52" s="124"/>
      <c r="I52" s="124"/>
      <c r="J52" s="124"/>
      <c r="K52" s="124"/>
      <c r="L52" s="124"/>
      <c r="M52" s="124"/>
      <c r="N52" s="124"/>
      <c r="O52" s="124"/>
      <c r="P52" s="125">
        <v>45971</v>
      </c>
      <c r="Q52" s="125">
        <v>45975</v>
      </c>
      <c r="R52" s="124"/>
      <c r="S52" s="126">
        <v>5</v>
      </c>
      <c r="T52" s="126">
        <v>5</v>
      </c>
      <c r="U52" s="126">
        <v>5</v>
      </c>
      <c r="V52" s="126">
        <v>5</v>
      </c>
      <c r="W52" s="125">
        <v>45971</v>
      </c>
      <c r="X52" s="125">
        <v>45985</v>
      </c>
      <c r="Y52" s="127">
        <v>11</v>
      </c>
      <c r="Z52" s="128">
        <v>11</v>
      </c>
      <c r="AA52" s="126"/>
      <c r="AB52" s="124"/>
      <c r="AC52" s="129"/>
      <c r="AD52" s="150">
        <v>1</v>
      </c>
      <c r="AE52" s="252">
        <v>1</v>
      </c>
      <c r="AF52" s="183"/>
      <c r="AG52" s="153"/>
      <c r="AH52" s="153"/>
      <c r="AI52" s="153"/>
      <c r="AJ52" s="153"/>
      <c r="AK52" s="153"/>
      <c r="AL52" s="153"/>
      <c r="AM52" s="153"/>
      <c r="AN52" s="153"/>
      <c r="AO52" s="153"/>
      <c r="AP52" s="153"/>
      <c r="AQ52" s="153"/>
      <c r="AR52" s="153"/>
      <c r="AS52" s="153"/>
      <c r="AT52" s="153"/>
      <c r="AU52" s="153"/>
      <c r="AV52" s="153"/>
      <c r="AW52" s="153"/>
      <c r="AX52" s="153"/>
      <c r="AY52" s="153"/>
      <c r="AZ52" s="153"/>
      <c r="BA52" s="153"/>
      <c r="BB52" s="153"/>
      <c r="BC52" s="153"/>
      <c r="BD52" s="153"/>
      <c r="BE52" s="153"/>
      <c r="BF52" s="153"/>
      <c r="BG52" s="153"/>
      <c r="BH52" s="153"/>
      <c r="BI52" s="153"/>
      <c r="BJ52" s="153"/>
      <c r="BK52" s="153"/>
      <c r="BL52" s="153"/>
      <c r="BM52" s="153"/>
      <c r="BN52" s="153"/>
      <c r="BO52" s="153"/>
      <c r="BP52" s="153"/>
      <c r="BQ52" s="153"/>
      <c r="BR52" s="153"/>
      <c r="BS52" s="153"/>
      <c r="BT52" s="153"/>
      <c r="BU52" s="153"/>
      <c r="BV52" s="153"/>
      <c r="BW52" s="153"/>
      <c r="BX52" s="153"/>
      <c r="BY52" s="153"/>
      <c r="BZ52" s="153"/>
      <c r="CA52" s="153"/>
      <c r="CB52" s="153"/>
      <c r="CC52" s="153"/>
      <c r="CD52" s="153"/>
      <c r="CE52" s="153"/>
      <c r="CF52" s="153"/>
      <c r="CG52" s="153"/>
      <c r="CH52" s="153"/>
      <c r="CI52" s="153"/>
      <c r="CJ52" s="153"/>
      <c r="CK52" s="153"/>
      <c r="CL52" s="153"/>
      <c r="CM52" s="153"/>
      <c r="CN52" s="153"/>
      <c r="CO52" s="153"/>
      <c r="CP52" s="153"/>
      <c r="CQ52" s="153"/>
      <c r="CR52" s="153"/>
      <c r="CS52" s="153"/>
      <c r="CT52" s="153"/>
      <c r="CU52" s="153"/>
      <c r="CV52" s="153"/>
      <c r="CW52" s="153"/>
      <c r="CX52" s="153"/>
      <c r="CY52" s="153"/>
      <c r="CZ52" s="153"/>
      <c r="DA52" s="153"/>
      <c r="DB52" s="153"/>
      <c r="DC52" s="153"/>
      <c r="DD52" s="153"/>
      <c r="DE52" s="153"/>
      <c r="DF52" s="153"/>
      <c r="DG52" s="153"/>
      <c r="DH52" s="153"/>
      <c r="DI52" s="153"/>
      <c r="DJ52" s="153"/>
      <c r="DK52" s="153"/>
      <c r="DL52" s="153"/>
      <c r="DM52" s="153"/>
      <c r="DN52" s="153"/>
      <c r="DO52" s="153"/>
      <c r="DP52" s="153"/>
      <c r="DQ52" s="153"/>
      <c r="DR52" s="153"/>
      <c r="DS52" s="153"/>
      <c r="DT52" s="153"/>
      <c r="DU52" s="153"/>
      <c r="DV52" s="153"/>
      <c r="DW52" s="153"/>
      <c r="DX52" s="153"/>
      <c r="DY52" s="153"/>
      <c r="DZ52" s="153"/>
      <c r="EA52" s="153"/>
      <c r="EB52" s="153"/>
      <c r="EC52" s="153"/>
      <c r="ED52" s="153"/>
      <c r="EE52" s="153"/>
      <c r="EF52" s="153"/>
      <c r="EG52" s="153"/>
      <c r="EH52" s="153"/>
      <c r="EI52" s="153"/>
      <c r="EJ52" s="153"/>
      <c r="EK52" s="153"/>
      <c r="EL52" s="153"/>
      <c r="EM52" s="153"/>
      <c r="EN52" s="153"/>
      <c r="EO52" s="153"/>
      <c r="EP52" s="153"/>
      <c r="EQ52" s="153"/>
      <c r="ER52" s="153"/>
      <c r="ES52" s="153"/>
      <c r="ET52" s="153"/>
      <c r="EU52" s="153"/>
      <c r="EV52" s="153"/>
      <c r="EW52" s="153"/>
      <c r="EX52" s="153"/>
      <c r="EY52" s="153"/>
      <c r="EZ52" s="153"/>
      <c r="FA52" s="153"/>
      <c r="FB52" s="153"/>
      <c r="FC52" s="153"/>
      <c r="FD52" s="153"/>
      <c r="FE52" s="153"/>
      <c r="FF52" s="153"/>
      <c r="FG52" s="153"/>
      <c r="FH52" s="153"/>
      <c r="FI52" s="153"/>
      <c r="FJ52" s="153"/>
      <c r="FK52" s="153"/>
      <c r="FL52" s="153"/>
      <c r="FM52" s="153"/>
      <c r="FN52" s="153"/>
      <c r="FO52" s="153"/>
      <c r="FP52" s="153"/>
      <c r="FQ52" s="153"/>
      <c r="FR52" s="153"/>
      <c r="FS52" s="153"/>
      <c r="FT52" s="153"/>
      <c r="FU52" s="153"/>
      <c r="FV52" s="153"/>
      <c r="FW52" s="153"/>
      <c r="FX52" s="153"/>
      <c r="FY52" s="153"/>
      <c r="FZ52" s="153"/>
      <c r="GA52" s="153"/>
      <c r="GB52" s="153"/>
      <c r="GC52" s="153"/>
      <c r="GD52" s="153"/>
      <c r="GE52" s="153"/>
      <c r="GF52" s="153"/>
      <c r="GG52" s="153"/>
      <c r="GH52" s="153"/>
      <c r="GI52" s="153"/>
      <c r="GJ52" s="153"/>
      <c r="GK52" s="153"/>
      <c r="GL52" s="153"/>
      <c r="GM52" s="153"/>
      <c r="GN52" s="153"/>
      <c r="GO52" s="153"/>
      <c r="GP52" s="153"/>
      <c r="GQ52" s="153"/>
      <c r="GR52" s="153"/>
      <c r="GS52" s="153"/>
      <c r="GT52" s="153"/>
      <c r="GU52" s="153"/>
      <c r="GV52" s="153"/>
      <c r="GW52" s="153"/>
      <c r="GX52" s="153"/>
      <c r="GY52" s="153"/>
      <c r="GZ52" s="153" t="str">
        <f>"" &amp; TEXT(AE52,"#0.00%") &amp; "/" &amp; TEXT(AD52,"#0.00% ") &amp; "" &amp; "" &amp; " " &amp; ""</f>
        <v xml:space="preserve">100.00%/100.00%  </v>
      </c>
      <c r="HA52" s="153"/>
      <c r="HB52" s="153"/>
      <c r="HC52" s="153"/>
      <c r="HD52" s="153"/>
      <c r="HE52" s="153"/>
      <c r="HF52" s="153"/>
      <c r="HG52" s="153"/>
      <c r="HH52" s="153"/>
      <c r="HI52" s="153"/>
      <c r="HJ52" s="153"/>
      <c r="HK52" s="153"/>
      <c r="HL52" s="153"/>
      <c r="HM52" s="153"/>
      <c r="HN52" s="153"/>
      <c r="HO52" s="153"/>
      <c r="HP52" s="153"/>
      <c r="HQ52" s="153"/>
      <c r="HR52" s="153"/>
      <c r="HS52" s="153"/>
      <c r="HT52" s="153"/>
      <c r="HU52" s="153"/>
      <c r="HV52" s="153"/>
      <c r="HW52" s="153"/>
      <c r="HX52" s="153"/>
      <c r="HY52" s="153"/>
      <c r="HZ52" s="153"/>
      <c r="IA52" s="153"/>
      <c r="IB52" s="153"/>
      <c r="IC52" s="153"/>
      <c r="ID52" s="153"/>
      <c r="IE52" s="153"/>
      <c r="IF52" s="153"/>
      <c r="IG52" s="153"/>
      <c r="IH52" s="153"/>
      <c r="II52" s="153"/>
      <c r="IJ52" s="153"/>
      <c r="IK52" s="153"/>
      <c r="IL52" s="153"/>
      <c r="IM52" s="153"/>
      <c r="IN52" s="153"/>
      <c r="IO52" s="153"/>
      <c r="IP52" s="153"/>
      <c r="IQ52" s="153"/>
      <c r="IR52" s="153"/>
      <c r="IS52" s="153"/>
      <c r="IT52" s="153"/>
      <c r="IU52" s="153"/>
      <c r="IV52" s="153"/>
      <c r="IW52" s="153"/>
      <c r="IX52" s="153"/>
      <c r="IY52" s="153"/>
      <c r="IZ52" s="153"/>
      <c r="JA52" s="153"/>
      <c r="JB52" s="153"/>
      <c r="JC52" s="153"/>
      <c r="JD52" s="153"/>
      <c r="JE52" s="153"/>
      <c r="JF52" s="153"/>
      <c r="JG52" s="153"/>
      <c r="JH52" s="153"/>
      <c r="JI52" s="153"/>
      <c r="JJ52" s="153"/>
      <c r="JK52" s="153"/>
      <c r="JL52" s="153"/>
      <c r="JM52" s="153"/>
      <c r="JN52" s="153"/>
      <c r="JO52" s="153"/>
      <c r="JP52" s="153"/>
      <c r="JQ52" s="153"/>
      <c r="JR52" s="153"/>
      <c r="JS52" s="153"/>
      <c r="JT52" s="153"/>
      <c r="JU52" s="153"/>
      <c r="JV52" s="153"/>
      <c r="JW52" s="153"/>
    </row>
    <row r="53" spans="1:283" ht="12" customHeight="1" outlineLevel="3">
      <c r="A53" s="123"/>
      <c r="B53" s="123"/>
      <c r="C53" s="123">
        <v>4</v>
      </c>
      <c r="D53" s="151" t="s">
        <v>2008</v>
      </c>
      <c r="E53" s="124"/>
      <c r="F53" s="124"/>
      <c r="G53" s="124"/>
      <c r="H53" s="124" t="s">
        <v>1918</v>
      </c>
      <c r="I53" s="124"/>
      <c r="J53" s="124"/>
      <c r="K53" s="124"/>
      <c r="L53" s="124"/>
      <c r="M53" s="124"/>
      <c r="N53" s="124"/>
      <c r="O53" s="124"/>
      <c r="P53" s="125">
        <v>45971</v>
      </c>
      <c r="Q53" s="125">
        <v>45975</v>
      </c>
      <c r="R53" s="124"/>
      <c r="S53" s="126">
        <v>5</v>
      </c>
      <c r="T53" s="126">
        <v>5</v>
      </c>
      <c r="U53" s="126">
        <v>5</v>
      </c>
      <c r="V53" s="126">
        <v>5</v>
      </c>
      <c r="W53" s="125">
        <v>45971</v>
      </c>
      <c r="X53" s="125">
        <v>45985</v>
      </c>
      <c r="Y53" s="127">
        <v>11</v>
      </c>
      <c r="Z53" s="128">
        <v>11</v>
      </c>
      <c r="AA53" s="126">
        <v>1</v>
      </c>
      <c r="AB53" s="124"/>
      <c r="AC53" s="129" t="s">
        <v>1919</v>
      </c>
      <c r="AD53" s="150">
        <v>1</v>
      </c>
      <c r="AE53" s="251">
        <v>1</v>
      </c>
      <c r="AF53" s="183"/>
      <c r="AG53" s="153"/>
      <c r="AH53" s="153"/>
      <c r="AI53" s="153"/>
      <c r="AJ53" s="153"/>
      <c r="AK53" s="153"/>
      <c r="AL53" s="153"/>
      <c r="AM53" s="153"/>
      <c r="AN53" s="153"/>
      <c r="AO53" s="153"/>
      <c r="AP53" s="153"/>
      <c r="AQ53" s="153"/>
      <c r="AR53" s="153"/>
      <c r="AS53" s="153"/>
      <c r="AT53" s="153"/>
      <c r="AU53" s="153"/>
      <c r="AV53" s="153"/>
      <c r="AW53" s="153"/>
      <c r="AX53" s="153"/>
      <c r="AY53" s="153"/>
      <c r="AZ53" s="153"/>
      <c r="BA53" s="153"/>
      <c r="BB53" s="153"/>
      <c r="BC53" s="153"/>
      <c r="BD53" s="153"/>
      <c r="BE53" s="153"/>
      <c r="BF53" s="153"/>
      <c r="BG53" s="153"/>
      <c r="BH53" s="153"/>
      <c r="BI53" s="153"/>
      <c r="BJ53" s="153"/>
      <c r="BK53" s="153"/>
      <c r="BL53" s="153"/>
      <c r="BM53" s="153"/>
      <c r="BN53" s="153"/>
      <c r="BO53" s="153"/>
      <c r="BP53" s="153"/>
      <c r="BQ53" s="153"/>
      <c r="BR53" s="153"/>
      <c r="BS53" s="153"/>
      <c r="BT53" s="153"/>
      <c r="BU53" s="153"/>
      <c r="BV53" s="153"/>
      <c r="BW53" s="153"/>
      <c r="BX53" s="153"/>
      <c r="BY53" s="153"/>
      <c r="BZ53" s="153"/>
      <c r="CA53" s="153"/>
      <c r="CB53" s="153"/>
      <c r="CC53" s="153"/>
      <c r="CD53" s="153"/>
      <c r="CE53" s="153"/>
      <c r="CF53" s="153"/>
      <c r="CG53" s="153"/>
      <c r="CH53" s="153"/>
      <c r="CI53" s="153"/>
      <c r="CJ53" s="153"/>
      <c r="CK53" s="153"/>
      <c r="CL53" s="153"/>
      <c r="CM53" s="153"/>
      <c r="CN53" s="153"/>
      <c r="CO53" s="153"/>
      <c r="CP53" s="153"/>
      <c r="CQ53" s="153"/>
      <c r="CR53" s="153"/>
      <c r="CS53" s="153"/>
      <c r="CT53" s="153"/>
      <c r="CU53" s="153"/>
      <c r="CV53" s="153"/>
      <c r="CW53" s="153"/>
      <c r="CX53" s="153"/>
      <c r="CY53" s="153"/>
      <c r="CZ53" s="153"/>
      <c r="DA53" s="153"/>
      <c r="DB53" s="153"/>
      <c r="DC53" s="153"/>
      <c r="DD53" s="153"/>
      <c r="DE53" s="153"/>
      <c r="DF53" s="153"/>
      <c r="DG53" s="153"/>
      <c r="DH53" s="153"/>
      <c r="DI53" s="153"/>
      <c r="DJ53" s="153"/>
      <c r="DK53" s="153"/>
      <c r="DL53" s="153"/>
      <c r="DM53" s="153"/>
      <c r="DN53" s="153"/>
      <c r="DO53" s="153"/>
      <c r="DP53" s="153"/>
      <c r="DQ53" s="153"/>
      <c r="DR53" s="153"/>
      <c r="DS53" s="153"/>
      <c r="DT53" s="153"/>
      <c r="DU53" s="153"/>
      <c r="DV53" s="153"/>
      <c r="DW53" s="153"/>
      <c r="DX53" s="153"/>
      <c r="DY53" s="153"/>
      <c r="DZ53" s="153"/>
      <c r="EA53" s="153"/>
      <c r="EB53" s="153"/>
      <c r="EC53" s="153"/>
      <c r="ED53" s="153"/>
      <c r="EE53" s="153"/>
      <c r="EF53" s="153"/>
      <c r="EG53" s="153"/>
      <c r="EH53" s="153"/>
      <c r="EI53" s="153"/>
      <c r="EJ53" s="153"/>
      <c r="EK53" s="153"/>
      <c r="EL53" s="153"/>
      <c r="EM53" s="153"/>
      <c r="EN53" s="153"/>
      <c r="EO53" s="153"/>
      <c r="EP53" s="153"/>
      <c r="EQ53" s="153"/>
      <c r="ER53" s="153"/>
      <c r="ES53" s="153"/>
      <c r="ET53" s="153"/>
      <c r="EU53" s="153"/>
      <c r="EV53" s="153"/>
      <c r="EW53" s="153"/>
      <c r="EX53" s="153"/>
      <c r="EY53" s="153"/>
      <c r="EZ53" s="153"/>
      <c r="FA53" s="153"/>
      <c r="FB53" s="153"/>
      <c r="FC53" s="153"/>
      <c r="FD53" s="153"/>
      <c r="FE53" s="153"/>
      <c r="FF53" s="153"/>
      <c r="FG53" s="153"/>
      <c r="FH53" s="153"/>
      <c r="FI53" s="153"/>
      <c r="FJ53" s="153"/>
      <c r="FK53" s="153"/>
      <c r="FL53" s="153"/>
      <c r="FM53" s="153"/>
      <c r="FN53" s="153"/>
      <c r="FO53" s="153"/>
      <c r="FP53" s="153"/>
      <c r="FQ53" s="153"/>
      <c r="FR53" s="153"/>
      <c r="FS53" s="153"/>
      <c r="FT53" s="153"/>
      <c r="FU53" s="153"/>
      <c r="FV53" s="153"/>
      <c r="FW53" s="153"/>
      <c r="FX53" s="153"/>
      <c r="FY53" s="153"/>
      <c r="FZ53" s="153"/>
      <c r="GA53" s="153"/>
      <c r="GB53" s="153"/>
      <c r="GC53" s="153"/>
      <c r="GD53" s="153"/>
      <c r="GE53" s="153"/>
      <c r="GF53" s="153"/>
      <c r="GG53" s="153"/>
      <c r="GH53" s="153"/>
      <c r="GI53" s="153"/>
      <c r="GJ53" s="153"/>
      <c r="GK53" s="153"/>
      <c r="GL53" s="153"/>
      <c r="GM53" s="153"/>
      <c r="GN53" s="153"/>
      <c r="GO53" s="153"/>
      <c r="GP53" s="153"/>
      <c r="GQ53" s="153"/>
      <c r="GR53" s="153"/>
      <c r="GS53" s="153"/>
      <c r="GT53" s="153"/>
      <c r="GU53" s="153"/>
      <c r="GV53" s="153"/>
      <c r="GW53" s="153"/>
      <c r="GX53" s="153"/>
      <c r="GY53" s="153"/>
      <c r="GZ53" s="153" t="str">
        <f>"" &amp; TEXT(AE53,"#0.00%") &amp; "/" &amp; TEXT(AD53,"#0.00% ") &amp; "" &amp; "" &amp; " " &amp; ""</f>
        <v xml:space="preserve">100.00%/100.00%  </v>
      </c>
      <c r="HA53" s="153"/>
      <c r="HB53" s="153"/>
      <c r="HC53" s="153"/>
      <c r="HD53" s="153"/>
      <c r="HE53" s="153"/>
      <c r="HF53" s="153"/>
      <c r="HG53" s="153"/>
      <c r="HH53" s="153"/>
      <c r="HI53" s="153"/>
      <c r="HJ53" s="153"/>
      <c r="HK53" s="153"/>
      <c r="HL53" s="153"/>
      <c r="HM53" s="153"/>
      <c r="HN53" s="153"/>
      <c r="HO53" s="153"/>
      <c r="HP53" s="153"/>
      <c r="HQ53" s="153"/>
      <c r="HR53" s="153"/>
      <c r="HS53" s="153"/>
      <c r="HT53" s="153"/>
      <c r="HU53" s="153"/>
      <c r="HV53" s="153"/>
      <c r="HW53" s="153"/>
      <c r="HX53" s="153"/>
      <c r="HY53" s="153"/>
      <c r="HZ53" s="153"/>
      <c r="IA53" s="153"/>
      <c r="IB53" s="153"/>
      <c r="IC53" s="153"/>
      <c r="ID53" s="153"/>
      <c r="IE53" s="153"/>
      <c r="IF53" s="153"/>
      <c r="IG53" s="153"/>
      <c r="IH53" s="153"/>
      <c r="II53" s="153"/>
      <c r="IJ53" s="153"/>
      <c r="IK53" s="153"/>
      <c r="IL53" s="153"/>
      <c r="IM53" s="153"/>
      <c r="IN53" s="153"/>
      <c r="IO53" s="153"/>
      <c r="IP53" s="153"/>
      <c r="IQ53" s="153"/>
      <c r="IR53" s="153"/>
      <c r="IS53" s="153"/>
      <c r="IT53" s="153"/>
      <c r="IU53" s="153"/>
      <c r="IV53" s="153"/>
      <c r="IW53" s="153"/>
      <c r="IX53" s="153"/>
      <c r="IY53" s="153"/>
      <c r="IZ53" s="153"/>
      <c r="JA53" s="153"/>
      <c r="JB53" s="153"/>
      <c r="JC53" s="153"/>
      <c r="JD53" s="153"/>
      <c r="JE53" s="153"/>
      <c r="JF53" s="153"/>
      <c r="JG53" s="153"/>
      <c r="JH53" s="153"/>
      <c r="JI53" s="153"/>
      <c r="JJ53" s="153"/>
      <c r="JK53" s="153"/>
      <c r="JL53" s="153"/>
      <c r="JM53" s="153"/>
      <c r="JN53" s="153"/>
      <c r="JO53" s="153"/>
      <c r="JP53" s="153"/>
      <c r="JQ53" s="153"/>
      <c r="JR53" s="153"/>
      <c r="JS53" s="153"/>
      <c r="JT53" s="153"/>
      <c r="JU53" s="153"/>
      <c r="JV53" s="153"/>
      <c r="JW53" s="153"/>
    </row>
    <row r="54" spans="1:283" ht="12" customHeight="1" outlineLevel="1">
      <c r="A54" s="123"/>
      <c r="B54" s="123" t="s">
        <v>1934</v>
      </c>
      <c r="C54" s="123">
        <v>2</v>
      </c>
      <c r="D54" s="151" t="s">
        <v>2009</v>
      </c>
      <c r="E54" s="124"/>
      <c r="F54" s="124" t="s">
        <v>1633</v>
      </c>
      <c r="G54" s="124"/>
      <c r="H54" s="124"/>
      <c r="I54" s="124"/>
      <c r="J54" s="124"/>
      <c r="K54" s="124"/>
      <c r="L54" s="124"/>
      <c r="M54" s="124"/>
      <c r="N54" s="124"/>
      <c r="O54" s="124"/>
      <c r="P54" s="125">
        <v>46001</v>
      </c>
      <c r="Q54" s="125">
        <v>46017</v>
      </c>
      <c r="R54" s="124"/>
      <c r="S54" s="126">
        <v>11</v>
      </c>
      <c r="T54" s="126">
        <v>11</v>
      </c>
      <c r="U54" s="126">
        <v>11</v>
      </c>
      <c r="V54" s="126">
        <v>11</v>
      </c>
      <c r="W54" s="125"/>
      <c r="X54" s="125"/>
      <c r="Y54" s="127">
        <v>0</v>
      </c>
      <c r="Z54" s="128">
        <v>0</v>
      </c>
      <c r="AA54" s="126"/>
      <c r="AB54" s="124"/>
      <c r="AC54" s="129"/>
      <c r="AD54" s="150">
        <v>1</v>
      </c>
      <c r="AE54" s="310">
        <v>0</v>
      </c>
      <c r="AF54" s="183"/>
      <c r="AG54" s="153"/>
      <c r="AH54" s="153"/>
      <c r="AI54" s="153"/>
      <c r="AJ54" s="153"/>
      <c r="AK54" s="153"/>
      <c r="AL54" s="153"/>
      <c r="AM54" s="153"/>
      <c r="AN54" s="153"/>
      <c r="AO54" s="153"/>
      <c r="AP54" s="153"/>
      <c r="AQ54" s="153"/>
      <c r="AR54" s="153"/>
      <c r="AS54" s="153"/>
      <c r="AT54" s="153"/>
      <c r="AU54" s="153"/>
      <c r="AV54" s="153"/>
      <c r="AW54" s="153"/>
      <c r="AX54" s="153"/>
      <c r="AY54" s="153"/>
      <c r="AZ54" s="153"/>
      <c r="BA54" s="153"/>
      <c r="BB54" s="153"/>
      <c r="BC54" s="153"/>
      <c r="BD54" s="153"/>
      <c r="BE54" s="153"/>
      <c r="BF54" s="153"/>
      <c r="BG54" s="153"/>
      <c r="BH54" s="153"/>
      <c r="BI54" s="153"/>
      <c r="BJ54" s="153"/>
      <c r="BK54" s="153"/>
      <c r="BL54" s="153"/>
      <c r="BM54" s="153"/>
      <c r="BN54" s="153"/>
      <c r="BO54" s="153"/>
      <c r="BP54" s="153"/>
      <c r="BQ54" s="153"/>
      <c r="BR54" s="153"/>
      <c r="BS54" s="153"/>
      <c r="BT54" s="153"/>
      <c r="BU54" s="153"/>
      <c r="BV54" s="153"/>
      <c r="BW54" s="153"/>
      <c r="BX54" s="153"/>
      <c r="BY54" s="153"/>
      <c r="BZ54" s="153"/>
      <c r="CA54" s="153"/>
      <c r="CB54" s="153"/>
      <c r="CC54" s="153"/>
      <c r="CD54" s="153"/>
      <c r="CE54" s="153"/>
      <c r="CF54" s="153"/>
      <c r="CG54" s="153"/>
      <c r="CH54" s="153"/>
      <c r="CI54" s="153"/>
      <c r="CJ54" s="153"/>
      <c r="CK54" s="153"/>
      <c r="CL54" s="153"/>
      <c r="CM54" s="153"/>
      <c r="CN54" s="153"/>
      <c r="CO54" s="153"/>
      <c r="CP54" s="153"/>
      <c r="CQ54" s="153"/>
      <c r="CR54" s="153"/>
      <c r="CS54" s="153"/>
      <c r="CT54" s="153"/>
      <c r="CU54" s="153"/>
      <c r="CV54" s="153"/>
      <c r="CW54" s="153"/>
      <c r="CX54" s="153"/>
      <c r="CY54" s="153"/>
      <c r="CZ54" s="153"/>
      <c r="DA54" s="153"/>
      <c r="DB54" s="153"/>
      <c r="DC54" s="153"/>
      <c r="DD54" s="153"/>
      <c r="DE54" s="153"/>
      <c r="DF54" s="153"/>
      <c r="DG54" s="153"/>
      <c r="DH54" s="153"/>
      <c r="DI54" s="153"/>
      <c r="DJ54" s="153"/>
      <c r="DK54" s="153"/>
      <c r="DL54" s="153"/>
      <c r="DM54" s="153"/>
      <c r="DN54" s="153"/>
      <c r="DO54" s="153"/>
      <c r="DP54" s="153"/>
      <c r="DQ54" s="153"/>
      <c r="DR54" s="153"/>
      <c r="DS54" s="153"/>
      <c r="DT54" s="153"/>
      <c r="DU54" s="153"/>
      <c r="DV54" s="153"/>
      <c r="DW54" s="153"/>
      <c r="DX54" s="153"/>
      <c r="DY54" s="153"/>
      <c r="DZ54" s="153"/>
      <c r="EA54" s="153"/>
      <c r="EB54" s="153"/>
      <c r="EC54" s="153"/>
      <c r="ED54" s="153"/>
      <c r="EE54" s="153"/>
      <c r="EF54" s="153"/>
      <c r="EG54" s="153"/>
      <c r="EH54" s="153"/>
      <c r="EI54" s="153"/>
      <c r="EJ54" s="153"/>
      <c r="EK54" s="153"/>
      <c r="EL54" s="153"/>
      <c r="EM54" s="153"/>
      <c r="EN54" s="153"/>
      <c r="EO54" s="153"/>
      <c r="EP54" s="153"/>
      <c r="EQ54" s="153"/>
      <c r="ER54" s="153"/>
      <c r="ES54" s="153"/>
      <c r="ET54" s="153"/>
      <c r="EU54" s="153"/>
      <c r="EV54" s="153"/>
      <c r="EW54" s="153"/>
      <c r="EX54" s="153"/>
      <c r="EY54" s="153"/>
      <c r="EZ54" s="153"/>
      <c r="FA54" s="153"/>
      <c r="FB54" s="153"/>
      <c r="FC54" s="153"/>
      <c r="FD54" s="153"/>
      <c r="FE54" s="153"/>
      <c r="FF54" s="153"/>
      <c r="FG54" s="153"/>
      <c r="FH54" s="153"/>
      <c r="FI54" s="153"/>
      <c r="FJ54" s="153"/>
      <c r="FK54" s="153"/>
      <c r="FL54" s="153"/>
      <c r="FM54" s="153"/>
      <c r="FN54" s="153"/>
      <c r="FO54" s="153"/>
      <c r="FP54" s="153"/>
      <c r="FQ54" s="153"/>
      <c r="FR54" s="153"/>
      <c r="FS54" s="153"/>
      <c r="FT54" s="153"/>
      <c r="FU54" s="153"/>
      <c r="FV54" s="153"/>
      <c r="FW54" s="153"/>
      <c r="FX54" s="153"/>
      <c r="FY54" s="153"/>
      <c r="FZ54" s="153"/>
      <c r="GA54" s="153"/>
      <c r="GB54" s="153"/>
      <c r="GC54" s="153"/>
      <c r="GD54" s="153"/>
      <c r="GE54" s="153"/>
      <c r="GF54" s="153"/>
      <c r="GG54" s="153"/>
      <c r="GH54" s="153"/>
      <c r="GI54" s="153"/>
      <c r="GJ54" s="153"/>
      <c r="GK54" s="153"/>
      <c r="GL54" s="153"/>
      <c r="GM54" s="153"/>
      <c r="GN54" s="153"/>
      <c r="GO54" s="153"/>
      <c r="GP54" s="153"/>
      <c r="GQ54" s="153"/>
      <c r="GR54" s="153"/>
      <c r="GS54" s="153"/>
      <c r="GT54" s="153"/>
      <c r="GU54" s="153"/>
      <c r="GV54" s="153"/>
      <c r="GW54" s="153"/>
      <c r="GX54" s="153"/>
      <c r="GY54" s="153"/>
      <c r="GZ54" s="153"/>
      <c r="HA54" s="153"/>
      <c r="HB54" s="153"/>
      <c r="HC54" s="153"/>
      <c r="HD54" s="153"/>
      <c r="HE54" s="153"/>
      <c r="HF54" s="153"/>
      <c r="HG54" s="153"/>
      <c r="HH54" s="153"/>
      <c r="HI54" s="153"/>
      <c r="HJ54" s="153"/>
      <c r="HK54" s="153"/>
      <c r="HL54" s="153"/>
      <c r="HM54" s="153"/>
      <c r="HN54" s="153"/>
      <c r="HO54" s="153" t="str">
        <f>"" &amp; TEXT(AE54,"#0.00%") &amp; "/" &amp; TEXT(AD54,"#0.00% ") &amp; ""</f>
        <v xml:space="preserve">0.00%/100.00% </v>
      </c>
      <c r="HP54" s="153"/>
      <c r="HQ54" s="153"/>
      <c r="HR54" s="153"/>
      <c r="HS54" s="153"/>
      <c r="HT54" s="153"/>
      <c r="HU54" s="153"/>
      <c r="HV54" s="153"/>
      <c r="HW54" s="153"/>
      <c r="HX54" s="153"/>
      <c r="HY54" s="153"/>
      <c r="HZ54" s="153"/>
      <c r="IA54" s="153"/>
      <c r="IB54" s="153"/>
      <c r="IC54" s="153"/>
      <c r="ID54" s="153"/>
      <c r="IE54" s="153"/>
      <c r="IF54" s="153" t="str">
        <f>"" &amp; "" &amp; " " &amp; ""</f>
        <v xml:space="preserve"> </v>
      </c>
      <c r="IG54" s="153"/>
      <c r="IH54" s="153"/>
      <c r="II54" s="153"/>
      <c r="IJ54" s="153"/>
      <c r="IK54" s="153"/>
      <c r="IL54" s="153"/>
      <c r="IM54" s="153"/>
      <c r="IN54" s="153"/>
      <c r="IO54" s="153"/>
      <c r="IP54" s="153"/>
      <c r="IQ54" s="153"/>
      <c r="IR54" s="153"/>
      <c r="IS54" s="153"/>
      <c r="IT54" s="153"/>
      <c r="IU54" s="153"/>
      <c r="IV54" s="153"/>
      <c r="IW54" s="153"/>
      <c r="IX54" s="153"/>
      <c r="IY54" s="153"/>
      <c r="IZ54" s="153"/>
      <c r="JA54" s="153"/>
      <c r="JB54" s="153"/>
      <c r="JC54" s="153"/>
      <c r="JD54" s="153"/>
      <c r="JE54" s="153"/>
      <c r="JF54" s="153"/>
      <c r="JG54" s="153"/>
      <c r="JH54" s="153"/>
      <c r="JI54" s="153"/>
      <c r="JJ54" s="153"/>
      <c r="JK54" s="153"/>
      <c r="JL54" s="153"/>
      <c r="JM54" s="153"/>
      <c r="JN54" s="153"/>
      <c r="JO54" s="153"/>
      <c r="JP54" s="153"/>
      <c r="JQ54" s="153"/>
      <c r="JR54" s="153"/>
      <c r="JS54" s="153"/>
      <c r="JT54" s="153"/>
      <c r="JU54" s="153"/>
      <c r="JV54" s="153"/>
      <c r="JW54" s="153"/>
    </row>
    <row r="55" spans="1:283" ht="12" customHeight="1" outlineLevel="2">
      <c r="A55" s="123"/>
      <c r="B55" s="123" t="s">
        <v>1934</v>
      </c>
      <c r="C55" s="123">
        <v>3</v>
      </c>
      <c r="D55" s="151" t="s">
        <v>2010</v>
      </c>
      <c r="E55" s="124"/>
      <c r="F55" s="124"/>
      <c r="G55" s="124" t="s">
        <v>1875</v>
      </c>
      <c r="H55" s="124"/>
      <c r="I55" s="124"/>
      <c r="J55" s="124"/>
      <c r="K55" s="124"/>
      <c r="L55" s="124"/>
      <c r="M55" s="124"/>
      <c r="N55" s="124"/>
      <c r="O55" s="124"/>
      <c r="P55" s="125">
        <v>46001</v>
      </c>
      <c r="Q55" s="125">
        <v>46017</v>
      </c>
      <c r="R55" s="124"/>
      <c r="S55" s="126">
        <v>11</v>
      </c>
      <c r="T55" s="126">
        <v>11</v>
      </c>
      <c r="U55" s="126">
        <v>11</v>
      </c>
      <c r="V55" s="126">
        <v>11</v>
      </c>
      <c r="W55" s="125"/>
      <c r="X55" s="125"/>
      <c r="Y55" s="127">
        <v>0</v>
      </c>
      <c r="Z55" s="128">
        <v>0</v>
      </c>
      <c r="AA55" s="126"/>
      <c r="AB55" s="124"/>
      <c r="AC55" s="129"/>
      <c r="AD55" s="150">
        <v>1</v>
      </c>
      <c r="AE55" s="310">
        <v>0</v>
      </c>
      <c r="AF55" s="183"/>
      <c r="AG55" s="153"/>
      <c r="AH55" s="153"/>
      <c r="AI55" s="153"/>
      <c r="AJ55" s="153"/>
      <c r="AK55" s="153"/>
      <c r="AL55" s="153"/>
      <c r="AM55" s="153"/>
      <c r="AN55" s="153"/>
      <c r="AO55" s="153"/>
      <c r="AP55" s="153"/>
      <c r="AQ55" s="153"/>
      <c r="AR55" s="153"/>
      <c r="AS55" s="153"/>
      <c r="AT55" s="153"/>
      <c r="AU55" s="153"/>
      <c r="AV55" s="153"/>
      <c r="AW55" s="153"/>
      <c r="AX55" s="153"/>
      <c r="AY55" s="153"/>
      <c r="AZ55" s="153"/>
      <c r="BA55" s="153"/>
      <c r="BB55" s="153"/>
      <c r="BC55" s="153"/>
      <c r="BD55" s="153"/>
      <c r="BE55" s="153"/>
      <c r="BF55" s="153"/>
      <c r="BG55" s="153"/>
      <c r="BH55" s="153"/>
      <c r="BI55" s="153"/>
      <c r="BJ55" s="153"/>
      <c r="BK55" s="153"/>
      <c r="BL55" s="153"/>
      <c r="BM55" s="153"/>
      <c r="BN55" s="153"/>
      <c r="BO55" s="153"/>
      <c r="BP55" s="153"/>
      <c r="BQ55" s="153"/>
      <c r="BR55" s="153"/>
      <c r="BS55" s="153"/>
      <c r="BT55" s="153"/>
      <c r="BU55" s="153"/>
      <c r="BV55" s="153"/>
      <c r="BW55" s="153"/>
      <c r="BX55" s="153"/>
      <c r="BY55" s="153"/>
      <c r="BZ55" s="153"/>
      <c r="CA55" s="153"/>
      <c r="CB55" s="153"/>
      <c r="CC55" s="153"/>
      <c r="CD55" s="153"/>
      <c r="CE55" s="153"/>
      <c r="CF55" s="153"/>
      <c r="CG55" s="153"/>
      <c r="CH55" s="153"/>
      <c r="CI55" s="153"/>
      <c r="CJ55" s="153"/>
      <c r="CK55" s="153"/>
      <c r="CL55" s="153"/>
      <c r="CM55" s="153"/>
      <c r="CN55" s="153"/>
      <c r="CO55" s="153"/>
      <c r="CP55" s="153"/>
      <c r="CQ55" s="153"/>
      <c r="CR55" s="153"/>
      <c r="CS55" s="153"/>
      <c r="CT55" s="153"/>
      <c r="CU55" s="153"/>
      <c r="CV55" s="153"/>
      <c r="CW55" s="153"/>
      <c r="CX55" s="153"/>
      <c r="CY55" s="153"/>
      <c r="CZ55" s="153"/>
      <c r="DA55" s="153"/>
      <c r="DB55" s="153"/>
      <c r="DC55" s="153"/>
      <c r="DD55" s="153"/>
      <c r="DE55" s="153"/>
      <c r="DF55" s="153"/>
      <c r="DG55" s="153"/>
      <c r="DH55" s="153"/>
      <c r="DI55" s="153"/>
      <c r="DJ55" s="153"/>
      <c r="DK55" s="153"/>
      <c r="DL55" s="153"/>
      <c r="DM55" s="153"/>
      <c r="DN55" s="153"/>
      <c r="DO55" s="153"/>
      <c r="DP55" s="153"/>
      <c r="DQ55" s="153"/>
      <c r="DR55" s="153"/>
      <c r="DS55" s="153"/>
      <c r="DT55" s="153"/>
      <c r="DU55" s="153"/>
      <c r="DV55" s="153"/>
      <c r="DW55" s="153"/>
      <c r="DX55" s="153"/>
      <c r="DY55" s="153"/>
      <c r="DZ55" s="153"/>
      <c r="EA55" s="153"/>
      <c r="EB55" s="153"/>
      <c r="EC55" s="153"/>
      <c r="ED55" s="153"/>
      <c r="EE55" s="153"/>
      <c r="EF55" s="153"/>
      <c r="EG55" s="153"/>
      <c r="EH55" s="153"/>
      <c r="EI55" s="153"/>
      <c r="EJ55" s="153"/>
      <c r="EK55" s="153"/>
      <c r="EL55" s="153"/>
      <c r="EM55" s="153"/>
      <c r="EN55" s="153"/>
      <c r="EO55" s="153"/>
      <c r="EP55" s="153"/>
      <c r="EQ55" s="153"/>
      <c r="ER55" s="153"/>
      <c r="ES55" s="153"/>
      <c r="ET55" s="153"/>
      <c r="EU55" s="153"/>
      <c r="EV55" s="153"/>
      <c r="EW55" s="153"/>
      <c r="EX55" s="153"/>
      <c r="EY55" s="153"/>
      <c r="EZ55" s="153"/>
      <c r="FA55" s="153"/>
      <c r="FB55" s="153"/>
      <c r="FC55" s="153"/>
      <c r="FD55" s="153"/>
      <c r="FE55" s="153"/>
      <c r="FF55" s="153"/>
      <c r="FG55" s="153"/>
      <c r="FH55" s="153"/>
      <c r="FI55" s="153"/>
      <c r="FJ55" s="153"/>
      <c r="FK55" s="153"/>
      <c r="FL55" s="153"/>
      <c r="FM55" s="153"/>
      <c r="FN55" s="153"/>
      <c r="FO55" s="153"/>
      <c r="FP55" s="153"/>
      <c r="FQ55" s="153"/>
      <c r="FR55" s="153"/>
      <c r="FS55" s="153"/>
      <c r="FT55" s="153"/>
      <c r="FU55" s="153"/>
      <c r="FV55" s="153"/>
      <c r="FW55" s="153"/>
      <c r="FX55" s="153"/>
      <c r="FY55" s="153"/>
      <c r="FZ55" s="153"/>
      <c r="GA55" s="153"/>
      <c r="GB55" s="153"/>
      <c r="GC55" s="153"/>
      <c r="GD55" s="153"/>
      <c r="GE55" s="153"/>
      <c r="GF55" s="153"/>
      <c r="GG55" s="153"/>
      <c r="GH55" s="153"/>
      <c r="GI55" s="153"/>
      <c r="GJ55" s="153"/>
      <c r="GK55" s="153"/>
      <c r="GL55" s="153"/>
      <c r="GM55" s="153"/>
      <c r="GN55" s="153"/>
      <c r="GO55" s="153"/>
      <c r="GP55" s="153"/>
      <c r="GQ55" s="153"/>
      <c r="GR55" s="153"/>
      <c r="GS55" s="153"/>
      <c r="GT55" s="153"/>
      <c r="GU55" s="153"/>
      <c r="GV55" s="153"/>
      <c r="GW55" s="153"/>
      <c r="GX55" s="153"/>
      <c r="GY55" s="153"/>
      <c r="GZ55" s="153"/>
      <c r="HA55" s="153"/>
      <c r="HB55" s="153"/>
      <c r="HC55" s="153"/>
      <c r="HD55" s="153"/>
      <c r="HE55" s="153"/>
      <c r="HF55" s="153"/>
      <c r="HG55" s="153"/>
      <c r="HH55" s="153"/>
      <c r="HI55" s="153"/>
      <c r="HJ55" s="153"/>
      <c r="HK55" s="153"/>
      <c r="HL55" s="153"/>
      <c r="HM55" s="153"/>
      <c r="HN55" s="153"/>
      <c r="HO55" s="153" t="str">
        <f>"" &amp; TEXT(AE55,"#0.00%") &amp; "/" &amp; TEXT(AD55,"#0.00% ") &amp; ""</f>
        <v xml:space="preserve">0.00%/100.00% </v>
      </c>
      <c r="HP55" s="153"/>
      <c r="HQ55" s="153"/>
      <c r="HR55" s="153"/>
      <c r="HS55" s="153"/>
      <c r="HT55" s="153"/>
      <c r="HU55" s="153"/>
      <c r="HV55" s="153"/>
      <c r="HW55" s="153"/>
      <c r="HX55" s="153"/>
      <c r="HY55" s="153"/>
      <c r="HZ55" s="153"/>
      <c r="IA55" s="153"/>
      <c r="IB55" s="153"/>
      <c r="IC55" s="153"/>
      <c r="ID55" s="153"/>
      <c r="IE55" s="153"/>
      <c r="IF55" s="153" t="str">
        <f>"" &amp; "" &amp; " " &amp; ""</f>
        <v xml:space="preserve"> </v>
      </c>
      <c r="IG55" s="153"/>
      <c r="IH55" s="153"/>
      <c r="II55" s="153"/>
      <c r="IJ55" s="153"/>
      <c r="IK55" s="153"/>
      <c r="IL55" s="153"/>
      <c r="IM55" s="153"/>
      <c r="IN55" s="153"/>
      <c r="IO55" s="153"/>
      <c r="IP55" s="153"/>
      <c r="IQ55" s="153"/>
      <c r="IR55" s="153"/>
      <c r="IS55" s="153"/>
      <c r="IT55" s="153"/>
      <c r="IU55" s="153"/>
      <c r="IV55" s="153"/>
      <c r="IW55" s="153"/>
      <c r="IX55" s="153"/>
      <c r="IY55" s="153"/>
      <c r="IZ55" s="153"/>
      <c r="JA55" s="153"/>
      <c r="JB55" s="153"/>
      <c r="JC55" s="153"/>
      <c r="JD55" s="153"/>
      <c r="JE55" s="153"/>
      <c r="JF55" s="153"/>
      <c r="JG55" s="153"/>
      <c r="JH55" s="153"/>
      <c r="JI55" s="153"/>
      <c r="JJ55" s="153"/>
      <c r="JK55" s="153"/>
      <c r="JL55" s="153"/>
      <c r="JM55" s="153"/>
      <c r="JN55" s="153"/>
      <c r="JO55" s="153"/>
      <c r="JP55" s="153"/>
      <c r="JQ55" s="153"/>
      <c r="JR55" s="153"/>
      <c r="JS55" s="153"/>
      <c r="JT55" s="153"/>
      <c r="JU55" s="153"/>
      <c r="JV55" s="153"/>
      <c r="JW55" s="153"/>
    </row>
    <row r="56" spans="1:283" ht="12" customHeight="1" outlineLevel="3">
      <c r="A56" s="123"/>
      <c r="B56" s="123"/>
      <c r="C56" s="123">
        <v>4</v>
      </c>
      <c r="D56" s="151" t="s">
        <v>2011</v>
      </c>
      <c r="E56" s="124"/>
      <c r="F56" s="124"/>
      <c r="G56" s="124"/>
      <c r="H56" s="124" t="s">
        <v>1906</v>
      </c>
      <c r="I56" s="124"/>
      <c r="J56" s="124"/>
      <c r="K56" s="124"/>
      <c r="L56" s="124"/>
      <c r="M56" s="124"/>
      <c r="N56" s="124"/>
      <c r="O56" s="124"/>
      <c r="P56" s="125">
        <v>46001</v>
      </c>
      <c r="Q56" s="125">
        <v>46003</v>
      </c>
      <c r="R56" s="124"/>
      <c r="S56" s="126">
        <v>3</v>
      </c>
      <c r="T56" s="126">
        <v>3</v>
      </c>
      <c r="U56" s="126">
        <v>3</v>
      </c>
      <c r="V56" s="126">
        <v>3</v>
      </c>
      <c r="W56" s="125"/>
      <c r="X56" s="125"/>
      <c r="Y56" s="127">
        <v>0</v>
      </c>
      <c r="Z56" s="128">
        <v>0</v>
      </c>
      <c r="AA56" s="126">
        <v>1</v>
      </c>
      <c r="AB56" s="124"/>
      <c r="AC56" s="129"/>
      <c r="AD56" s="150">
        <v>1</v>
      </c>
      <c r="AE56" s="309">
        <v>0</v>
      </c>
      <c r="AF56" s="183"/>
      <c r="AG56" s="153"/>
      <c r="AH56" s="153"/>
      <c r="AI56" s="153"/>
      <c r="AJ56" s="153"/>
      <c r="AK56" s="153"/>
      <c r="AL56" s="153"/>
      <c r="AM56" s="153"/>
      <c r="AN56" s="153"/>
      <c r="AO56" s="153"/>
      <c r="AP56" s="153"/>
      <c r="AQ56" s="153"/>
      <c r="AR56" s="153"/>
      <c r="AS56" s="153"/>
      <c r="AT56" s="153"/>
      <c r="AU56" s="153"/>
      <c r="AV56" s="153"/>
      <c r="AW56" s="153"/>
      <c r="AX56" s="153"/>
      <c r="AY56" s="153"/>
      <c r="AZ56" s="153"/>
      <c r="BA56" s="153"/>
      <c r="BB56" s="153"/>
      <c r="BC56" s="153"/>
      <c r="BD56" s="153"/>
      <c r="BE56" s="153"/>
      <c r="BF56" s="153"/>
      <c r="BG56" s="153"/>
      <c r="BH56" s="153"/>
      <c r="BI56" s="153"/>
      <c r="BJ56" s="153"/>
      <c r="BK56" s="153"/>
      <c r="BL56" s="153"/>
      <c r="BM56" s="153"/>
      <c r="BN56" s="153"/>
      <c r="BO56" s="153"/>
      <c r="BP56" s="153"/>
      <c r="BQ56" s="153"/>
      <c r="BR56" s="153"/>
      <c r="BS56" s="153"/>
      <c r="BT56" s="153"/>
      <c r="BU56" s="153"/>
      <c r="BV56" s="153"/>
      <c r="BW56" s="153"/>
      <c r="BX56" s="153"/>
      <c r="BY56" s="153"/>
      <c r="BZ56" s="153"/>
      <c r="CA56" s="153"/>
      <c r="CB56" s="153"/>
      <c r="CC56" s="153"/>
      <c r="CD56" s="153"/>
      <c r="CE56" s="153"/>
      <c r="CF56" s="153"/>
      <c r="CG56" s="153"/>
      <c r="CH56" s="153"/>
      <c r="CI56" s="153"/>
      <c r="CJ56" s="153"/>
      <c r="CK56" s="153"/>
      <c r="CL56" s="153"/>
      <c r="CM56" s="153"/>
      <c r="CN56" s="153"/>
      <c r="CO56" s="153"/>
      <c r="CP56" s="153"/>
      <c r="CQ56" s="153"/>
      <c r="CR56" s="153"/>
      <c r="CS56" s="153"/>
      <c r="CT56" s="153"/>
      <c r="CU56" s="153"/>
      <c r="CV56" s="153"/>
      <c r="CW56" s="153"/>
      <c r="CX56" s="153"/>
      <c r="CY56" s="153"/>
      <c r="CZ56" s="153"/>
      <c r="DA56" s="153"/>
      <c r="DB56" s="153"/>
      <c r="DC56" s="153"/>
      <c r="DD56" s="153"/>
      <c r="DE56" s="153"/>
      <c r="DF56" s="153"/>
      <c r="DG56" s="153"/>
      <c r="DH56" s="153"/>
      <c r="DI56" s="153"/>
      <c r="DJ56" s="153"/>
      <c r="DK56" s="153"/>
      <c r="DL56" s="153"/>
      <c r="DM56" s="153"/>
      <c r="DN56" s="153"/>
      <c r="DO56" s="153"/>
      <c r="DP56" s="153"/>
      <c r="DQ56" s="153"/>
      <c r="DR56" s="153"/>
      <c r="DS56" s="153"/>
      <c r="DT56" s="153"/>
      <c r="DU56" s="153"/>
      <c r="DV56" s="153"/>
      <c r="DW56" s="153"/>
      <c r="DX56" s="153"/>
      <c r="DY56" s="153"/>
      <c r="DZ56" s="153"/>
      <c r="EA56" s="153"/>
      <c r="EB56" s="153"/>
      <c r="EC56" s="153"/>
      <c r="ED56" s="153"/>
      <c r="EE56" s="153"/>
      <c r="EF56" s="153"/>
      <c r="EG56" s="153"/>
      <c r="EH56" s="153"/>
      <c r="EI56" s="153"/>
      <c r="EJ56" s="153"/>
      <c r="EK56" s="153"/>
      <c r="EL56" s="153"/>
      <c r="EM56" s="153"/>
      <c r="EN56" s="153"/>
      <c r="EO56" s="153"/>
      <c r="EP56" s="153"/>
      <c r="EQ56" s="153"/>
      <c r="ER56" s="153"/>
      <c r="ES56" s="153"/>
      <c r="ET56" s="153"/>
      <c r="EU56" s="153"/>
      <c r="EV56" s="153"/>
      <c r="EW56" s="153"/>
      <c r="EX56" s="153"/>
      <c r="EY56" s="153"/>
      <c r="EZ56" s="153"/>
      <c r="FA56" s="153"/>
      <c r="FB56" s="153"/>
      <c r="FC56" s="153"/>
      <c r="FD56" s="153"/>
      <c r="FE56" s="153"/>
      <c r="FF56" s="153"/>
      <c r="FG56" s="153"/>
      <c r="FH56" s="153"/>
      <c r="FI56" s="153"/>
      <c r="FJ56" s="153"/>
      <c r="FK56" s="153"/>
      <c r="FL56" s="153"/>
      <c r="FM56" s="153"/>
      <c r="FN56" s="153"/>
      <c r="FO56" s="153"/>
      <c r="FP56" s="153"/>
      <c r="FQ56" s="153"/>
      <c r="FR56" s="153"/>
      <c r="FS56" s="153"/>
      <c r="FT56" s="153"/>
      <c r="FU56" s="153"/>
      <c r="FV56" s="153"/>
      <c r="FW56" s="153"/>
      <c r="FX56" s="153"/>
      <c r="FY56" s="153"/>
      <c r="FZ56" s="153"/>
      <c r="GA56" s="153"/>
      <c r="GB56" s="153"/>
      <c r="GC56" s="153"/>
      <c r="GD56" s="153"/>
      <c r="GE56" s="153"/>
      <c r="GF56" s="153"/>
      <c r="GG56" s="153"/>
      <c r="GH56" s="153"/>
      <c r="GI56" s="153"/>
      <c r="GJ56" s="153"/>
      <c r="GK56" s="153"/>
      <c r="GL56" s="153"/>
      <c r="GM56" s="153"/>
      <c r="GN56" s="153"/>
      <c r="GO56" s="153"/>
      <c r="GP56" s="153"/>
      <c r="GQ56" s="153"/>
      <c r="GR56" s="153"/>
      <c r="GS56" s="153"/>
      <c r="GT56" s="153"/>
      <c r="GU56" s="153"/>
      <c r="GV56" s="153"/>
      <c r="GW56" s="153"/>
      <c r="GX56" s="153"/>
      <c r="GY56" s="153"/>
      <c r="GZ56" s="153"/>
      <c r="HA56" s="153"/>
      <c r="HB56" s="153"/>
      <c r="HC56" s="153"/>
      <c r="HD56" s="153"/>
      <c r="HE56" s="153"/>
      <c r="HF56" s="153"/>
      <c r="HG56" s="153"/>
      <c r="HH56" s="153"/>
      <c r="HI56" s="153"/>
      <c r="HJ56" s="153"/>
      <c r="HK56" s="153"/>
      <c r="HL56" s="153"/>
      <c r="HM56" s="153"/>
      <c r="HN56" s="153"/>
      <c r="HO56" s="153" t="str">
        <f>"" &amp; TEXT(AE56,"#0.00%") &amp; "/" &amp; TEXT(AD56,"#0.00% ") &amp; "" &amp; "" &amp; " " &amp; ""</f>
        <v xml:space="preserve">0.00%/100.00%  </v>
      </c>
      <c r="HP56" s="153"/>
      <c r="HQ56" s="153"/>
      <c r="HR56" s="153"/>
      <c r="HS56" s="153"/>
      <c r="HT56" s="153"/>
      <c r="HU56" s="153"/>
      <c r="HV56" s="153"/>
      <c r="HW56" s="153"/>
      <c r="HX56" s="153"/>
      <c r="HY56" s="153"/>
      <c r="HZ56" s="153"/>
      <c r="IA56" s="153"/>
      <c r="IB56" s="153"/>
      <c r="IC56" s="153"/>
      <c r="ID56" s="153"/>
      <c r="IE56" s="153"/>
      <c r="IF56" s="153"/>
      <c r="IG56" s="153"/>
      <c r="IH56" s="153"/>
      <c r="II56" s="153"/>
      <c r="IJ56" s="153"/>
      <c r="IK56" s="153"/>
      <c r="IL56" s="153"/>
      <c r="IM56" s="153"/>
      <c r="IN56" s="153"/>
      <c r="IO56" s="153"/>
      <c r="IP56" s="153"/>
      <c r="IQ56" s="153"/>
      <c r="IR56" s="153"/>
      <c r="IS56" s="153"/>
      <c r="IT56" s="153"/>
      <c r="IU56" s="153"/>
      <c r="IV56" s="153"/>
      <c r="IW56" s="153"/>
      <c r="IX56" s="153"/>
      <c r="IY56" s="153"/>
      <c r="IZ56" s="153"/>
      <c r="JA56" s="153"/>
      <c r="JB56" s="153"/>
      <c r="JC56" s="153"/>
      <c r="JD56" s="153"/>
      <c r="JE56" s="153"/>
      <c r="JF56" s="153"/>
      <c r="JG56" s="153"/>
      <c r="JH56" s="153"/>
      <c r="JI56" s="153"/>
      <c r="JJ56" s="153"/>
      <c r="JK56" s="153"/>
      <c r="JL56" s="153"/>
      <c r="JM56" s="153"/>
      <c r="JN56" s="153"/>
      <c r="JO56" s="153"/>
      <c r="JP56" s="153"/>
      <c r="JQ56" s="153"/>
      <c r="JR56" s="153"/>
      <c r="JS56" s="153"/>
      <c r="JT56" s="153"/>
      <c r="JU56" s="153"/>
      <c r="JV56" s="153"/>
      <c r="JW56" s="153"/>
    </row>
    <row r="57" spans="1:283" ht="12" customHeight="1" outlineLevel="3">
      <c r="A57" s="123"/>
      <c r="B57" s="123"/>
      <c r="C57" s="123">
        <v>4</v>
      </c>
      <c r="D57" s="151" t="s">
        <v>2012</v>
      </c>
      <c r="E57" s="124"/>
      <c r="F57" s="124"/>
      <c r="G57" s="124"/>
      <c r="H57" s="124" t="s">
        <v>1884</v>
      </c>
      <c r="I57" s="253"/>
      <c r="J57" s="124"/>
      <c r="K57" s="124"/>
      <c r="L57" s="124"/>
      <c r="M57" s="124"/>
      <c r="N57" s="124"/>
      <c r="O57" s="124"/>
      <c r="P57" s="125">
        <v>46006</v>
      </c>
      <c r="Q57" s="125">
        <v>46010</v>
      </c>
      <c r="R57" s="124"/>
      <c r="S57" s="126">
        <v>4</v>
      </c>
      <c r="T57" s="126">
        <v>4</v>
      </c>
      <c r="U57" s="126">
        <v>4</v>
      </c>
      <c r="V57" s="126">
        <v>4</v>
      </c>
      <c r="W57" s="125"/>
      <c r="X57" s="125"/>
      <c r="Y57" s="127">
        <v>0</v>
      </c>
      <c r="Z57" s="128">
        <v>0</v>
      </c>
      <c r="AA57" s="126">
        <v>1</v>
      </c>
      <c r="AB57" s="124"/>
      <c r="AC57" s="129" t="s">
        <v>2033</v>
      </c>
      <c r="AD57" s="150">
        <v>1</v>
      </c>
      <c r="AE57" s="309">
        <v>0</v>
      </c>
      <c r="AF57" s="183"/>
      <c r="AG57" s="153"/>
      <c r="AH57" s="153"/>
      <c r="AI57" s="153"/>
      <c r="AJ57" s="153"/>
      <c r="AK57" s="153"/>
      <c r="AL57" s="153"/>
      <c r="AM57" s="153"/>
      <c r="AN57" s="153"/>
      <c r="AO57" s="153"/>
      <c r="AP57" s="153"/>
      <c r="AQ57" s="153"/>
      <c r="AR57" s="153"/>
      <c r="AS57" s="153"/>
      <c r="AT57" s="153"/>
      <c r="AU57" s="153"/>
      <c r="AV57" s="153"/>
      <c r="AW57" s="153"/>
      <c r="AX57" s="153"/>
      <c r="AY57" s="153"/>
      <c r="AZ57" s="153"/>
      <c r="BA57" s="153"/>
      <c r="BB57" s="153"/>
      <c r="BC57" s="153"/>
      <c r="BD57" s="153"/>
      <c r="BE57" s="153"/>
      <c r="BF57" s="153"/>
      <c r="BG57" s="153"/>
      <c r="BH57" s="153"/>
      <c r="BI57" s="153"/>
      <c r="BJ57" s="153"/>
      <c r="BK57" s="153"/>
      <c r="BL57" s="153"/>
      <c r="BM57" s="153"/>
      <c r="BN57" s="153"/>
      <c r="BO57" s="153"/>
      <c r="BP57" s="153"/>
      <c r="BQ57" s="153"/>
      <c r="BR57" s="153"/>
      <c r="BS57" s="153"/>
      <c r="BT57" s="153"/>
      <c r="BU57" s="153"/>
      <c r="BV57" s="153"/>
      <c r="BW57" s="153"/>
      <c r="BX57" s="153"/>
      <c r="BY57" s="153"/>
      <c r="BZ57" s="153"/>
      <c r="CA57" s="153"/>
      <c r="CB57" s="153"/>
      <c r="CC57" s="153"/>
      <c r="CD57" s="153"/>
      <c r="CE57" s="153"/>
      <c r="CF57" s="153"/>
      <c r="CG57" s="153"/>
      <c r="CH57" s="153"/>
      <c r="CI57" s="153"/>
      <c r="CJ57" s="153"/>
      <c r="CK57" s="153"/>
      <c r="CL57" s="153"/>
      <c r="CM57" s="153"/>
      <c r="CN57" s="153"/>
      <c r="CO57" s="153"/>
      <c r="CP57" s="153"/>
      <c r="CQ57" s="153"/>
      <c r="CR57" s="153"/>
      <c r="CS57" s="153"/>
      <c r="CT57" s="153"/>
      <c r="CU57" s="153"/>
      <c r="CV57" s="153"/>
      <c r="CW57" s="153"/>
      <c r="CX57" s="153"/>
      <c r="CY57" s="153"/>
      <c r="CZ57" s="153"/>
      <c r="DA57" s="153"/>
      <c r="DB57" s="153"/>
      <c r="DC57" s="153"/>
      <c r="DD57" s="153"/>
      <c r="DE57" s="153"/>
      <c r="DF57" s="153"/>
      <c r="DG57" s="153"/>
      <c r="DH57" s="153"/>
      <c r="DI57" s="153"/>
      <c r="DJ57" s="153"/>
      <c r="DK57" s="153"/>
      <c r="DL57" s="153"/>
      <c r="DM57" s="153"/>
      <c r="DN57" s="153"/>
      <c r="DO57" s="153"/>
      <c r="DP57" s="153"/>
      <c r="DQ57" s="153"/>
      <c r="DR57" s="153"/>
      <c r="DS57" s="153"/>
      <c r="DT57" s="153"/>
      <c r="DU57" s="153"/>
      <c r="DV57" s="153"/>
      <c r="DW57" s="153"/>
      <c r="DX57" s="153"/>
      <c r="DY57" s="153"/>
      <c r="DZ57" s="153"/>
      <c r="EA57" s="153"/>
      <c r="EB57" s="153"/>
      <c r="EC57" s="153"/>
      <c r="ED57" s="153"/>
      <c r="EE57" s="153"/>
      <c r="EF57" s="153"/>
      <c r="EG57" s="153"/>
      <c r="EH57" s="153"/>
      <c r="EI57" s="153"/>
      <c r="EJ57" s="153"/>
      <c r="EK57" s="153"/>
      <c r="EL57" s="153"/>
      <c r="EM57" s="153"/>
      <c r="EN57" s="153"/>
      <c r="EO57" s="153"/>
      <c r="EP57" s="153"/>
      <c r="EQ57" s="153"/>
      <c r="ER57" s="153"/>
      <c r="ES57" s="153"/>
      <c r="ET57" s="153"/>
      <c r="EU57" s="153"/>
      <c r="EV57" s="153"/>
      <c r="EW57" s="153"/>
      <c r="EX57" s="153"/>
      <c r="EY57" s="153"/>
      <c r="EZ57" s="153"/>
      <c r="FA57" s="153"/>
      <c r="FB57" s="153"/>
      <c r="FC57" s="153"/>
      <c r="FD57" s="153"/>
      <c r="FE57" s="153"/>
      <c r="FF57" s="153"/>
      <c r="FG57" s="153"/>
      <c r="FH57" s="153"/>
      <c r="FI57" s="153"/>
      <c r="FJ57" s="153"/>
      <c r="FK57" s="153"/>
      <c r="FL57" s="153"/>
      <c r="FM57" s="153"/>
      <c r="FN57" s="153"/>
      <c r="FO57" s="153"/>
      <c r="FP57" s="153"/>
      <c r="FQ57" s="153"/>
      <c r="FR57" s="153"/>
      <c r="FS57" s="153"/>
      <c r="FT57" s="153"/>
      <c r="FU57" s="153"/>
      <c r="FV57" s="153"/>
      <c r="FW57" s="153"/>
      <c r="FX57" s="153"/>
      <c r="FY57" s="153"/>
      <c r="FZ57" s="153"/>
      <c r="GA57" s="153"/>
      <c r="GB57" s="153"/>
      <c r="GC57" s="153"/>
      <c r="GD57" s="153"/>
      <c r="GE57" s="153"/>
      <c r="GF57" s="153"/>
      <c r="GG57" s="153"/>
      <c r="GH57" s="153"/>
      <c r="GI57" s="153"/>
      <c r="GJ57" s="153"/>
      <c r="GK57" s="153"/>
      <c r="GL57" s="153"/>
      <c r="GM57" s="153"/>
      <c r="GN57" s="153"/>
      <c r="GO57" s="153"/>
      <c r="GP57" s="153"/>
      <c r="GQ57" s="153"/>
      <c r="GR57" s="153"/>
      <c r="GS57" s="153"/>
      <c r="GT57" s="153"/>
      <c r="GU57" s="153"/>
      <c r="GV57" s="153"/>
      <c r="GW57" s="153"/>
      <c r="GX57" s="153"/>
      <c r="GY57" s="153"/>
      <c r="GZ57" s="153"/>
      <c r="HA57" s="153"/>
      <c r="HB57" s="153"/>
      <c r="HC57" s="153"/>
      <c r="HD57" s="153"/>
      <c r="HE57" s="153"/>
      <c r="HF57" s="153"/>
      <c r="HG57" s="153"/>
      <c r="HH57" s="153"/>
      <c r="HI57" s="153"/>
      <c r="HJ57" s="153"/>
      <c r="HK57" s="153"/>
      <c r="HL57" s="153"/>
      <c r="HM57" s="153"/>
      <c r="HN57" s="153"/>
      <c r="HO57" s="153"/>
      <c r="HP57" s="153"/>
      <c r="HQ57" s="153"/>
      <c r="HR57" s="153"/>
      <c r="HS57" s="153"/>
      <c r="HT57" s="153" t="str">
        <f>"" &amp; TEXT(AE57,"#0.00%") &amp; "/" &amp; TEXT(AD57,"#0.00% ") &amp; "" &amp; "" &amp; " " &amp; ""</f>
        <v xml:space="preserve">0.00%/100.00%  </v>
      </c>
      <c r="HU57" s="153"/>
      <c r="HV57" s="153"/>
      <c r="HW57" s="153"/>
      <c r="HX57" s="153"/>
      <c r="HY57" s="153"/>
      <c r="HZ57" s="153"/>
      <c r="IA57" s="153"/>
      <c r="IB57" s="153"/>
      <c r="IC57" s="153"/>
      <c r="ID57" s="153"/>
      <c r="IE57" s="153"/>
      <c r="IF57" s="153"/>
      <c r="IG57" s="153"/>
      <c r="IH57" s="153"/>
      <c r="II57" s="153"/>
      <c r="IJ57" s="153"/>
      <c r="IK57" s="153"/>
      <c r="IL57" s="153"/>
      <c r="IM57" s="153"/>
      <c r="IN57" s="153"/>
      <c r="IO57" s="153"/>
      <c r="IP57" s="153"/>
      <c r="IQ57" s="153"/>
      <c r="IR57" s="153"/>
      <c r="IS57" s="153"/>
      <c r="IT57" s="153"/>
      <c r="IU57" s="153"/>
      <c r="IV57" s="153"/>
      <c r="IW57" s="153"/>
      <c r="IX57" s="153"/>
      <c r="IY57" s="153"/>
      <c r="IZ57" s="153"/>
      <c r="JA57" s="153"/>
      <c r="JB57" s="153"/>
      <c r="JC57" s="153"/>
      <c r="JD57" s="153"/>
      <c r="JE57" s="153"/>
      <c r="JF57" s="153"/>
      <c r="JG57" s="153"/>
      <c r="JH57" s="153"/>
      <c r="JI57" s="153"/>
      <c r="JJ57" s="153"/>
      <c r="JK57" s="153"/>
      <c r="JL57" s="153"/>
      <c r="JM57" s="153"/>
      <c r="JN57" s="153"/>
      <c r="JO57" s="153"/>
      <c r="JP57" s="153"/>
      <c r="JQ57" s="153"/>
      <c r="JR57" s="153"/>
      <c r="JS57" s="153"/>
      <c r="JT57" s="153"/>
      <c r="JU57" s="153"/>
      <c r="JV57" s="153"/>
      <c r="JW57" s="153"/>
    </row>
    <row r="58" spans="1:283" ht="12" customHeight="1" outlineLevel="3">
      <c r="A58" s="123"/>
      <c r="B58" s="123"/>
      <c r="C58" s="123">
        <v>4</v>
      </c>
      <c r="D58" s="151" t="s">
        <v>2013</v>
      </c>
      <c r="E58" s="124"/>
      <c r="F58" s="124"/>
      <c r="G58" s="124"/>
      <c r="H58" s="124" t="s">
        <v>1885</v>
      </c>
      <c r="I58" s="253"/>
      <c r="J58" s="124"/>
      <c r="K58" s="124"/>
      <c r="L58" s="124"/>
      <c r="M58" s="124"/>
      <c r="N58" s="124"/>
      <c r="O58" s="124"/>
      <c r="P58" s="125">
        <v>46013</v>
      </c>
      <c r="Q58" s="125">
        <v>46017</v>
      </c>
      <c r="R58" s="124"/>
      <c r="S58" s="126">
        <v>4</v>
      </c>
      <c r="T58" s="126">
        <v>4</v>
      </c>
      <c r="U58" s="126">
        <v>4</v>
      </c>
      <c r="V58" s="126">
        <v>4</v>
      </c>
      <c r="W58" s="125"/>
      <c r="X58" s="125"/>
      <c r="Y58" s="127">
        <v>0</v>
      </c>
      <c r="Z58" s="128">
        <v>0</v>
      </c>
      <c r="AA58" s="126">
        <v>1</v>
      </c>
      <c r="AB58" s="124"/>
      <c r="AC58" s="129" t="s">
        <v>2033</v>
      </c>
      <c r="AD58" s="150">
        <v>1</v>
      </c>
      <c r="AE58" s="309">
        <v>0</v>
      </c>
      <c r="AF58" s="183"/>
      <c r="AG58" s="153"/>
      <c r="AH58" s="153"/>
      <c r="AI58" s="153"/>
      <c r="AJ58" s="153"/>
      <c r="AK58" s="153"/>
      <c r="AL58" s="153"/>
      <c r="AM58" s="153"/>
      <c r="AN58" s="153"/>
      <c r="AO58" s="153"/>
      <c r="AP58" s="153"/>
      <c r="AQ58" s="153"/>
      <c r="AR58" s="153"/>
      <c r="AS58" s="153"/>
      <c r="AT58" s="153"/>
      <c r="AU58" s="153"/>
      <c r="AV58" s="153"/>
      <c r="AW58" s="153"/>
      <c r="AX58" s="153"/>
      <c r="AY58" s="153"/>
      <c r="AZ58" s="153"/>
      <c r="BA58" s="153"/>
      <c r="BB58" s="153"/>
      <c r="BC58" s="153"/>
      <c r="BD58" s="153"/>
      <c r="BE58" s="153"/>
      <c r="BF58" s="153"/>
      <c r="BG58" s="153"/>
      <c r="BH58" s="153"/>
      <c r="BI58" s="153"/>
      <c r="BJ58" s="153"/>
      <c r="BK58" s="153"/>
      <c r="BL58" s="153"/>
      <c r="BM58" s="153"/>
      <c r="BN58" s="153"/>
      <c r="BO58" s="153"/>
      <c r="BP58" s="153"/>
      <c r="BQ58" s="153"/>
      <c r="BR58" s="153"/>
      <c r="BS58" s="153"/>
      <c r="BT58" s="153"/>
      <c r="BU58" s="153"/>
      <c r="BV58" s="153"/>
      <c r="BW58" s="153"/>
      <c r="BX58" s="153"/>
      <c r="BY58" s="153"/>
      <c r="BZ58" s="153"/>
      <c r="CA58" s="153"/>
      <c r="CB58" s="153"/>
      <c r="CC58" s="153"/>
      <c r="CD58" s="153"/>
      <c r="CE58" s="153"/>
      <c r="CF58" s="153"/>
      <c r="CG58" s="153"/>
      <c r="CH58" s="153"/>
      <c r="CI58" s="153"/>
      <c r="CJ58" s="153"/>
      <c r="CK58" s="153"/>
      <c r="CL58" s="153"/>
      <c r="CM58" s="153"/>
      <c r="CN58" s="153"/>
      <c r="CO58" s="153"/>
      <c r="CP58" s="153"/>
      <c r="CQ58" s="153"/>
      <c r="CR58" s="153"/>
      <c r="CS58" s="153"/>
      <c r="CT58" s="153"/>
      <c r="CU58" s="153"/>
      <c r="CV58" s="153"/>
      <c r="CW58" s="153"/>
      <c r="CX58" s="153"/>
      <c r="CY58" s="153"/>
      <c r="CZ58" s="153"/>
      <c r="DA58" s="153"/>
      <c r="DB58" s="153"/>
      <c r="DC58" s="153"/>
      <c r="DD58" s="153"/>
      <c r="DE58" s="153"/>
      <c r="DF58" s="153"/>
      <c r="DG58" s="153"/>
      <c r="DH58" s="153"/>
      <c r="DI58" s="153"/>
      <c r="DJ58" s="153"/>
      <c r="DK58" s="153"/>
      <c r="DL58" s="153"/>
      <c r="DM58" s="153"/>
      <c r="DN58" s="153"/>
      <c r="DO58" s="153"/>
      <c r="DP58" s="153"/>
      <c r="DQ58" s="153"/>
      <c r="DR58" s="153"/>
      <c r="DS58" s="153"/>
      <c r="DT58" s="153"/>
      <c r="DU58" s="153"/>
      <c r="DV58" s="153"/>
      <c r="DW58" s="153"/>
      <c r="DX58" s="153"/>
      <c r="DY58" s="153"/>
      <c r="DZ58" s="153"/>
      <c r="EA58" s="153"/>
      <c r="EB58" s="153"/>
      <c r="EC58" s="153"/>
      <c r="ED58" s="153"/>
      <c r="EE58" s="153"/>
      <c r="EF58" s="153"/>
      <c r="EG58" s="153"/>
      <c r="EH58" s="153"/>
      <c r="EI58" s="153"/>
      <c r="EJ58" s="153"/>
      <c r="EK58" s="153"/>
      <c r="EL58" s="153"/>
      <c r="EM58" s="153"/>
      <c r="EN58" s="153"/>
      <c r="EO58" s="153"/>
      <c r="EP58" s="153"/>
      <c r="EQ58" s="153"/>
      <c r="ER58" s="153"/>
      <c r="ES58" s="153"/>
      <c r="ET58" s="153"/>
      <c r="EU58" s="153"/>
      <c r="EV58" s="153"/>
      <c r="EW58" s="153"/>
      <c r="EX58" s="153"/>
      <c r="EY58" s="153"/>
      <c r="EZ58" s="153"/>
      <c r="FA58" s="153"/>
      <c r="FB58" s="153"/>
      <c r="FC58" s="153"/>
      <c r="FD58" s="153"/>
      <c r="FE58" s="153"/>
      <c r="FF58" s="153"/>
      <c r="FG58" s="153"/>
      <c r="FH58" s="153"/>
      <c r="FI58" s="153"/>
      <c r="FJ58" s="153"/>
      <c r="FK58" s="153"/>
      <c r="FL58" s="153"/>
      <c r="FM58" s="153"/>
      <c r="FN58" s="153"/>
      <c r="FO58" s="153"/>
      <c r="FP58" s="153"/>
      <c r="FQ58" s="153"/>
      <c r="FR58" s="153"/>
      <c r="FS58" s="153"/>
      <c r="FT58" s="153"/>
      <c r="FU58" s="153"/>
      <c r="FV58" s="153"/>
      <c r="FW58" s="153"/>
      <c r="FX58" s="153"/>
      <c r="FY58" s="153"/>
      <c r="FZ58" s="153"/>
      <c r="GA58" s="153"/>
      <c r="GB58" s="153"/>
      <c r="GC58" s="153"/>
      <c r="GD58" s="153"/>
      <c r="GE58" s="153"/>
      <c r="GF58" s="153"/>
      <c r="GG58" s="153"/>
      <c r="GH58" s="153"/>
      <c r="GI58" s="153"/>
      <c r="GJ58" s="153"/>
      <c r="GK58" s="153"/>
      <c r="GL58" s="153"/>
      <c r="GM58" s="153"/>
      <c r="GN58" s="153"/>
      <c r="GO58" s="153"/>
      <c r="GP58" s="153"/>
      <c r="GQ58" s="153"/>
      <c r="GR58" s="153"/>
      <c r="GS58" s="153"/>
      <c r="GT58" s="153"/>
      <c r="GU58" s="153"/>
      <c r="GV58" s="153"/>
      <c r="GW58" s="153"/>
      <c r="GX58" s="153"/>
      <c r="GY58" s="153"/>
      <c r="GZ58" s="153"/>
      <c r="HA58" s="153"/>
      <c r="HB58" s="153"/>
      <c r="HC58" s="153"/>
      <c r="HD58" s="153"/>
      <c r="HE58" s="153"/>
      <c r="HF58" s="153"/>
      <c r="HG58" s="153"/>
      <c r="HH58" s="153"/>
      <c r="HI58" s="153"/>
      <c r="HJ58" s="153"/>
      <c r="HK58" s="153"/>
      <c r="HL58" s="153"/>
      <c r="HM58" s="153"/>
      <c r="HN58" s="153"/>
      <c r="HO58" s="153"/>
      <c r="HP58" s="153"/>
      <c r="HQ58" s="153"/>
      <c r="HR58" s="153"/>
      <c r="HS58" s="153"/>
      <c r="HT58" s="153"/>
      <c r="HU58" s="153"/>
      <c r="HV58" s="153"/>
      <c r="HW58" s="153"/>
      <c r="HX58" s="153"/>
      <c r="HY58" s="153"/>
      <c r="HZ58" s="153"/>
      <c r="IA58" s="153" t="str">
        <f>"" &amp; TEXT(AE58,"#0.00%") &amp; "/" &amp; TEXT(AD58,"#0.00% ") &amp; "" &amp; "" &amp; " " &amp; ""</f>
        <v xml:space="preserve">0.00%/100.00%  </v>
      </c>
      <c r="IB58" s="153"/>
      <c r="IC58" s="153"/>
      <c r="ID58" s="153"/>
      <c r="IE58" s="153"/>
      <c r="IF58" s="153"/>
      <c r="IG58" s="153"/>
      <c r="IH58" s="153"/>
      <c r="II58" s="153"/>
      <c r="IJ58" s="153"/>
      <c r="IK58" s="153"/>
      <c r="IL58" s="153"/>
      <c r="IM58" s="153"/>
      <c r="IN58" s="153"/>
      <c r="IO58" s="153"/>
      <c r="IP58" s="153"/>
      <c r="IQ58" s="153"/>
      <c r="IR58" s="153"/>
      <c r="IS58" s="153"/>
      <c r="IT58" s="153"/>
      <c r="IU58" s="153"/>
      <c r="IV58" s="153"/>
      <c r="IW58" s="153"/>
      <c r="IX58" s="153"/>
      <c r="IY58" s="153"/>
      <c r="IZ58" s="153"/>
      <c r="JA58" s="153"/>
      <c r="JB58" s="153"/>
      <c r="JC58" s="153"/>
      <c r="JD58" s="153"/>
      <c r="JE58" s="153"/>
      <c r="JF58" s="153"/>
      <c r="JG58" s="153"/>
      <c r="JH58" s="153"/>
      <c r="JI58" s="153"/>
      <c r="JJ58" s="153"/>
      <c r="JK58" s="153"/>
      <c r="JL58" s="153"/>
      <c r="JM58" s="153"/>
      <c r="JN58" s="153"/>
      <c r="JO58" s="153"/>
      <c r="JP58" s="153"/>
      <c r="JQ58" s="153"/>
      <c r="JR58" s="153"/>
      <c r="JS58" s="153"/>
      <c r="JT58" s="153"/>
      <c r="JU58" s="153"/>
      <c r="JV58" s="153"/>
      <c r="JW58" s="153"/>
    </row>
    <row r="59" spans="1:283" ht="12" customHeight="1" outlineLevel="1">
      <c r="A59" s="123"/>
      <c r="B59" s="123" t="s">
        <v>1934</v>
      </c>
      <c r="C59" s="123">
        <v>2</v>
      </c>
      <c r="D59" s="151" t="s">
        <v>2014</v>
      </c>
      <c r="E59" s="124"/>
      <c r="F59" s="124" t="s">
        <v>1843</v>
      </c>
      <c r="G59" s="124"/>
      <c r="H59" s="124"/>
      <c r="I59" s="124"/>
      <c r="J59" s="124"/>
      <c r="K59" s="124"/>
      <c r="L59" s="124"/>
      <c r="M59" s="124"/>
      <c r="N59" s="124"/>
      <c r="O59" s="124"/>
      <c r="P59" s="125">
        <v>45992</v>
      </c>
      <c r="Q59" s="125">
        <v>46053</v>
      </c>
      <c r="R59" s="124"/>
      <c r="S59" s="126">
        <v>37</v>
      </c>
      <c r="T59" s="126">
        <v>13</v>
      </c>
      <c r="U59" s="126">
        <v>43</v>
      </c>
      <c r="V59" s="126">
        <v>19</v>
      </c>
      <c r="W59" s="125"/>
      <c r="X59" s="125"/>
      <c r="Y59" s="127">
        <v>0</v>
      </c>
      <c r="Z59" s="128">
        <v>0</v>
      </c>
      <c r="AA59" s="126"/>
      <c r="AB59" s="124"/>
      <c r="AC59" s="129"/>
      <c r="AD59" s="150">
        <v>0.35135135135135137</v>
      </c>
      <c r="AE59" s="310">
        <v>0</v>
      </c>
      <c r="AF59" s="183"/>
      <c r="AG59" s="153"/>
      <c r="AH59" s="153"/>
      <c r="AI59" s="153"/>
      <c r="AJ59" s="153"/>
      <c r="AK59" s="153"/>
      <c r="AL59" s="153"/>
      <c r="AM59" s="153"/>
      <c r="AN59" s="153"/>
      <c r="AO59" s="153"/>
      <c r="AP59" s="153"/>
      <c r="AQ59" s="153"/>
      <c r="AR59" s="153"/>
      <c r="AS59" s="153"/>
      <c r="AT59" s="153"/>
      <c r="AU59" s="153"/>
      <c r="AV59" s="153"/>
      <c r="AW59" s="153"/>
      <c r="AX59" s="153"/>
      <c r="AY59" s="153"/>
      <c r="AZ59" s="153"/>
      <c r="BA59" s="153"/>
      <c r="BB59" s="153"/>
      <c r="BC59" s="153"/>
      <c r="BD59" s="153"/>
      <c r="BE59" s="153"/>
      <c r="BF59" s="153"/>
      <c r="BG59" s="153"/>
      <c r="BH59" s="153"/>
      <c r="BI59" s="153"/>
      <c r="BJ59" s="153"/>
      <c r="BK59" s="153"/>
      <c r="BL59" s="153"/>
      <c r="BM59" s="153"/>
      <c r="BN59" s="153"/>
      <c r="BO59" s="153"/>
      <c r="BP59" s="153"/>
      <c r="BQ59" s="153"/>
      <c r="BR59" s="153"/>
      <c r="BS59" s="153"/>
      <c r="BT59" s="153"/>
      <c r="BU59" s="153"/>
      <c r="BV59" s="153"/>
      <c r="BW59" s="153"/>
      <c r="BX59" s="153"/>
      <c r="BY59" s="153"/>
      <c r="BZ59" s="153"/>
      <c r="CA59" s="153"/>
      <c r="CB59" s="153"/>
      <c r="CC59" s="153"/>
      <c r="CD59" s="153"/>
      <c r="CE59" s="153"/>
      <c r="CF59" s="153"/>
      <c r="CG59" s="153"/>
      <c r="CH59" s="153"/>
      <c r="CI59" s="153"/>
      <c r="CJ59" s="153"/>
      <c r="CK59" s="153"/>
      <c r="CL59" s="153"/>
      <c r="CM59" s="153"/>
      <c r="CN59" s="153"/>
      <c r="CO59" s="153"/>
      <c r="CP59" s="153"/>
      <c r="CQ59" s="153"/>
      <c r="CR59" s="153"/>
      <c r="CS59" s="153"/>
      <c r="CT59" s="153"/>
      <c r="CU59" s="153"/>
      <c r="CV59" s="153"/>
      <c r="CW59" s="153"/>
      <c r="CX59" s="153"/>
      <c r="CY59" s="153"/>
      <c r="CZ59" s="153"/>
      <c r="DA59" s="153"/>
      <c r="DB59" s="153"/>
      <c r="DC59" s="153"/>
      <c r="DD59" s="153"/>
      <c r="DE59" s="153"/>
      <c r="DF59" s="153"/>
      <c r="DG59" s="153"/>
      <c r="DH59" s="153"/>
      <c r="DI59" s="153"/>
      <c r="DJ59" s="153"/>
      <c r="DK59" s="153"/>
      <c r="DL59" s="153"/>
      <c r="DM59" s="153"/>
      <c r="DN59" s="153"/>
      <c r="DO59" s="153"/>
      <c r="DP59" s="153"/>
      <c r="DQ59" s="153"/>
      <c r="DR59" s="153"/>
      <c r="DS59" s="153"/>
      <c r="DT59" s="153"/>
      <c r="DU59" s="153"/>
      <c r="DV59" s="153"/>
      <c r="DW59" s="153"/>
      <c r="DX59" s="153"/>
      <c r="DY59" s="153"/>
      <c r="DZ59" s="153"/>
      <c r="EA59" s="153"/>
      <c r="EB59" s="153"/>
      <c r="EC59" s="153"/>
      <c r="ED59" s="153"/>
      <c r="EE59" s="153"/>
      <c r="EF59" s="153"/>
      <c r="EG59" s="153"/>
      <c r="EH59" s="153"/>
      <c r="EI59" s="153"/>
      <c r="EJ59" s="153"/>
      <c r="EK59" s="153"/>
      <c r="EL59" s="153"/>
      <c r="EM59" s="153"/>
      <c r="EN59" s="153"/>
      <c r="EO59" s="153"/>
      <c r="EP59" s="153"/>
      <c r="EQ59" s="153"/>
      <c r="ER59" s="153"/>
      <c r="ES59" s="153"/>
      <c r="ET59" s="153"/>
      <c r="EU59" s="153"/>
      <c r="EV59" s="153"/>
      <c r="EW59" s="153"/>
      <c r="EX59" s="153"/>
      <c r="EY59" s="153"/>
      <c r="EZ59" s="153"/>
      <c r="FA59" s="153"/>
      <c r="FB59" s="153"/>
      <c r="FC59" s="153"/>
      <c r="FD59" s="153"/>
      <c r="FE59" s="153"/>
      <c r="FF59" s="153"/>
      <c r="FG59" s="153"/>
      <c r="FH59" s="153"/>
      <c r="FI59" s="153"/>
      <c r="FJ59" s="153"/>
      <c r="FK59" s="153"/>
      <c r="FL59" s="153"/>
      <c r="FM59" s="153"/>
      <c r="FN59" s="153"/>
      <c r="FO59" s="153"/>
      <c r="FP59" s="153"/>
      <c r="FQ59" s="153"/>
      <c r="FR59" s="153"/>
      <c r="FS59" s="153"/>
      <c r="FT59" s="153"/>
      <c r="FU59" s="153"/>
      <c r="FV59" s="153"/>
      <c r="FW59" s="153"/>
      <c r="FX59" s="153"/>
      <c r="FY59" s="153"/>
      <c r="FZ59" s="153"/>
      <c r="GA59" s="153"/>
      <c r="GB59" s="153"/>
      <c r="GC59" s="153"/>
      <c r="GD59" s="153"/>
      <c r="GE59" s="153"/>
      <c r="GF59" s="153"/>
      <c r="GG59" s="153"/>
      <c r="GH59" s="153"/>
      <c r="GI59" s="153"/>
      <c r="GJ59" s="153"/>
      <c r="GK59" s="153"/>
      <c r="GL59" s="153"/>
      <c r="GM59" s="153"/>
      <c r="GN59" s="153"/>
      <c r="GO59" s="153"/>
      <c r="GP59" s="153"/>
      <c r="GQ59" s="153"/>
      <c r="GR59" s="153"/>
      <c r="GS59" s="153"/>
      <c r="GT59" s="153"/>
      <c r="GU59" s="153"/>
      <c r="GV59" s="153"/>
      <c r="GW59" s="153"/>
      <c r="GX59" s="153"/>
      <c r="GY59" s="153"/>
      <c r="GZ59" s="153"/>
      <c r="HA59" s="153"/>
      <c r="HB59" s="153"/>
      <c r="HC59" s="153"/>
      <c r="HD59" s="153"/>
      <c r="HE59" s="153"/>
      <c r="HF59" s="153" t="str">
        <f>"" &amp; TEXT(AE59,"#0.00%") &amp; "/" &amp; TEXT(AD59,"#0.00% ") &amp; ""</f>
        <v xml:space="preserve">0.00%/35.14% </v>
      </c>
      <c r="HG59" s="153"/>
      <c r="HH59" s="153"/>
      <c r="HI59" s="153"/>
      <c r="HJ59" s="153"/>
      <c r="HK59" s="153"/>
      <c r="HL59" s="153"/>
      <c r="HM59" s="153"/>
      <c r="HN59" s="153"/>
      <c r="HO59" s="153"/>
      <c r="HP59" s="153"/>
      <c r="HQ59" s="153"/>
      <c r="HR59" s="153"/>
      <c r="HS59" s="153"/>
      <c r="HT59" s="153"/>
      <c r="HU59" s="153"/>
      <c r="HV59" s="153"/>
      <c r="HW59" s="153"/>
      <c r="HX59" s="153"/>
      <c r="HY59" s="153"/>
      <c r="HZ59" s="153"/>
      <c r="IA59" s="153"/>
      <c r="IB59" s="153"/>
      <c r="IC59" s="153"/>
      <c r="ID59" s="153"/>
      <c r="IE59" s="153"/>
      <c r="IF59" s="153"/>
      <c r="IG59" s="153"/>
      <c r="IH59" s="153"/>
      <c r="II59" s="153"/>
      <c r="IJ59" s="153"/>
      <c r="IK59" s="153"/>
      <c r="IL59" s="153"/>
      <c r="IM59" s="153"/>
      <c r="IN59" s="153"/>
      <c r="IO59" s="153"/>
      <c r="IP59" s="153"/>
      <c r="IQ59" s="153"/>
      <c r="IR59" s="153"/>
      <c r="IS59" s="153"/>
      <c r="IT59" s="153"/>
      <c r="IU59" s="153"/>
      <c r="IV59" s="153"/>
      <c r="IW59" s="153"/>
      <c r="IX59" s="153"/>
      <c r="IY59" s="153"/>
      <c r="IZ59" s="153"/>
      <c r="JA59" s="153"/>
      <c r="JB59" s="153"/>
      <c r="JC59" s="153"/>
      <c r="JD59" s="153"/>
      <c r="JE59" s="153"/>
      <c r="JF59" s="153"/>
      <c r="JG59" s="153"/>
      <c r="JH59" s="153"/>
      <c r="JI59" s="153"/>
      <c r="JJ59" s="153"/>
      <c r="JK59" s="153"/>
      <c r="JL59" s="153"/>
      <c r="JM59" s="153"/>
      <c r="JN59" s="153"/>
      <c r="JO59" s="153"/>
      <c r="JP59" s="153" t="str">
        <f>"" &amp; "" &amp; " " &amp; ""</f>
        <v xml:space="preserve"> </v>
      </c>
      <c r="JQ59" s="153"/>
      <c r="JR59" s="153"/>
      <c r="JS59" s="153"/>
      <c r="JT59" s="153"/>
      <c r="JU59" s="153"/>
      <c r="JV59" s="153"/>
      <c r="JW59" s="153"/>
    </row>
    <row r="60" spans="1:283" ht="12" customHeight="1" outlineLevel="2">
      <c r="A60" s="123"/>
      <c r="B60" s="123" t="s">
        <v>1934</v>
      </c>
      <c r="C60" s="123">
        <v>3</v>
      </c>
      <c r="D60" s="151" t="s">
        <v>2015</v>
      </c>
      <c r="E60" s="124"/>
      <c r="F60" s="124"/>
      <c r="G60" s="124" t="s">
        <v>1469</v>
      </c>
      <c r="H60" s="124"/>
      <c r="I60" s="124"/>
      <c r="J60" s="124"/>
      <c r="K60" s="124"/>
      <c r="L60" s="124"/>
      <c r="M60" s="124"/>
      <c r="N60" s="124"/>
      <c r="O60" s="124"/>
      <c r="P60" s="125">
        <v>45992</v>
      </c>
      <c r="Q60" s="125">
        <v>46003</v>
      </c>
      <c r="R60" s="124"/>
      <c r="S60" s="126">
        <v>10</v>
      </c>
      <c r="T60" s="126">
        <v>10</v>
      </c>
      <c r="U60" s="126">
        <v>10</v>
      </c>
      <c r="V60" s="126">
        <v>10</v>
      </c>
      <c r="W60" s="125"/>
      <c r="X60" s="125"/>
      <c r="Y60" s="127">
        <v>0</v>
      </c>
      <c r="Z60" s="128">
        <v>0</v>
      </c>
      <c r="AA60" s="126"/>
      <c r="AB60" s="124"/>
      <c r="AC60" s="129"/>
      <c r="AD60" s="150">
        <v>1</v>
      </c>
      <c r="AE60" s="310">
        <v>0</v>
      </c>
      <c r="AF60" s="183"/>
      <c r="AG60" s="153"/>
      <c r="AH60" s="153"/>
      <c r="AI60" s="153"/>
      <c r="AJ60" s="153"/>
      <c r="AK60" s="153"/>
      <c r="AL60" s="153"/>
      <c r="AM60" s="153"/>
      <c r="AN60" s="153"/>
      <c r="AO60" s="153"/>
      <c r="AP60" s="153"/>
      <c r="AQ60" s="153"/>
      <c r="AR60" s="153"/>
      <c r="AS60" s="153"/>
      <c r="AT60" s="153"/>
      <c r="AU60" s="153"/>
      <c r="AV60" s="153"/>
      <c r="AW60" s="153"/>
      <c r="AX60" s="153"/>
      <c r="AY60" s="153"/>
      <c r="AZ60" s="153"/>
      <c r="BA60" s="153"/>
      <c r="BB60" s="153"/>
      <c r="BC60" s="153"/>
      <c r="BD60" s="153"/>
      <c r="BE60" s="153"/>
      <c r="BF60" s="153"/>
      <c r="BG60" s="153"/>
      <c r="BH60" s="153"/>
      <c r="BI60" s="153"/>
      <c r="BJ60" s="153"/>
      <c r="BK60" s="153"/>
      <c r="BL60" s="153"/>
      <c r="BM60" s="153"/>
      <c r="BN60" s="153"/>
      <c r="BO60" s="153"/>
      <c r="BP60" s="153"/>
      <c r="BQ60" s="153"/>
      <c r="BR60" s="153"/>
      <c r="BS60" s="153"/>
      <c r="BT60" s="153"/>
      <c r="BU60" s="153"/>
      <c r="BV60" s="153"/>
      <c r="BW60" s="153"/>
      <c r="BX60" s="153"/>
      <c r="BY60" s="153"/>
      <c r="BZ60" s="153"/>
      <c r="CA60" s="153"/>
      <c r="CB60" s="153"/>
      <c r="CC60" s="153"/>
      <c r="CD60" s="153"/>
      <c r="CE60" s="153"/>
      <c r="CF60" s="153"/>
      <c r="CG60" s="153"/>
      <c r="CH60" s="153"/>
      <c r="CI60" s="153"/>
      <c r="CJ60" s="153"/>
      <c r="CK60" s="153"/>
      <c r="CL60" s="153"/>
      <c r="CM60" s="153"/>
      <c r="CN60" s="153"/>
      <c r="CO60" s="153"/>
      <c r="CP60" s="153"/>
      <c r="CQ60" s="153"/>
      <c r="CR60" s="153"/>
      <c r="CS60" s="153"/>
      <c r="CT60" s="153"/>
      <c r="CU60" s="153"/>
      <c r="CV60" s="153"/>
      <c r="CW60" s="153"/>
      <c r="CX60" s="153"/>
      <c r="CY60" s="153"/>
      <c r="CZ60" s="153"/>
      <c r="DA60" s="153"/>
      <c r="DB60" s="153"/>
      <c r="DC60" s="153"/>
      <c r="DD60" s="153"/>
      <c r="DE60" s="153"/>
      <c r="DF60" s="153"/>
      <c r="DG60" s="153"/>
      <c r="DH60" s="153"/>
      <c r="DI60" s="153"/>
      <c r="DJ60" s="153"/>
      <c r="DK60" s="153"/>
      <c r="DL60" s="153"/>
      <c r="DM60" s="153"/>
      <c r="DN60" s="153"/>
      <c r="DO60" s="153"/>
      <c r="DP60" s="153"/>
      <c r="DQ60" s="153"/>
      <c r="DR60" s="153"/>
      <c r="DS60" s="153"/>
      <c r="DT60" s="153"/>
      <c r="DU60" s="153"/>
      <c r="DV60" s="153"/>
      <c r="DW60" s="153"/>
      <c r="DX60" s="153"/>
      <c r="DY60" s="153"/>
      <c r="DZ60" s="153"/>
      <c r="EA60" s="153"/>
      <c r="EB60" s="153"/>
      <c r="EC60" s="153"/>
      <c r="ED60" s="153"/>
      <c r="EE60" s="153"/>
      <c r="EF60" s="153"/>
      <c r="EG60" s="153"/>
      <c r="EH60" s="153"/>
      <c r="EI60" s="153"/>
      <c r="EJ60" s="153"/>
      <c r="EK60" s="153"/>
      <c r="EL60" s="153"/>
      <c r="EM60" s="153"/>
      <c r="EN60" s="153"/>
      <c r="EO60" s="153"/>
      <c r="EP60" s="153"/>
      <c r="EQ60" s="153"/>
      <c r="ER60" s="153"/>
      <c r="ES60" s="153"/>
      <c r="ET60" s="153"/>
      <c r="EU60" s="153"/>
      <c r="EV60" s="153"/>
      <c r="EW60" s="153"/>
      <c r="EX60" s="153"/>
      <c r="EY60" s="153"/>
      <c r="EZ60" s="153"/>
      <c r="FA60" s="153"/>
      <c r="FB60" s="153"/>
      <c r="FC60" s="153"/>
      <c r="FD60" s="153"/>
      <c r="FE60" s="153"/>
      <c r="FF60" s="153"/>
      <c r="FG60" s="153"/>
      <c r="FH60" s="153"/>
      <c r="FI60" s="153"/>
      <c r="FJ60" s="153"/>
      <c r="FK60" s="153"/>
      <c r="FL60" s="153"/>
      <c r="FM60" s="153"/>
      <c r="FN60" s="153"/>
      <c r="FO60" s="153"/>
      <c r="FP60" s="153"/>
      <c r="FQ60" s="153"/>
      <c r="FR60" s="153"/>
      <c r="FS60" s="153"/>
      <c r="FT60" s="153"/>
      <c r="FU60" s="153"/>
      <c r="FV60" s="153"/>
      <c r="FW60" s="153"/>
      <c r="FX60" s="153"/>
      <c r="FY60" s="153"/>
      <c r="FZ60" s="153"/>
      <c r="GA60" s="153"/>
      <c r="GB60" s="153"/>
      <c r="GC60" s="153"/>
      <c r="GD60" s="153"/>
      <c r="GE60" s="153"/>
      <c r="GF60" s="153"/>
      <c r="GG60" s="153"/>
      <c r="GH60" s="153"/>
      <c r="GI60" s="153"/>
      <c r="GJ60" s="153"/>
      <c r="GK60" s="153"/>
      <c r="GL60" s="153"/>
      <c r="GM60" s="153"/>
      <c r="GN60" s="153"/>
      <c r="GO60" s="153"/>
      <c r="GP60" s="153"/>
      <c r="GQ60" s="153"/>
      <c r="GR60" s="153"/>
      <c r="GS60" s="153"/>
      <c r="GT60" s="153"/>
      <c r="GU60" s="153"/>
      <c r="GV60" s="153"/>
      <c r="GW60" s="153"/>
      <c r="GX60" s="153"/>
      <c r="GY60" s="153"/>
      <c r="GZ60" s="153"/>
      <c r="HA60" s="153"/>
      <c r="HB60" s="153"/>
      <c r="HC60" s="153"/>
      <c r="HD60" s="153"/>
      <c r="HE60" s="153"/>
      <c r="HF60" s="153" t="str">
        <f>"" &amp; TEXT(AE60,"#0.00%") &amp; "/" &amp; TEXT(AD60,"#0.00% ") &amp; "" &amp; "" &amp; " " &amp; ""</f>
        <v xml:space="preserve">0.00%/100.00%  </v>
      </c>
      <c r="HG60" s="153"/>
      <c r="HH60" s="153"/>
      <c r="HI60" s="153"/>
      <c r="HJ60" s="153"/>
      <c r="HK60" s="153"/>
      <c r="HL60" s="153"/>
      <c r="HM60" s="153"/>
      <c r="HN60" s="153"/>
      <c r="HO60" s="153"/>
      <c r="HP60" s="153"/>
      <c r="HQ60" s="153"/>
      <c r="HR60" s="153"/>
      <c r="HS60" s="153"/>
      <c r="HT60" s="153"/>
      <c r="HU60" s="153"/>
      <c r="HV60" s="153"/>
      <c r="HW60" s="153"/>
      <c r="HX60" s="153"/>
      <c r="HY60" s="153"/>
      <c r="HZ60" s="153"/>
      <c r="IA60" s="153"/>
      <c r="IB60" s="153"/>
      <c r="IC60" s="153"/>
      <c r="ID60" s="153"/>
      <c r="IE60" s="153"/>
      <c r="IF60" s="153"/>
      <c r="IG60" s="153"/>
      <c r="IH60" s="153"/>
      <c r="II60" s="153"/>
      <c r="IJ60" s="153"/>
      <c r="IK60" s="153"/>
      <c r="IL60" s="153"/>
      <c r="IM60" s="153"/>
      <c r="IN60" s="153"/>
      <c r="IO60" s="153"/>
      <c r="IP60" s="153"/>
      <c r="IQ60" s="153"/>
      <c r="IR60" s="153"/>
      <c r="IS60" s="153"/>
      <c r="IT60" s="153"/>
      <c r="IU60" s="153"/>
      <c r="IV60" s="153"/>
      <c r="IW60" s="153"/>
      <c r="IX60" s="153"/>
      <c r="IY60" s="153"/>
      <c r="IZ60" s="153"/>
      <c r="JA60" s="153"/>
      <c r="JB60" s="153"/>
      <c r="JC60" s="153"/>
      <c r="JD60" s="153"/>
      <c r="JE60" s="153"/>
      <c r="JF60" s="153"/>
      <c r="JG60" s="153"/>
      <c r="JH60" s="153"/>
      <c r="JI60" s="153"/>
      <c r="JJ60" s="153"/>
      <c r="JK60" s="153"/>
      <c r="JL60" s="153"/>
      <c r="JM60" s="153"/>
      <c r="JN60" s="153"/>
      <c r="JO60" s="153"/>
      <c r="JP60" s="153"/>
      <c r="JQ60" s="153"/>
      <c r="JR60" s="153"/>
      <c r="JS60" s="153"/>
      <c r="JT60" s="153"/>
      <c r="JU60" s="153"/>
      <c r="JV60" s="153"/>
      <c r="JW60" s="153"/>
    </row>
    <row r="61" spans="1:283" ht="12" customHeight="1" outlineLevel="3">
      <c r="A61" s="123"/>
      <c r="B61" s="123"/>
      <c r="C61" s="123">
        <v>4</v>
      </c>
      <c r="D61" s="151" t="s">
        <v>2016</v>
      </c>
      <c r="E61" s="124"/>
      <c r="F61" s="124"/>
      <c r="G61" s="124"/>
      <c r="H61" s="124" t="s">
        <v>1886</v>
      </c>
      <c r="I61" s="124"/>
      <c r="J61" s="124"/>
      <c r="K61" s="124"/>
      <c r="L61" s="124"/>
      <c r="M61" s="124"/>
      <c r="N61" s="124"/>
      <c r="O61" s="124"/>
      <c r="P61" s="254">
        <v>45992</v>
      </c>
      <c r="Q61" s="254">
        <v>46003</v>
      </c>
      <c r="R61" s="124"/>
      <c r="S61" s="126">
        <v>10</v>
      </c>
      <c r="T61" s="126">
        <v>10</v>
      </c>
      <c r="U61" s="126">
        <v>10</v>
      </c>
      <c r="V61" s="126">
        <v>10</v>
      </c>
      <c r="W61" s="125"/>
      <c r="X61" s="125"/>
      <c r="Y61" s="127">
        <v>0</v>
      </c>
      <c r="Z61" s="128">
        <v>0</v>
      </c>
      <c r="AA61" s="126">
        <v>1</v>
      </c>
      <c r="AB61" s="124"/>
      <c r="AC61" s="129"/>
      <c r="AD61" s="150">
        <v>1</v>
      </c>
      <c r="AE61" s="309">
        <v>0</v>
      </c>
      <c r="AF61" s="183"/>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3"/>
      <c r="BJ61" s="153"/>
      <c r="BK61" s="153"/>
      <c r="BL61" s="153"/>
      <c r="BM61" s="153"/>
      <c r="BN61" s="153"/>
      <c r="BO61" s="153"/>
      <c r="BP61" s="153"/>
      <c r="BQ61" s="153"/>
      <c r="BR61" s="153"/>
      <c r="BS61" s="153"/>
      <c r="BT61" s="153"/>
      <c r="BU61" s="153"/>
      <c r="BV61" s="153"/>
      <c r="BW61" s="153"/>
      <c r="BX61" s="153"/>
      <c r="BY61" s="153"/>
      <c r="BZ61" s="153"/>
      <c r="CA61" s="153"/>
      <c r="CB61" s="153"/>
      <c r="CC61" s="153"/>
      <c r="CD61" s="153"/>
      <c r="CE61" s="153"/>
      <c r="CF61" s="153"/>
      <c r="CG61" s="153"/>
      <c r="CH61" s="153"/>
      <c r="CI61" s="153"/>
      <c r="CJ61" s="153"/>
      <c r="CK61" s="153"/>
      <c r="CL61" s="153"/>
      <c r="CM61" s="153"/>
      <c r="CN61" s="153"/>
      <c r="CO61" s="153"/>
      <c r="CP61" s="153"/>
      <c r="CQ61" s="153"/>
      <c r="CR61" s="153"/>
      <c r="CS61" s="153"/>
      <c r="CT61" s="153"/>
      <c r="CU61" s="153"/>
      <c r="CV61" s="153"/>
      <c r="CW61" s="153"/>
      <c r="CX61" s="153"/>
      <c r="CY61" s="153"/>
      <c r="CZ61" s="153"/>
      <c r="DA61" s="153"/>
      <c r="DB61" s="153"/>
      <c r="DC61" s="153"/>
      <c r="DD61" s="153"/>
      <c r="DE61" s="153"/>
      <c r="DF61" s="153"/>
      <c r="DG61" s="153"/>
      <c r="DH61" s="153"/>
      <c r="DI61" s="153"/>
      <c r="DJ61" s="153"/>
      <c r="DK61" s="153"/>
      <c r="DL61" s="153"/>
      <c r="DM61" s="153"/>
      <c r="DN61" s="153"/>
      <c r="DO61" s="153"/>
      <c r="DP61" s="153"/>
      <c r="DQ61" s="153"/>
      <c r="DR61" s="153"/>
      <c r="DS61" s="153"/>
      <c r="DT61" s="153"/>
      <c r="DU61" s="153"/>
      <c r="DV61" s="153"/>
      <c r="DW61" s="153"/>
      <c r="DX61" s="153"/>
      <c r="DY61" s="153"/>
      <c r="DZ61" s="153"/>
      <c r="EA61" s="153"/>
      <c r="EB61" s="153"/>
      <c r="EC61" s="153"/>
      <c r="ED61" s="153"/>
      <c r="EE61" s="153"/>
      <c r="EF61" s="153"/>
      <c r="EG61" s="153"/>
      <c r="EH61" s="153"/>
      <c r="EI61" s="153"/>
      <c r="EJ61" s="153"/>
      <c r="EK61" s="153"/>
      <c r="EL61" s="153"/>
      <c r="EM61" s="153"/>
      <c r="EN61" s="153"/>
      <c r="EO61" s="153"/>
      <c r="EP61" s="153"/>
      <c r="EQ61" s="153"/>
      <c r="ER61" s="153"/>
      <c r="ES61" s="153"/>
      <c r="ET61" s="153"/>
      <c r="EU61" s="153"/>
      <c r="EV61" s="153"/>
      <c r="EW61" s="153"/>
      <c r="EX61" s="153"/>
      <c r="EY61" s="153"/>
      <c r="EZ61" s="153"/>
      <c r="FA61" s="153"/>
      <c r="FB61" s="153"/>
      <c r="FC61" s="153"/>
      <c r="FD61" s="153"/>
      <c r="FE61" s="153"/>
      <c r="FF61" s="153"/>
      <c r="FG61" s="153"/>
      <c r="FH61" s="153"/>
      <c r="FI61" s="153"/>
      <c r="FJ61" s="153"/>
      <c r="FK61" s="153"/>
      <c r="FL61" s="153"/>
      <c r="FM61" s="153"/>
      <c r="FN61" s="153"/>
      <c r="FO61" s="153"/>
      <c r="FP61" s="153"/>
      <c r="FQ61" s="153"/>
      <c r="FR61" s="153"/>
      <c r="FS61" s="153"/>
      <c r="FT61" s="153"/>
      <c r="FU61" s="153"/>
      <c r="FV61" s="153"/>
      <c r="FW61" s="153"/>
      <c r="FX61" s="153"/>
      <c r="FY61" s="153"/>
      <c r="FZ61" s="153"/>
      <c r="GA61" s="153"/>
      <c r="GB61" s="153"/>
      <c r="GC61" s="153"/>
      <c r="GD61" s="153"/>
      <c r="GE61" s="153"/>
      <c r="GF61" s="153"/>
      <c r="GG61" s="153"/>
      <c r="GH61" s="153"/>
      <c r="GI61" s="153"/>
      <c r="GJ61" s="153"/>
      <c r="GK61" s="153"/>
      <c r="GL61" s="153"/>
      <c r="GM61" s="153"/>
      <c r="GN61" s="153"/>
      <c r="GO61" s="153"/>
      <c r="GP61" s="153"/>
      <c r="GQ61" s="153"/>
      <c r="GR61" s="153"/>
      <c r="GS61" s="153"/>
      <c r="GT61" s="153"/>
      <c r="GU61" s="153"/>
      <c r="GV61" s="153"/>
      <c r="GW61" s="153"/>
      <c r="GX61" s="153"/>
      <c r="GY61" s="153"/>
      <c r="GZ61" s="153"/>
      <c r="HA61" s="153"/>
      <c r="HB61" s="153"/>
      <c r="HC61" s="153"/>
      <c r="HD61" s="153"/>
      <c r="HE61" s="153"/>
      <c r="HF61" s="153" t="str">
        <f>"" &amp; TEXT(AE61,"#0.00%") &amp; "/" &amp; TEXT(AD61,"#0.00% ") &amp; "" &amp; "" &amp; " " &amp; ""</f>
        <v xml:space="preserve">0.00%/100.00%  </v>
      </c>
      <c r="HG61" s="153"/>
      <c r="HH61" s="153"/>
      <c r="HI61" s="153"/>
      <c r="HJ61" s="153"/>
      <c r="HK61" s="153"/>
      <c r="HL61" s="153"/>
      <c r="HM61" s="153"/>
      <c r="HN61" s="153"/>
      <c r="HO61" s="153"/>
      <c r="HP61" s="153"/>
      <c r="HQ61" s="153"/>
      <c r="HR61" s="153"/>
      <c r="HS61" s="153"/>
      <c r="HT61" s="153"/>
      <c r="HU61" s="153"/>
      <c r="HV61" s="153"/>
      <c r="HW61" s="153"/>
      <c r="HX61" s="153"/>
      <c r="HY61" s="153"/>
      <c r="HZ61" s="153"/>
      <c r="IA61" s="153"/>
      <c r="IB61" s="153"/>
      <c r="IC61" s="153"/>
      <c r="ID61" s="153"/>
      <c r="IE61" s="153"/>
      <c r="IF61" s="153"/>
      <c r="IG61" s="153"/>
      <c r="IH61" s="153"/>
      <c r="II61" s="153"/>
      <c r="IJ61" s="153"/>
      <c r="IK61" s="153"/>
      <c r="IL61" s="153"/>
      <c r="IM61" s="153"/>
      <c r="IN61" s="153"/>
      <c r="IO61" s="153"/>
      <c r="IP61" s="153"/>
      <c r="IQ61" s="153"/>
      <c r="IR61" s="153"/>
      <c r="IS61" s="153"/>
      <c r="IT61" s="153"/>
      <c r="IU61" s="153"/>
      <c r="IV61" s="153"/>
      <c r="IW61" s="153"/>
      <c r="IX61" s="153"/>
      <c r="IY61" s="153"/>
      <c r="IZ61" s="153"/>
      <c r="JA61" s="153"/>
      <c r="JB61" s="153"/>
      <c r="JC61" s="153"/>
      <c r="JD61" s="153"/>
      <c r="JE61" s="153"/>
      <c r="JF61" s="153"/>
      <c r="JG61" s="153"/>
      <c r="JH61" s="153"/>
      <c r="JI61" s="153"/>
      <c r="JJ61" s="153"/>
      <c r="JK61" s="153"/>
      <c r="JL61" s="153"/>
      <c r="JM61" s="153"/>
      <c r="JN61" s="153"/>
      <c r="JO61" s="153"/>
      <c r="JP61" s="153"/>
      <c r="JQ61" s="153"/>
      <c r="JR61" s="153"/>
      <c r="JS61" s="153"/>
      <c r="JT61" s="153"/>
      <c r="JU61" s="153"/>
      <c r="JV61" s="153"/>
      <c r="JW61" s="153"/>
    </row>
    <row r="62" spans="1:283" ht="12" customHeight="1" outlineLevel="2">
      <c r="A62" s="123"/>
      <c r="B62" s="123" t="s">
        <v>1934</v>
      </c>
      <c r="C62" s="123">
        <v>3</v>
      </c>
      <c r="D62" s="151" t="s">
        <v>2017</v>
      </c>
      <c r="E62" s="124"/>
      <c r="F62" s="124"/>
      <c r="G62" s="124" t="s">
        <v>1472</v>
      </c>
      <c r="H62" s="124"/>
      <c r="I62" s="124"/>
      <c r="J62" s="124"/>
      <c r="K62" s="124"/>
      <c r="L62" s="124"/>
      <c r="M62" s="124"/>
      <c r="N62" s="124"/>
      <c r="O62" s="124"/>
      <c r="P62" s="125">
        <v>46013</v>
      </c>
      <c r="Q62" s="125">
        <v>46053</v>
      </c>
      <c r="R62" s="124"/>
      <c r="S62" s="126">
        <v>27</v>
      </c>
      <c r="T62" s="126">
        <v>3</v>
      </c>
      <c r="U62" s="126">
        <v>29</v>
      </c>
      <c r="V62" s="126">
        <v>5</v>
      </c>
      <c r="W62" s="125"/>
      <c r="X62" s="125"/>
      <c r="Y62" s="127">
        <v>0</v>
      </c>
      <c r="Z62" s="128">
        <v>0</v>
      </c>
      <c r="AA62" s="126"/>
      <c r="AB62" s="124"/>
      <c r="AC62" s="129"/>
      <c r="AD62" s="150">
        <v>0.1111111111111111</v>
      </c>
      <c r="AE62" s="310">
        <v>0</v>
      </c>
      <c r="AF62" s="183"/>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3"/>
      <c r="BJ62" s="153"/>
      <c r="BK62" s="153"/>
      <c r="BL62" s="153"/>
      <c r="BM62" s="153"/>
      <c r="BN62" s="153"/>
      <c r="BO62" s="153"/>
      <c r="BP62" s="153"/>
      <c r="BQ62" s="153"/>
      <c r="BR62" s="153"/>
      <c r="BS62" s="153"/>
      <c r="BT62" s="153"/>
      <c r="BU62" s="153"/>
      <c r="BV62" s="153"/>
      <c r="BW62" s="153"/>
      <c r="BX62" s="153"/>
      <c r="BY62" s="153"/>
      <c r="BZ62" s="153"/>
      <c r="CA62" s="153"/>
      <c r="CB62" s="153"/>
      <c r="CC62" s="153"/>
      <c r="CD62" s="153"/>
      <c r="CE62" s="153"/>
      <c r="CF62" s="153"/>
      <c r="CG62" s="153"/>
      <c r="CH62" s="153"/>
      <c r="CI62" s="153"/>
      <c r="CJ62" s="153"/>
      <c r="CK62" s="153"/>
      <c r="CL62" s="153"/>
      <c r="CM62" s="153"/>
      <c r="CN62" s="153"/>
      <c r="CO62" s="153"/>
      <c r="CP62" s="153"/>
      <c r="CQ62" s="153"/>
      <c r="CR62" s="153"/>
      <c r="CS62" s="153"/>
      <c r="CT62" s="153"/>
      <c r="CU62" s="153"/>
      <c r="CV62" s="153"/>
      <c r="CW62" s="153"/>
      <c r="CX62" s="153"/>
      <c r="CY62" s="153"/>
      <c r="CZ62" s="153"/>
      <c r="DA62" s="153"/>
      <c r="DB62" s="153"/>
      <c r="DC62" s="153"/>
      <c r="DD62" s="153"/>
      <c r="DE62" s="153"/>
      <c r="DF62" s="153"/>
      <c r="DG62" s="153"/>
      <c r="DH62" s="153"/>
      <c r="DI62" s="153"/>
      <c r="DJ62" s="153"/>
      <c r="DK62" s="153"/>
      <c r="DL62" s="153"/>
      <c r="DM62" s="153"/>
      <c r="DN62" s="153"/>
      <c r="DO62" s="153"/>
      <c r="DP62" s="153"/>
      <c r="DQ62" s="153"/>
      <c r="DR62" s="153"/>
      <c r="DS62" s="153"/>
      <c r="DT62" s="153"/>
      <c r="DU62" s="153"/>
      <c r="DV62" s="153"/>
      <c r="DW62" s="153"/>
      <c r="DX62" s="153"/>
      <c r="DY62" s="153"/>
      <c r="DZ62" s="153"/>
      <c r="EA62" s="153"/>
      <c r="EB62" s="153"/>
      <c r="EC62" s="153"/>
      <c r="ED62" s="153"/>
      <c r="EE62" s="153"/>
      <c r="EF62" s="153"/>
      <c r="EG62" s="153"/>
      <c r="EH62" s="153"/>
      <c r="EI62" s="153"/>
      <c r="EJ62" s="153"/>
      <c r="EK62" s="153"/>
      <c r="EL62" s="153"/>
      <c r="EM62" s="153"/>
      <c r="EN62" s="153"/>
      <c r="EO62" s="153"/>
      <c r="EP62" s="153"/>
      <c r="EQ62" s="153"/>
      <c r="ER62" s="153"/>
      <c r="ES62" s="153"/>
      <c r="ET62" s="153"/>
      <c r="EU62" s="153"/>
      <c r="EV62" s="153"/>
      <c r="EW62" s="153"/>
      <c r="EX62" s="153"/>
      <c r="EY62" s="153"/>
      <c r="EZ62" s="153"/>
      <c r="FA62" s="153"/>
      <c r="FB62" s="153"/>
      <c r="FC62" s="153"/>
      <c r="FD62" s="153"/>
      <c r="FE62" s="153"/>
      <c r="FF62" s="153"/>
      <c r="FG62" s="153"/>
      <c r="FH62" s="153"/>
      <c r="FI62" s="153"/>
      <c r="FJ62" s="153"/>
      <c r="FK62" s="153"/>
      <c r="FL62" s="153"/>
      <c r="FM62" s="153"/>
      <c r="FN62" s="153"/>
      <c r="FO62" s="153"/>
      <c r="FP62" s="153"/>
      <c r="FQ62" s="153"/>
      <c r="FR62" s="153"/>
      <c r="FS62" s="153"/>
      <c r="FT62" s="153"/>
      <c r="FU62" s="153"/>
      <c r="FV62" s="153"/>
      <c r="FW62" s="153"/>
      <c r="FX62" s="153"/>
      <c r="FY62" s="153"/>
      <c r="FZ62" s="153"/>
      <c r="GA62" s="153"/>
      <c r="GB62" s="153"/>
      <c r="GC62" s="153"/>
      <c r="GD62" s="153"/>
      <c r="GE62" s="153"/>
      <c r="GF62" s="153"/>
      <c r="GG62" s="153"/>
      <c r="GH62" s="153"/>
      <c r="GI62" s="153"/>
      <c r="GJ62" s="153"/>
      <c r="GK62" s="153"/>
      <c r="GL62" s="153"/>
      <c r="GM62" s="153"/>
      <c r="GN62" s="153"/>
      <c r="GO62" s="153"/>
      <c r="GP62" s="153"/>
      <c r="GQ62" s="153"/>
      <c r="GR62" s="153"/>
      <c r="GS62" s="153"/>
      <c r="GT62" s="153"/>
      <c r="GU62" s="153"/>
      <c r="GV62" s="153"/>
      <c r="GW62" s="153"/>
      <c r="GX62" s="153"/>
      <c r="GY62" s="153"/>
      <c r="GZ62" s="153"/>
      <c r="HA62" s="153"/>
      <c r="HB62" s="153"/>
      <c r="HC62" s="153"/>
      <c r="HD62" s="153"/>
      <c r="HE62" s="153"/>
      <c r="HF62" s="153"/>
      <c r="HG62" s="153"/>
      <c r="HH62" s="153"/>
      <c r="HI62" s="153"/>
      <c r="HJ62" s="153"/>
      <c r="HK62" s="153"/>
      <c r="HL62" s="153"/>
      <c r="HM62" s="153"/>
      <c r="HN62" s="153"/>
      <c r="HO62" s="153"/>
      <c r="HP62" s="153"/>
      <c r="HQ62" s="153"/>
      <c r="HR62" s="153"/>
      <c r="HS62" s="153"/>
      <c r="HT62" s="153"/>
      <c r="HU62" s="153"/>
      <c r="HV62" s="153"/>
      <c r="HW62" s="153"/>
      <c r="HX62" s="153"/>
      <c r="HY62" s="153"/>
      <c r="HZ62" s="153"/>
      <c r="IA62" s="153" t="str">
        <f>"" &amp; TEXT(AE62,"#0.00%") &amp; "/" &amp; TEXT(AD62,"#0.00% ") &amp; ""</f>
        <v xml:space="preserve">0.00%/11.11% </v>
      </c>
      <c r="IB62" s="153"/>
      <c r="IC62" s="153"/>
      <c r="ID62" s="153"/>
      <c r="IE62" s="153"/>
      <c r="IF62" s="153"/>
      <c r="IG62" s="153"/>
      <c r="IH62" s="153"/>
      <c r="II62" s="153"/>
      <c r="IJ62" s="153"/>
      <c r="IK62" s="153"/>
      <c r="IL62" s="153"/>
      <c r="IM62" s="153"/>
      <c r="IN62" s="153"/>
      <c r="IO62" s="153"/>
      <c r="IP62" s="153"/>
      <c r="IQ62" s="153"/>
      <c r="IR62" s="153"/>
      <c r="IS62" s="153"/>
      <c r="IT62" s="153"/>
      <c r="IU62" s="153"/>
      <c r="IV62" s="153"/>
      <c r="IW62" s="153"/>
      <c r="IX62" s="153"/>
      <c r="IY62" s="153"/>
      <c r="IZ62" s="153"/>
      <c r="JA62" s="153"/>
      <c r="JB62" s="153"/>
      <c r="JC62" s="153"/>
      <c r="JD62" s="153"/>
      <c r="JE62" s="153"/>
      <c r="JF62" s="153"/>
      <c r="JG62" s="153"/>
      <c r="JH62" s="153"/>
      <c r="JI62" s="153"/>
      <c r="JJ62" s="153"/>
      <c r="JK62" s="153"/>
      <c r="JL62" s="153"/>
      <c r="JM62" s="153"/>
      <c r="JN62" s="153"/>
      <c r="JO62" s="153"/>
      <c r="JP62" s="153" t="str">
        <f>"" &amp; "" &amp; " " &amp; ""</f>
        <v xml:space="preserve"> </v>
      </c>
      <c r="JQ62" s="153"/>
      <c r="JR62" s="153"/>
      <c r="JS62" s="153"/>
      <c r="JT62" s="153"/>
      <c r="JU62" s="153"/>
      <c r="JV62" s="153"/>
      <c r="JW62" s="153"/>
    </row>
    <row r="63" spans="1:283" ht="12" customHeight="1" outlineLevel="3">
      <c r="A63" s="123"/>
      <c r="B63" s="123" t="s">
        <v>1934</v>
      </c>
      <c r="C63" s="123">
        <v>4</v>
      </c>
      <c r="D63" s="151" t="s">
        <v>2018</v>
      </c>
      <c r="E63" s="124"/>
      <c r="F63" s="124"/>
      <c r="G63" s="124"/>
      <c r="H63" s="124" t="s">
        <v>1711</v>
      </c>
      <c r="I63" s="124"/>
      <c r="J63" s="124"/>
      <c r="K63" s="124"/>
      <c r="L63" s="124"/>
      <c r="M63" s="124"/>
      <c r="N63" s="124"/>
      <c r="O63" s="124"/>
      <c r="P63" s="125">
        <v>46013</v>
      </c>
      <c r="Q63" s="125">
        <v>46013</v>
      </c>
      <c r="R63" s="124"/>
      <c r="S63" s="126">
        <v>1</v>
      </c>
      <c r="T63" s="126">
        <v>1</v>
      </c>
      <c r="U63" s="126">
        <v>1</v>
      </c>
      <c r="V63" s="126">
        <v>1</v>
      </c>
      <c r="W63" s="125"/>
      <c r="X63" s="125"/>
      <c r="Y63" s="127">
        <v>0</v>
      </c>
      <c r="Z63" s="128">
        <v>0</v>
      </c>
      <c r="AA63" s="126"/>
      <c r="AB63" s="124"/>
      <c r="AC63" s="129"/>
      <c r="AD63" s="150">
        <v>1</v>
      </c>
      <c r="AE63" s="310">
        <v>0</v>
      </c>
      <c r="AF63" s="183"/>
      <c r="AG63" s="153"/>
      <c r="AH63" s="153"/>
      <c r="AI63" s="153"/>
      <c r="AJ63" s="153"/>
      <c r="AK63" s="153"/>
      <c r="AL63" s="153"/>
      <c r="AM63" s="153"/>
      <c r="AN63" s="153"/>
      <c r="AO63" s="153"/>
      <c r="AP63" s="153"/>
      <c r="AQ63" s="153"/>
      <c r="AR63" s="153"/>
      <c r="AS63" s="153"/>
      <c r="AT63" s="153"/>
      <c r="AU63" s="153"/>
      <c r="AV63" s="153"/>
      <c r="AW63" s="153"/>
      <c r="AX63" s="153"/>
      <c r="AY63" s="153"/>
      <c r="AZ63" s="153"/>
      <c r="BA63" s="153"/>
      <c r="BB63" s="153"/>
      <c r="BC63" s="153"/>
      <c r="BD63" s="153"/>
      <c r="BE63" s="153"/>
      <c r="BF63" s="153"/>
      <c r="BG63" s="153"/>
      <c r="BH63" s="153"/>
      <c r="BI63" s="153"/>
      <c r="BJ63" s="153"/>
      <c r="BK63" s="153"/>
      <c r="BL63" s="153"/>
      <c r="BM63" s="153"/>
      <c r="BN63" s="153"/>
      <c r="BO63" s="153"/>
      <c r="BP63" s="153"/>
      <c r="BQ63" s="153"/>
      <c r="BR63" s="153"/>
      <c r="BS63" s="153"/>
      <c r="BT63" s="153"/>
      <c r="BU63" s="153"/>
      <c r="BV63" s="153"/>
      <c r="BW63" s="153"/>
      <c r="BX63" s="153"/>
      <c r="BY63" s="153"/>
      <c r="BZ63" s="153"/>
      <c r="CA63" s="153"/>
      <c r="CB63" s="153"/>
      <c r="CC63" s="153"/>
      <c r="CD63" s="153"/>
      <c r="CE63" s="153"/>
      <c r="CF63" s="153"/>
      <c r="CG63" s="153"/>
      <c r="CH63" s="153"/>
      <c r="CI63" s="153"/>
      <c r="CJ63" s="153"/>
      <c r="CK63" s="153"/>
      <c r="CL63" s="153"/>
      <c r="CM63" s="153"/>
      <c r="CN63" s="153"/>
      <c r="CO63" s="153"/>
      <c r="CP63" s="153"/>
      <c r="CQ63" s="153"/>
      <c r="CR63" s="153"/>
      <c r="CS63" s="153"/>
      <c r="CT63" s="153"/>
      <c r="CU63" s="153"/>
      <c r="CV63" s="153"/>
      <c r="CW63" s="153"/>
      <c r="CX63" s="153"/>
      <c r="CY63" s="153"/>
      <c r="CZ63" s="153"/>
      <c r="DA63" s="153"/>
      <c r="DB63" s="153"/>
      <c r="DC63" s="153"/>
      <c r="DD63" s="153"/>
      <c r="DE63" s="153"/>
      <c r="DF63" s="153"/>
      <c r="DG63" s="153"/>
      <c r="DH63" s="153"/>
      <c r="DI63" s="153"/>
      <c r="DJ63" s="153"/>
      <c r="DK63" s="153"/>
      <c r="DL63" s="153"/>
      <c r="DM63" s="153"/>
      <c r="DN63" s="153"/>
      <c r="DO63" s="153"/>
      <c r="DP63" s="153"/>
      <c r="DQ63" s="153"/>
      <c r="DR63" s="153"/>
      <c r="DS63" s="153"/>
      <c r="DT63" s="153"/>
      <c r="DU63" s="153"/>
      <c r="DV63" s="153"/>
      <c r="DW63" s="153"/>
      <c r="DX63" s="153"/>
      <c r="DY63" s="153"/>
      <c r="DZ63" s="153"/>
      <c r="EA63" s="153"/>
      <c r="EB63" s="153"/>
      <c r="EC63" s="153"/>
      <c r="ED63" s="153"/>
      <c r="EE63" s="153"/>
      <c r="EF63" s="153"/>
      <c r="EG63" s="153"/>
      <c r="EH63" s="153"/>
      <c r="EI63" s="153"/>
      <c r="EJ63" s="153"/>
      <c r="EK63" s="153"/>
      <c r="EL63" s="153"/>
      <c r="EM63" s="153"/>
      <c r="EN63" s="153"/>
      <c r="EO63" s="153"/>
      <c r="EP63" s="153"/>
      <c r="EQ63" s="153"/>
      <c r="ER63" s="153"/>
      <c r="ES63" s="153"/>
      <c r="ET63" s="153"/>
      <c r="EU63" s="153"/>
      <c r="EV63" s="153"/>
      <c r="EW63" s="153"/>
      <c r="EX63" s="153"/>
      <c r="EY63" s="153"/>
      <c r="EZ63" s="153"/>
      <c r="FA63" s="153"/>
      <c r="FB63" s="153"/>
      <c r="FC63" s="153"/>
      <c r="FD63" s="153"/>
      <c r="FE63" s="153"/>
      <c r="FF63" s="153"/>
      <c r="FG63" s="153"/>
      <c r="FH63" s="153"/>
      <c r="FI63" s="153"/>
      <c r="FJ63" s="153"/>
      <c r="FK63" s="153"/>
      <c r="FL63" s="153"/>
      <c r="FM63" s="153"/>
      <c r="FN63" s="153"/>
      <c r="FO63" s="153"/>
      <c r="FP63" s="153"/>
      <c r="FQ63" s="153"/>
      <c r="FR63" s="153"/>
      <c r="FS63" s="153"/>
      <c r="FT63" s="153"/>
      <c r="FU63" s="153"/>
      <c r="FV63" s="153"/>
      <c r="FW63" s="153"/>
      <c r="FX63" s="153"/>
      <c r="FY63" s="153"/>
      <c r="FZ63" s="153"/>
      <c r="GA63" s="153"/>
      <c r="GB63" s="153"/>
      <c r="GC63" s="153"/>
      <c r="GD63" s="153"/>
      <c r="GE63" s="153"/>
      <c r="GF63" s="153"/>
      <c r="GG63" s="153"/>
      <c r="GH63" s="153"/>
      <c r="GI63" s="153"/>
      <c r="GJ63" s="153"/>
      <c r="GK63" s="153"/>
      <c r="GL63" s="153"/>
      <c r="GM63" s="153"/>
      <c r="GN63" s="153"/>
      <c r="GO63" s="153"/>
      <c r="GP63" s="153"/>
      <c r="GQ63" s="153"/>
      <c r="GR63" s="153"/>
      <c r="GS63" s="153"/>
      <c r="GT63" s="153"/>
      <c r="GU63" s="153"/>
      <c r="GV63" s="153"/>
      <c r="GW63" s="153"/>
      <c r="GX63" s="153"/>
      <c r="GY63" s="153"/>
      <c r="GZ63" s="153"/>
      <c r="HA63" s="153"/>
      <c r="HB63" s="153"/>
      <c r="HC63" s="153"/>
      <c r="HD63" s="153"/>
      <c r="HE63" s="153"/>
      <c r="HF63" s="153"/>
      <c r="HG63" s="153"/>
      <c r="HH63" s="153"/>
      <c r="HI63" s="153"/>
      <c r="HJ63" s="153"/>
      <c r="HK63" s="153"/>
      <c r="HL63" s="153"/>
      <c r="HM63" s="153"/>
      <c r="HN63" s="153"/>
      <c r="HO63" s="153"/>
      <c r="HP63" s="153"/>
      <c r="HQ63" s="153"/>
      <c r="HR63" s="153"/>
      <c r="HS63" s="153"/>
      <c r="HT63" s="153"/>
      <c r="HU63" s="153"/>
      <c r="HV63" s="153"/>
      <c r="HW63" s="153"/>
      <c r="HX63" s="153"/>
      <c r="HY63" s="153"/>
      <c r="HZ63" s="153"/>
      <c r="IA63" s="153" t="str">
        <f>"" &amp; TEXT(AE63,"#0.00%") &amp; "/" &amp; TEXT(AD63,"#0.00% ") &amp; "" &amp; "" &amp; " " &amp; ""</f>
        <v xml:space="preserve">0.00%/100.00%  </v>
      </c>
      <c r="IB63" s="153"/>
      <c r="IC63" s="153"/>
      <c r="ID63" s="153"/>
      <c r="IE63" s="153"/>
      <c r="IF63" s="153"/>
      <c r="IG63" s="153"/>
      <c r="IH63" s="153"/>
      <c r="II63" s="153"/>
      <c r="IJ63" s="153"/>
      <c r="IK63" s="153"/>
      <c r="IL63" s="153"/>
      <c r="IM63" s="153"/>
      <c r="IN63" s="153"/>
      <c r="IO63" s="153"/>
      <c r="IP63" s="153"/>
      <c r="IQ63" s="153"/>
      <c r="IR63" s="153"/>
      <c r="IS63" s="153"/>
      <c r="IT63" s="153"/>
      <c r="IU63" s="153"/>
      <c r="IV63" s="153"/>
      <c r="IW63" s="153"/>
      <c r="IX63" s="153"/>
      <c r="IY63" s="153"/>
      <c r="IZ63" s="153"/>
      <c r="JA63" s="153"/>
      <c r="JB63" s="153"/>
      <c r="JC63" s="153"/>
      <c r="JD63" s="153"/>
      <c r="JE63" s="153"/>
      <c r="JF63" s="153"/>
      <c r="JG63" s="153"/>
      <c r="JH63" s="153"/>
      <c r="JI63" s="153"/>
      <c r="JJ63" s="153"/>
      <c r="JK63" s="153"/>
      <c r="JL63" s="153"/>
      <c r="JM63" s="153"/>
      <c r="JN63" s="153"/>
      <c r="JO63" s="153"/>
      <c r="JP63" s="153"/>
      <c r="JQ63" s="153"/>
      <c r="JR63" s="153"/>
      <c r="JS63" s="153"/>
      <c r="JT63" s="153"/>
      <c r="JU63" s="153"/>
      <c r="JV63" s="153"/>
      <c r="JW63" s="153"/>
    </row>
    <row r="64" spans="1:283" ht="12" customHeight="1" outlineLevel="4">
      <c r="A64" s="123"/>
      <c r="B64" s="123"/>
      <c r="C64" s="123">
        <v>5</v>
      </c>
      <c r="D64" s="151" t="s">
        <v>2019</v>
      </c>
      <c r="E64" s="124"/>
      <c r="F64" s="124"/>
      <c r="G64" s="124"/>
      <c r="H64" s="124"/>
      <c r="I64" s="124" t="s">
        <v>1829</v>
      </c>
      <c r="J64" s="124"/>
      <c r="K64" s="124"/>
      <c r="L64" s="124"/>
      <c r="M64" s="124"/>
      <c r="N64" s="124"/>
      <c r="O64" s="124"/>
      <c r="P64" s="125">
        <v>46013</v>
      </c>
      <c r="Q64" s="125">
        <v>46013</v>
      </c>
      <c r="R64" s="124"/>
      <c r="S64" s="126">
        <v>1</v>
      </c>
      <c r="T64" s="126">
        <v>1</v>
      </c>
      <c r="U64" s="126">
        <v>1</v>
      </c>
      <c r="V64" s="126">
        <v>1</v>
      </c>
      <c r="W64" s="125"/>
      <c r="X64" s="125"/>
      <c r="Y64" s="127">
        <v>0</v>
      </c>
      <c r="Z64" s="128">
        <v>0</v>
      </c>
      <c r="AA64" s="126">
        <v>1</v>
      </c>
      <c r="AB64" s="124"/>
      <c r="AC64" s="129"/>
      <c r="AD64" s="150">
        <v>1</v>
      </c>
      <c r="AE64" s="309">
        <v>0</v>
      </c>
      <c r="AF64" s="183"/>
      <c r="AG64" s="153"/>
      <c r="AH64" s="153"/>
      <c r="AI64" s="153"/>
      <c r="AJ64" s="153"/>
      <c r="AK64" s="153"/>
      <c r="AL64" s="153"/>
      <c r="AM64" s="153"/>
      <c r="AN64" s="153"/>
      <c r="AO64" s="153"/>
      <c r="AP64" s="153"/>
      <c r="AQ64" s="153"/>
      <c r="AR64" s="153"/>
      <c r="AS64" s="153"/>
      <c r="AT64" s="153"/>
      <c r="AU64" s="153"/>
      <c r="AV64" s="153"/>
      <c r="AW64" s="153"/>
      <c r="AX64" s="153"/>
      <c r="AY64" s="153"/>
      <c r="AZ64" s="153"/>
      <c r="BA64" s="153"/>
      <c r="BB64" s="153"/>
      <c r="BC64" s="153"/>
      <c r="BD64" s="153"/>
      <c r="BE64" s="153"/>
      <c r="BF64" s="153"/>
      <c r="BG64" s="153"/>
      <c r="BH64" s="153"/>
      <c r="BI64" s="153"/>
      <c r="BJ64" s="153"/>
      <c r="BK64" s="153"/>
      <c r="BL64" s="153"/>
      <c r="BM64" s="153"/>
      <c r="BN64" s="153"/>
      <c r="BO64" s="153"/>
      <c r="BP64" s="153"/>
      <c r="BQ64" s="153"/>
      <c r="BR64" s="153"/>
      <c r="BS64" s="153"/>
      <c r="BT64" s="153"/>
      <c r="BU64" s="153"/>
      <c r="BV64" s="153"/>
      <c r="BW64" s="153"/>
      <c r="BX64" s="153"/>
      <c r="BY64" s="153"/>
      <c r="BZ64" s="153"/>
      <c r="CA64" s="153"/>
      <c r="CB64" s="153"/>
      <c r="CC64" s="153"/>
      <c r="CD64" s="153"/>
      <c r="CE64" s="153"/>
      <c r="CF64" s="153"/>
      <c r="CG64" s="153"/>
      <c r="CH64" s="153"/>
      <c r="CI64" s="153"/>
      <c r="CJ64" s="153"/>
      <c r="CK64" s="153"/>
      <c r="CL64" s="153"/>
      <c r="CM64" s="153"/>
      <c r="CN64" s="153"/>
      <c r="CO64" s="153"/>
      <c r="CP64" s="153"/>
      <c r="CQ64" s="153"/>
      <c r="CR64" s="153"/>
      <c r="CS64" s="153"/>
      <c r="CT64" s="153"/>
      <c r="CU64" s="153"/>
      <c r="CV64" s="153"/>
      <c r="CW64" s="153"/>
      <c r="CX64" s="153"/>
      <c r="CY64" s="153"/>
      <c r="CZ64" s="153"/>
      <c r="DA64" s="153"/>
      <c r="DB64" s="153"/>
      <c r="DC64" s="153"/>
      <c r="DD64" s="153"/>
      <c r="DE64" s="153"/>
      <c r="DF64" s="153"/>
      <c r="DG64" s="153"/>
      <c r="DH64" s="153"/>
      <c r="DI64" s="153"/>
      <c r="DJ64" s="153"/>
      <c r="DK64" s="153"/>
      <c r="DL64" s="153"/>
      <c r="DM64" s="153"/>
      <c r="DN64" s="153"/>
      <c r="DO64" s="153"/>
      <c r="DP64" s="153"/>
      <c r="DQ64" s="153"/>
      <c r="DR64" s="153"/>
      <c r="DS64" s="153"/>
      <c r="DT64" s="153"/>
      <c r="DU64" s="153"/>
      <c r="DV64" s="153"/>
      <c r="DW64" s="153"/>
      <c r="DX64" s="153"/>
      <c r="DY64" s="153"/>
      <c r="DZ64" s="153"/>
      <c r="EA64" s="153"/>
      <c r="EB64" s="153"/>
      <c r="EC64" s="153"/>
      <c r="ED64" s="153"/>
      <c r="EE64" s="153"/>
      <c r="EF64" s="153"/>
      <c r="EG64" s="153"/>
      <c r="EH64" s="153"/>
      <c r="EI64" s="153"/>
      <c r="EJ64" s="153"/>
      <c r="EK64" s="153"/>
      <c r="EL64" s="153"/>
      <c r="EM64" s="153"/>
      <c r="EN64" s="153"/>
      <c r="EO64" s="153"/>
      <c r="EP64" s="153"/>
      <c r="EQ64" s="153"/>
      <c r="ER64" s="153"/>
      <c r="ES64" s="153"/>
      <c r="ET64" s="153"/>
      <c r="EU64" s="153"/>
      <c r="EV64" s="153"/>
      <c r="EW64" s="153"/>
      <c r="EX64" s="153"/>
      <c r="EY64" s="153"/>
      <c r="EZ64" s="153"/>
      <c r="FA64" s="153"/>
      <c r="FB64" s="153"/>
      <c r="FC64" s="153"/>
      <c r="FD64" s="153"/>
      <c r="FE64" s="153"/>
      <c r="FF64" s="153"/>
      <c r="FG64" s="153"/>
      <c r="FH64" s="153"/>
      <c r="FI64" s="153"/>
      <c r="FJ64" s="153"/>
      <c r="FK64" s="153"/>
      <c r="FL64" s="153"/>
      <c r="FM64" s="153"/>
      <c r="FN64" s="153"/>
      <c r="FO64" s="153"/>
      <c r="FP64" s="153"/>
      <c r="FQ64" s="153"/>
      <c r="FR64" s="153"/>
      <c r="FS64" s="153"/>
      <c r="FT64" s="153"/>
      <c r="FU64" s="153"/>
      <c r="FV64" s="153"/>
      <c r="FW64" s="153"/>
      <c r="FX64" s="153"/>
      <c r="FY64" s="153"/>
      <c r="FZ64" s="153"/>
      <c r="GA64" s="153"/>
      <c r="GB64" s="153"/>
      <c r="GC64" s="153"/>
      <c r="GD64" s="153"/>
      <c r="GE64" s="153"/>
      <c r="GF64" s="153"/>
      <c r="GG64" s="153"/>
      <c r="GH64" s="153"/>
      <c r="GI64" s="153"/>
      <c r="GJ64" s="153"/>
      <c r="GK64" s="153"/>
      <c r="GL64" s="153"/>
      <c r="GM64" s="153"/>
      <c r="GN64" s="153"/>
      <c r="GO64" s="153"/>
      <c r="GP64" s="153"/>
      <c r="GQ64" s="153"/>
      <c r="GR64" s="153"/>
      <c r="GS64" s="153"/>
      <c r="GT64" s="153"/>
      <c r="GU64" s="153"/>
      <c r="GV64" s="153"/>
      <c r="GW64" s="153"/>
      <c r="GX64" s="153"/>
      <c r="GY64" s="153"/>
      <c r="GZ64" s="153"/>
      <c r="HA64" s="153"/>
      <c r="HB64" s="153"/>
      <c r="HC64" s="153"/>
      <c r="HD64" s="153"/>
      <c r="HE64" s="153"/>
      <c r="HF64" s="153"/>
      <c r="HG64" s="153"/>
      <c r="HH64" s="153"/>
      <c r="HI64" s="153"/>
      <c r="HJ64" s="153"/>
      <c r="HK64" s="153"/>
      <c r="HL64" s="153"/>
      <c r="HM64" s="153"/>
      <c r="HN64" s="153"/>
      <c r="HO64" s="153"/>
      <c r="HP64" s="153"/>
      <c r="HQ64" s="153"/>
      <c r="HR64" s="153"/>
      <c r="HS64" s="153"/>
      <c r="HT64" s="153"/>
      <c r="HU64" s="153"/>
      <c r="HV64" s="153"/>
      <c r="HW64" s="153"/>
      <c r="HX64" s="153"/>
      <c r="HY64" s="153"/>
      <c r="HZ64" s="153"/>
      <c r="IA64" s="153" t="str">
        <f>"" &amp; TEXT(AE64,"#0.00%") &amp; "/" &amp; TEXT(AD64,"#0.00% ") &amp; "" &amp; "" &amp; " " &amp; ""</f>
        <v xml:space="preserve">0.00%/100.00%  </v>
      </c>
      <c r="IB64" s="153"/>
      <c r="IC64" s="153"/>
      <c r="ID64" s="153"/>
      <c r="IE64" s="153"/>
      <c r="IF64" s="153"/>
      <c r="IG64" s="153"/>
      <c r="IH64" s="153"/>
      <c r="II64" s="153"/>
      <c r="IJ64" s="153"/>
      <c r="IK64" s="153"/>
      <c r="IL64" s="153"/>
      <c r="IM64" s="153"/>
      <c r="IN64" s="153"/>
      <c r="IO64" s="153"/>
      <c r="IP64" s="153"/>
      <c r="IQ64" s="153"/>
      <c r="IR64" s="153"/>
      <c r="IS64" s="153"/>
      <c r="IT64" s="153"/>
      <c r="IU64" s="153"/>
      <c r="IV64" s="153"/>
      <c r="IW64" s="153"/>
      <c r="IX64" s="153"/>
      <c r="IY64" s="153"/>
      <c r="IZ64" s="153"/>
      <c r="JA64" s="153"/>
      <c r="JB64" s="153"/>
      <c r="JC64" s="153"/>
      <c r="JD64" s="153"/>
      <c r="JE64" s="153"/>
      <c r="JF64" s="153"/>
      <c r="JG64" s="153"/>
      <c r="JH64" s="153"/>
      <c r="JI64" s="153"/>
      <c r="JJ64" s="153"/>
      <c r="JK64" s="153"/>
      <c r="JL64" s="153"/>
      <c r="JM64" s="153"/>
      <c r="JN64" s="153"/>
      <c r="JO64" s="153"/>
      <c r="JP64" s="153"/>
      <c r="JQ64" s="153"/>
      <c r="JR64" s="153"/>
      <c r="JS64" s="153"/>
      <c r="JT64" s="153"/>
      <c r="JU64" s="153"/>
      <c r="JV64" s="153"/>
      <c r="JW64" s="153"/>
    </row>
    <row r="65" spans="1:283" ht="12" customHeight="1" outlineLevel="3">
      <c r="A65" s="123">
        <v>1</v>
      </c>
      <c r="B65" s="123" t="s">
        <v>1934</v>
      </c>
      <c r="C65" s="123">
        <v>4</v>
      </c>
      <c r="D65" s="151" t="s">
        <v>2020</v>
      </c>
      <c r="E65" s="124"/>
      <c r="F65" s="124"/>
      <c r="G65" s="124"/>
      <c r="H65" s="124" t="s">
        <v>1828</v>
      </c>
      <c r="I65" s="124"/>
      <c r="J65" s="124"/>
      <c r="K65" s="124"/>
      <c r="L65" s="124"/>
      <c r="M65" s="124"/>
      <c r="N65" s="124"/>
      <c r="O65" s="124"/>
      <c r="P65" s="125">
        <v>46013</v>
      </c>
      <c r="Q65" s="125">
        <v>46022</v>
      </c>
      <c r="R65" s="124"/>
      <c r="S65" s="126">
        <v>4</v>
      </c>
      <c r="T65" s="126">
        <v>2</v>
      </c>
      <c r="U65" s="126">
        <v>7</v>
      </c>
      <c r="V65" s="126">
        <v>5</v>
      </c>
      <c r="W65" s="125"/>
      <c r="X65" s="125"/>
      <c r="Y65" s="127">
        <v>0</v>
      </c>
      <c r="Z65" s="128">
        <v>0</v>
      </c>
      <c r="AA65" s="126"/>
      <c r="AB65" s="124"/>
      <c r="AC65" s="129"/>
      <c r="AD65" s="150">
        <v>0.5</v>
      </c>
      <c r="AE65" s="310">
        <v>0</v>
      </c>
      <c r="AF65" s="183"/>
      <c r="AG65" s="153"/>
      <c r="AH65" s="153"/>
      <c r="AI65" s="153"/>
      <c r="AJ65" s="153"/>
      <c r="AK65" s="153"/>
      <c r="AL65" s="153"/>
      <c r="AM65" s="153"/>
      <c r="AN65" s="153"/>
      <c r="AO65" s="153"/>
      <c r="AP65" s="153"/>
      <c r="AQ65" s="153"/>
      <c r="AR65" s="153"/>
      <c r="AS65" s="153"/>
      <c r="AT65" s="153"/>
      <c r="AU65" s="153"/>
      <c r="AV65" s="153"/>
      <c r="AW65" s="153"/>
      <c r="AX65" s="153"/>
      <c r="AY65" s="153"/>
      <c r="AZ65" s="153"/>
      <c r="BA65" s="153"/>
      <c r="BB65" s="153"/>
      <c r="BC65" s="153"/>
      <c r="BD65" s="153"/>
      <c r="BE65" s="153"/>
      <c r="BF65" s="153"/>
      <c r="BG65" s="153"/>
      <c r="BH65" s="153"/>
      <c r="BI65" s="153"/>
      <c r="BJ65" s="153"/>
      <c r="BK65" s="153"/>
      <c r="BL65" s="153"/>
      <c r="BM65" s="153"/>
      <c r="BN65" s="153"/>
      <c r="BO65" s="153"/>
      <c r="BP65" s="153"/>
      <c r="BQ65" s="153"/>
      <c r="BR65" s="153"/>
      <c r="BS65" s="153"/>
      <c r="BT65" s="153"/>
      <c r="BU65" s="153"/>
      <c r="BV65" s="153"/>
      <c r="BW65" s="153"/>
      <c r="BX65" s="153"/>
      <c r="BY65" s="153"/>
      <c r="BZ65" s="153"/>
      <c r="CA65" s="153"/>
      <c r="CB65" s="153"/>
      <c r="CC65" s="153"/>
      <c r="CD65" s="153"/>
      <c r="CE65" s="153"/>
      <c r="CF65" s="153"/>
      <c r="CG65" s="153"/>
      <c r="CH65" s="153"/>
      <c r="CI65" s="153"/>
      <c r="CJ65" s="153"/>
      <c r="CK65" s="153"/>
      <c r="CL65" s="153"/>
      <c r="CM65" s="153"/>
      <c r="CN65" s="153"/>
      <c r="CO65" s="153"/>
      <c r="CP65" s="153"/>
      <c r="CQ65" s="153"/>
      <c r="CR65" s="153"/>
      <c r="CS65" s="153"/>
      <c r="CT65" s="153"/>
      <c r="CU65" s="153"/>
      <c r="CV65" s="153"/>
      <c r="CW65" s="153"/>
      <c r="CX65" s="153"/>
      <c r="CY65" s="153"/>
      <c r="CZ65" s="153"/>
      <c r="DA65" s="153"/>
      <c r="DB65" s="153"/>
      <c r="DC65" s="153"/>
      <c r="DD65" s="153"/>
      <c r="DE65" s="153"/>
      <c r="DF65" s="153"/>
      <c r="DG65" s="153"/>
      <c r="DH65" s="153"/>
      <c r="DI65" s="153"/>
      <c r="DJ65" s="153"/>
      <c r="DK65" s="153"/>
      <c r="DL65" s="153"/>
      <c r="DM65" s="153"/>
      <c r="DN65" s="153"/>
      <c r="DO65" s="153"/>
      <c r="DP65" s="153"/>
      <c r="DQ65" s="153"/>
      <c r="DR65" s="153"/>
      <c r="DS65" s="153"/>
      <c r="DT65" s="153"/>
      <c r="DU65" s="153"/>
      <c r="DV65" s="153"/>
      <c r="DW65" s="153"/>
      <c r="DX65" s="153"/>
      <c r="DY65" s="153"/>
      <c r="DZ65" s="153"/>
      <c r="EA65" s="153"/>
      <c r="EB65" s="153"/>
      <c r="EC65" s="153"/>
      <c r="ED65" s="153"/>
      <c r="EE65" s="153"/>
      <c r="EF65" s="153"/>
      <c r="EG65" s="153"/>
      <c r="EH65" s="153"/>
      <c r="EI65" s="153"/>
      <c r="EJ65" s="153"/>
      <c r="EK65" s="153"/>
      <c r="EL65" s="153"/>
      <c r="EM65" s="153"/>
      <c r="EN65" s="153"/>
      <c r="EO65" s="153"/>
      <c r="EP65" s="153"/>
      <c r="EQ65" s="153"/>
      <c r="ER65" s="153"/>
      <c r="ES65" s="153"/>
      <c r="ET65" s="153"/>
      <c r="EU65" s="153"/>
      <c r="EV65" s="153"/>
      <c r="EW65" s="153"/>
      <c r="EX65" s="153"/>
      <c r="EY65" s="153"/>
      <c r="EZ65" s="153"/>
      <c r="FA65" s="153"/>
      <c r="FB65" s="153"/>
      <c r="FC65" s="153"/>
      <c r="FD65" s="153"/>
      <c r="FE65" s="153"/>
      <c r="FF65" s="153"/>
      <c r="FG65" s="153"/>
      <c r="FH65" s="153"/>
      <c r="FI65" s="153"/>
      <c r="FJ65" s="153"/>
      <c r="FK65" s="153"/>
      <c r="FL65" s="153"/>
      <c r="FM65" s="153"/>
      <c r="FN65" s="153"/>
      <c r="FO65" s="153"/>
      <c r="FP65" s="153"/>
      <c r="FQ65" s="153"/>
      <c r="FR65" s="153"/>
      <c r="FS65" s="153"/>
      <c r="FT65" s="153"/>
      <c r="FU65" s="153"/>
      <c r="FV65" s="153"/>
      <c r="FW65" s="153"/>
      <c r="FX65" s="153"/>
      <c r="FY65" s="153"/>
      <c r="FZ65" s="153"/>
      <c r="GA65" s="153"/>
      <c r="GB65" s="153"/>
      <c r="GC65" s="153"/>
      <c r="GD65" s="153"/>
      <c r="GE65" s="153"/>
      <c r="GF65" s="153"/>
      <c r="GG65" s="153"/>
      <c r="GH65" s="153"/>
      <c r="GI65" s="153"/>
      <c r="GJ65" s="153"/>
      <c r="GK65" s="153"/>
      <c r="GL65" s="153"/>
      <c r="GM65" s="153"/>
      <c r="GN65" s="153"/>
      <c r="GO65" s="153"/>
      <c r="GP65" s="153"/>
      <c r="GQ65" s="153"/>
      <c r="GR65" s="153"/>
      <c r="GS65" s="153"/>
      <c r="GT65" s="153"/>
      <c r="GU65" s="153"/>
      <c r="GV65" s="153"/>
      <c r="GW65" s="153"/>
      <c r="GX65" s="153"/>
      <c r="GY65" s="153"/>
      <c r="GZ65" s="153"/>
      <c r="HA65" s="153"/>
      <c r="HB65" s="153"/>
      <c r="HC65" s="153"/>
      <c r="HD65" s="153"/>
      <c r="HE65" s="153"/>
      <c r="HF65" s="153"/>
      <c r="HG65" s="153"/>
      <c r="HH65" s="153"/>
      <c r="HI65" s="153"/>
      <c r="HJ65" s="153"/>
      <c r="HK65" s="153"/>
      <c r="HL65" s="153"/>
      <c r="HM65" s="153"/>
      <c r="HN65" s="153"/>
      <c r="HO65" s="153"/>
      <c r="HP65" s="153"/>
      <c r="HQ65" s="153"/>
      <c r="HR65" s="153"/>
      <c r="HS65" s="153"/>
      <c r="HT65" s="153"/>
      <c r="HU65" s="153"/>
      <c r="HV65" s="153"/>
      <c r="HW65" s="153"/>
      <c r="HX65" s="153"/>
      <c r="HY65" s="153"/>
      <c r="HZ65" s="153"/>
      <c r="IA65" s="153" t="str">
        <f>"    " &amp; TEXT(AE65,"#0.00%") &amp; "/" &amp; TEXT(AD65,"#0.00% ") &amp; "" &amp; "" &amp; " " &amp; ""</f>
        <v xml:space="preserve">    0.00%/50.00%  </v>
      </c>
      <c r="IB65" s="153"/>
      <c r="IC65" s="153"/>
      <c r="ID65" s="153"/>
      <c r="IE65" s="153"/>
      <c r="IF65" s="153"/>
      <c r="IG65" s="153"/>
      <c r="IH65" s="153"/>
      <c r="II65" s="153"/>
      <c r="IJ65" s="153"/>
      <c r="IK65" s="153"/>
      <c r="IL65" s="153"/>
      <c r="IM65" s="153"/>
      <c r="IN65" s="153"/>
      <c r="IO65" s="153"/>
      <c r="IP65" s="153"/>
      <c r="IQ65" s="153"/>
      <c r="IR65" s="153"/>
      <c r="IS65" s="153"/>
      <c r="IT65" s="153"/>
      <c r="IU65" s="153"/>
      <c r="IV65" s="153"/>
      <c r="IW65" s="153"/>
      <c r="IX65" s="153"/>
      <c r="IY65" s="153"/>
      <c r="IZ65" s="153"/>
      <c r="JA65" s="153"/>
      <c r="JB65" s="153"/>
      <c r="JC65" s="153"/>
      <c r="JD65" s="153"/>
      <c r="JE65" s="153"/>
      <c r="JF65" s="153"/>
      <c r="JG65" s="153"/>
      <c r="JH65" s="153"/>
      <c r="JI65" s="153"/>
      <c r="JJ65" s="153"/>
      <c r="JK65" s="153"/>
      <c r="JL65" s="153"/>
      <c r="JM65" s="153"/>
      <c r="JN65" s="153"/>
      <c r="JO65" s="153"/>
      <c r="JP65" s="153"/>
      <c r="JQ65" s="153"/>
      <c r="JR65" s="153"/>
      <c r="JS65" s="153"/>
      <c r="JT65" s="153"/>
      <c r="JU65" s="153"/>
      <c r="JV65" s="153"/>
      <c r="JW65" s="153"/>
    </row>
    <row r="66" spans="1:283" ht="12" customHeight="1" outlineLevel="4">
      <c r="A66" s="123"/>
      <c r="B66" s="123"/>
      <c r="C66" s="123">
        <v>5</v>
      </c>
      <c r="D66" s="151" t="s">
        <v>2021</v>
      </c>
      <c r="E66" s="124"/>
      <c r="F66" s="124"/>
      <c r="G66" s="124"/>
      <c r="H66" s="124"/>
      <c r="I66" s="124" t="s">
        <v>1701</v>
      </c>
      <c r="J66" s="124"/>
      <c r="K66" s="124"/>
      <c r="L66" s="124"/>
      <c r="M66" s="124"/>
      <c r="N66" s="124"/>
      <c r="O66" s="124"/>
      <c r="P66" s="125">
        <v>46013</v>
      </c>
      <c r="Q66" s="125">
        <v>46013</v>
      </c>
      <c r="R66" s="124"/>
      <c r="S66" s="126">
        <v>1</v>
      </c>
      <c r="T66" s="126">
        <v>1</v>
      </c>
      <c r="U66" s="126">
        <v>1</v>
      </c>
      <c r="V66" s="126">
        <v>1</v>
      </c>
      <c r="W66" s="125"/>
      <c r="X66" s="125"/>
      <c r="Y66" s="127">
        <v>0</v>
      </c>
      <c r="Z66" s="128">
        <v>0</v>
      </c>
      <c r="AA66" s="126">
        <v>1</v>
      </c>
      <c r="AB66" s="124"/>
      <c r="AC66" s="129"/>
      <c r="AD66" s="150">
        <v>1</v>
      </c>
      <c r="AE66" s="309">
        <v>0</v>
      </c>
      <c r="AF66" s="183"/>
      <c r="AG66" s="153"/>
      <c r="AH66" s="153"/>
      <c r="AI66" s="153"/>
      <c r="AJ66" s="153"/>
      <c r="AK66" s="153"/>
      <c r="AL66" s="153"/>
      <c r="AM66" s="153"/>
      <c r="AN66" s="153"/>
      <c r="AO66" s="153"/>
      <c r="AP66" s="153"/>
      <c r="AQ66" s="153"/>
      <c r="AR66" s="153"/>
      <c r="AS66" s="153"/>
      <c r="AT66" s="153"/>
      <c r="AU66" s="153"/>
      <c r="AV66" s="153"/>
      <c r="AW66" s="153"/>
      <c r="AX66" s="153"/>
      <c r="AY66" s="153"/>
      <c r="AZ66" s="153"/>
      <c r="BA66" s="153"/>
      <c r="BB66" s="153"/>
      <c r="BC66" s="153"/>
      <c r="BD66" s="153"/>
      <c r="BE66" s="153"/>
      <c r="BF66" s="153"/>
      <c r="BG66" s="153"/>
      <c r="BH66" s="153"/>
      <c r="BI66" s="153"/>
      <c r="BJ66" s="153"/>
      <c r="BK66" s="153"/>
      <c r="BL66" s="153"/>
      <c r="BM66" s="153"/>
      <c r="BN66" s="153"/>
      <c r="BO66" s="153"/>
      <c r="BP66" s="153"/>
      <c r="BQ66" s="153"/>
      <c r="BR66" s="153"/>
      <c r="BS66" s="153"/>
      <c r="BT66" s="153"/>
      <c r="BU66" s="153"/>
      <c r="BV66" s="153"/>
      <c r="BW66" s="153"/>
      <c r="BX66" s="153"/>
      <c r="BY66" s="153"/>
      <c r="BZ66" s="153"/>
      <c r="CA66" s="153"/>
      <c r="CB66" s="153"/>
      <c r="CC66" s="153"/>
      <c r="CD66" s="153"/>
      <c r="CE66" s="153"/>
      <c r="CF66" s="153"/>
      <c r="CG66" s="153"/>
      <c r="CH66" s="153"/>
      <c r="CI66" s="153"/>
      <c r="CJ66" s="153"/>
      <c r="CK66" s="153"/>
      <c r="CL66" s="153"/>
      <c r="CM66" s="153"/>
      <c r="CN66" s="153"/>
      <c r="CO66" s="153"/>
      <c r="CP66" s="153"/>
      <c r="CQ66" s="153"/>
      <c r="CR66" s="153"/>
      <c r="CS66" s="153"/>
      <c r="CT66" s="153"/>
      <c r="CU66" s="153"/>
      <c r="CV66" s="153"/>
      <c r="CW66" s="153"/>
      <c r="CX66" s="153"/>
      <c r="CY66" s="153"/>
      <c r="CZ66" s="153"/>
      <c r="DA66" s="153"/>
      <c r="DB66" s="153"/>
      <c r="DC66" s="153"/>
      <c r="DD66" s="153"/>
      <c r="DE66" s="153"/>
      <c r="DF66" s="153"/>
      <c r="DG66" s="153"/>
      <c r="DH66" s="153"/>
      <c r="DI66" s="153"/>
      <c r="DJ66" s="153"/>
      <c r="DK66" s="153"/>
      <c r="DL66" s="153"/>
      <c r="DM66" s="153"/>
      <c r="DN66" s="153"/>
      <c r="DO66" s="153"/>
      <c r="DP66" s="153"/>
      <c r="DQ66" s="153"/>
      <c r="DR66" s="153"/>
      <c r="DS66" s="153"/>
      <c r="DT66" s="153"/>
      <c r="DU66" s="153"/>
      <c r="DV66" s="153"/>
      <c r="DW66" s="153"/>
      <c r="DX66" s="153"/>
      <c r="DY66" s="153"/>
      <c r="DZ66" s="153"/>
      <c r="EA66" s="153"/>
      <c r="EB66" s="153"/>
      <c r="EC66" s="153"/>
      <c r="ED66" s="153"/>
      <c r="EE66" s="153"/>
      <c r="EF66" s="153"/>
      <c r="EG66" s="153"/>
      <c r="EH66" s="153"/>
      <c r="EI66" s="153"/>
      <c r="EJ66" s="153"/>
      <c r="EK66" s="153"/>
      <c r="EL66" s="153"/>
      <c r="EM66" s="153"/>
      <c r="EN66" s="153"/>
      <c r="EO66" s="153"/>
      <c r="EP66" s="153"/>
      <c r="EQ66" s="153"/>
      <c r="ER66" s="153"/>
      <c r="ES66" s="153"/>
      <c r="ET66" s="153"/>
      <c r="EU66" s="153"/>
      <c r="EV66" s="153"/>
      <c r="EW66" s="153"/>
      <c r="EX66" s="153"/>
      <c r="EY66" s="153"/>
      <c r="EZ66" s="153"/>
      <c r="FA66" s="153"/>
      <c r="FB66" s="153"/>
      <c r="FC66" s="153"/>
      <c r="FD66" s="153"/>
      <c r="FE66" s="153"/>
      <c r="FF66" s="153"/>
      <c r="FG66" s="153"/>
      <c r="FH66" s="153"/>
      <c r="FI66" s="153"/>
      <c r="FJ66" s="153"/>
      <c r="FK66" s="153"/>
      <c r="FL66" s="153"/>
      <c r="FM66" s="153"/>
      <c r="FN66" s="153"/>
      <c r="FO66" s="153"/>
      <c r="FP66" s="153"/>
      <c r="FQ66" s="153"/>
      <c r="FR66" s="153"/>
      <c r="FS66" s="153"/>
      <c r="FT66" s="153"/>
      <c r="FU66" s="153"/>
      <c r="FV66" s="153"/>
      <c r="FW66" s="153"/>
      <c r="FX66" s="153"/>
      <c r="FY66" s="153"/>
      <c r="FZ66" s="153"/>
      <c r="GA66" s="153"/>
      <c r="GB66" s="153"/>
      <c r="GC66" s="153"/>
      <c r="GD66" s="153"/>
      <c r="GE66" s="153"/>
      <c r="GF66" s="153"/>
      <c r="GG66" s="153"/>
      <c r="GH66" s="153"/>
      <c r="GI66" s="153"/>
      <c r="GJ66" s="153"/>
      <c r="GK66" s="153"/>
      <c r="GL66" s="153"/>
      <c r="GM66" s="153"/>
      <c r="GN66" s="153"/>
      <c r="GO66" s="153"/>
      <c r="GP66" s="153"/>
      <c r="GQ66" s="153"/>
      <c r="GR66" s="153"/>
      <c r="GS66" s="153"/>
      <c r="GT66" s="153"/>
      <c r="GU66" s="153"/>
      <c r="GV66" s="153"/>
      <c r="GW66" s="153"/>
      <c r="GX66" s="153"/>
      <c r="GY66" s="153"/>
      <c r="GZ66" s="153"/>
      <c r="HA66" s="153"/>
      <c r="HB66" s="153"/>
      <c r="HC66" s="153"/>
      <c r="HD66" s="153"/>
      <c r="HE66" s="153"/>
      <c r="HF66" s="153"/>
      <c r="HG66" s="153"/>
      <c r="HH66" s="153"/>
      <c r="HI66" s="153"/>
      <c r="HJ66" s="153"/>
      <c r="HK66" s="153"/>
      <c r="HL66" s="153"/>
      <c r="HM66" s="153"/>
      <c r="HN66" s="153"/>
      <c r="HO66" s="153"/>
      <c r="HP66" s="153"/>
      <c r="HQ66" s="153"/>
      <c r="HR66" s="153"/>
      <c r="HS66" s="153"/>
      <c r="HT66" s="153"/>
      <c r="HU66" s="153"/>
      <c r="HV66" s="153"/>
      <c r="HW66" s="153"/>
      <c r="HX66" s="153"/>
      <c r="HY66" s="153"/>
      <c r="HZ66" s="153"/>
      <c r="IA66" s="153" t="str">
        <f>"" &amp; TEXT(AE66,"#0.00%") &amp; "/" &amp; TEXT(AD66,"#0.00% ") &amp; "" &amp; "" &amp; " " &amp; ""</f>
        <v xml:space="preserve">0.00%/100.00%  </v>
      </c>
      <c r="IB66" s="153"/>
      <c r="IC66" s="153"/>
      <c r="ID66" s="153"/>
      <c r="IE66" s="153"/>
      <c r="IF66" s="153"/>
      <c r="IG66" s="153"/>
      <c r="IH66" s="153"/>
      <c r="II66" s="153"/>
      <c r="IJ66" s="153"/>
      <c r="IK66" s="153"/>
      <c r="IL66" s="153"/>
      <c r="IM66" s="153"/>
      <c r="IN66" s="153"/>
      <c r="IO66" s="153"/>
      <c r="IP66" s="153"/>
      <c r="IQ66" s="153"/>
      <c r="IR66" s="153"/>
      <c r="IS66" s="153"/>
      <c r="IT66" s="153"/>
      <c r="IU66" s="153"/>
      <c r="IV66" s="153"/>
      <c r="IW66" s="153"/>
      <c r="IX66" s="153"/>
      <c r="IY66" s="153"/>
      <c r="IZ66" s="153"/>
      <c r="JA66" s="153"/>
      <c r="JB66" s="153"/>
      <c r="JC66" s="153"/>
      <c r="JD66" s="153"/>
      <c r="JE66" s="153"/>
      <c r="JF66" s="153"/>
      <c r="JG66" s="153"/>
      <c r="JH66" s="153"/>
      <c r="JI66" s="153"/>
      <c r="JJ66" s="153"/>
      <c r="JK66" s="153"/>
      <c r="JL66" s="153"/>
      <c r="JM66" s="153"/>
      <c r="JN66" s="153"/>
      <c r="JO66" s="153"/>
      <c r="JP66" s="153"/>
      <c r="JQ66" s="153"/>
      <c r="JR66" s="153"/>
      <c r="JS66" s="153"/>
      <c r="JT66" s="153"/>
      <c r="JU66" s="153"/>
      <c r="JV66" s="153"/>
      <c r="JW66" s="153"/>
    </row>
    <row r="67" spans="1:283" ht="12" customHeight="1" outlineLevel="4">
      <c r="A67" s="123"/>
      <c r="B67" s="123"/>
      <c r="C67" s="123">
        <v>5</v>
      </c>
      <c r="D67" s="151" t="s">
        <v>2022</v>
      </c>
      <c r="E67" s="124"/>
      <c r="F67" s="124"/>
      <c r="G67" s="124"/>
      <c r="H67" s="124"/>
      <c r="I67" s="124" t="s">
        <v>1702</v>
      </c>
      <c r="J67" s="124"/>
      <c r="K67" s="124"/>
      <c r="L67" s="124"/>
      <c r="M67" s="124"/>
      <c r="N67" s="124"/>
      <c r="O67" s="124"/>
      <c r="P67" s="125">
        <v>46020</v>
      </c>
      <c r="Q67" s="125">
        <v>46021</v>
      </c>
      <c r="R67" s="124"/>
      <c r="S67" s="126">
        <v>2</v>
      </c>
      <c r="T67" s="126">
        <v>1</v>
      </c>
      <c r="U67" s="126">
        <v>2</v>
      </c>
      <c r="V67" s="126">
        <v>1</v>
      </c>
      <c r="W67" s="125"/>
      <c r="X67" s="125"/>
      <c r="Y67" s="127">
        <v>0</v>
      </c>
      <c r="Z67" s="128">
        <v>0</v>
      </c>
      <c r="AA67" s="126">
        <v>1</v>
      </c>
      <c r="AB67" s="124"/>
      <c r="AC67" s="129"/>
      <c r="AD67" s="150">
        <v>0.5</v>
      </c>
      <c r="AE67" s="309">
        <v>0</v>
      </c>
      <c r="AF67" s="183"/>
      <c r="AG67" s="153"/>
      <c r="AH67" s="153"/>
      <c r="AI67" s="153"/>
      <c r="AJ67" s="153"/>
      <c r="AK67" s="153"/>
      <c r="AL67" s="153"/>
      <c r="AM67" s="153"/>
      <c r="AN67" s="153"/>
      <c r="AO67" s="153"/>
      <c r="AP67" s="153"/>
      <c r="AQ67" s="153"/>
      <c r="AR67" s="153"/>
      <c r="AS67" s="153"/>
      <c r="AT67" s="153"/>
      <c r="AU67" s="153"/>
      <c r="AV67" s="153"/>
      <c r="AW67" s="153"/>
      <c r="AX67" s="153"/>
      <c r="AY67" s="153"/>
      <c r="AZ67" s="153"/>
      <c r="BA67" s="153"/>
      <c r="BB67" s="153"/>
      <c r="BC67" s="153"/>
      <c r="BD67" s="153"/>
      <c r="BE67" s="153"/>
      <c r="BF67" s="153"/>
      <c r="BG67" s="153"/>
      <c r="BH67" s="153"/>
      <c r="BI67" s="153"/>
      <c r="BJ67" s="153"/>
      <c r="BK67" s="153"/>
      <c r="BL67" s="153"/>
      <c r="BM67" s="153"/>
      <c r="BN67" s="153"/>
      <c r="BO67" s="153"/>
      <c r="BP67" s="153"/>
      <c r="BQ67" s="153"/>
      <c r="BR67" s="153"/>
      <c r="BS67" s="153"/>
      <c r="BT67" s="153"/>
      <c r="BU67" s="153"/>
      <c r="BV67" s="153"/>
      <c r="BW67" s="153"/>
      <c r="BX67" s="153"/>
      <c r="BY67" s="153"/>
      <c r="BZ67" s="153"/>
      <c r="CA67" s="153"/>
      <c r="CB67" s="153"/>
      <c r="CC67" s="153"/>
      <c r="CD67" s="153"/>
      <c r="CE67" s="153"/>
      <c r="CF67" s="153"/>
      <c r="CG67" s="153"/>
      <c r="CH67" s="153"/>
      <c r="CI67" s="153"/>
      <c r="CJ67" s="153"/>
      <c r="CK67" s="153"/>
      <c r="CL67" s="153"/>
      <c r="CM67" s="153"/>
      <c r="CN67" s="153"/>
      <c r="CO67" s="153"/>
      <c r="CP67" s="153"/>
      <c r="CQ67" s="153"/>
      <c r="CR67" s="153"/>
      <c r="CS67" s="153"/>
      <c r="CT67" s="153"/>
      <c r="CU67" s="153"/>
      <c r="CV67" s="153"/>
      <c r="CW67" s="153"/>
      <c r="CX67" s="153"/>
      <c r="CY67" s="153"/>
      <c r="CZ67" s="153"/>
      <c r="DA67" s="153"/>
      <c r="DB67" s="153"/>
      <c r="DC67" s="153"/>
      <c r="DD67" s="153"/>
      <c r="DE67" s="153"/>
      <c r="DF67" s="153"/>
      <c r="DG67" s="153"/>
      <c r="DH67" s="153"/>
      <c r="DI67" s="153"/>
      <c r="DJ67" s="153"/>
      <c r="DK67" s="153"/>
      <c r="DL67" s="153"/>
      <c r="DM67" s="153"/>
      <c r="DN67" s="153"/>
      <c r="DO67" s="153"/>
      <c r="DP67" s="153"/>
      <c r="DQ67" s="153"/>
      <c r="DR67" s="153"/>
      <c r="DS67" s="153"/>
      <c r="DT67" s="153"/>
      <c r="DU67" s="153"/>
      <c r="DV67" s="153"/>
      <c r="DW67" s="153"/>
      <c r="DX67" s="153"/>
      <c r="DY67" s="153"/>
      <c r="DZ67" s="153"/>
      <c r="EA67" s="153"/>
      <c r="EB67" s="153"/>
      <c r="EC67" s="153"/>
      <c r="ED67" s="153"/>
      <c r="EE67" s="153"/>
      <c r="EF67" s="153"/>
      <c r="EG67" s="153"/>
      <c r="EH67" s="153"/>
      <c r="EI67" s="153"/>
      <c r="EJ67" s="153"/>
      <c r="EK67" s="153"/>
      <c r="EL67" s="153"/>
      <c r="EM67" s="153"/>
      <c r="EN67" s="153"/>
      <c r="EO67" s="153"/>
      <c r="EP67" s="153"/>
      <c r="EQ67" s="153"/>
      <c r="ER67" s="153"/>
      <c r="ES67" s="153"/>
      <c r="ET67" s="153"/>
      <c r="EU67" s="153"/>
      <c r="EV67" s="153"/>
      <c r="EW67" s="153"/>
      <c r="EX67" s="153"/>
      <c r="EY67" s="153"/>
      <c r="EZ67" s="153"/>
      <c r="FA67" s="153"/>
      <c r="FB67" s="153"/>
      <c r="FC67" s="153"/>
      <c r="FD67" s="153"/>
      <c r="FE67" s="153"/>
      <c r="FF67" s="153"/>
      <c r="FG67" s="153"/>
      <c r="FH67" s="153"/>
      <c r="FI67" s="153"/>
      <c r="FJ67" s="153"/>
      <c r="FK67" s="153"/>
      <c r="FL67" s="153"/>
      <c r="FM67" s="153"/>
      <c r="FN67" s="153"/>
      <c r="FO67" s="153"/>
      <c r="FP67" s="153"/>
      <c r="FQ67" s="153"/>
      <c r="FR67" s="153"/>
      <c r="FS67" s="153"/>
      <c r="FT67" s="153"/>
      <c r="FU67" s="153"/>
      <c r="FV67" s="153"/>
      <c r="FW67" s="153"/>
      <c r="FX67" s="153"/>
      <c r="FY67" s="153"/>
      <c r="FZ67" s="153"/>
      <c r="GA67" s="153"/>
      <c r="GB67" s="153"/>
      <c r="GC67" s="153"/>
      <c r="GD67" s="153"/>
      <c r="GE67" s="153"/>
      <c r="GF67" s="153"/>
      <c r="GG67" s="153"/>
      <c r="GH67" s="153"/>
      <c r="GI67" s="153"/>
      <c r="GJ67" s="153"/>
      <c r="GK67" s="153"/>
      <c r="GL67" s="153"/>
      <c r="GM67" s="153"/>
      <c r="GN67" s="153"/>
      <c r="GO67" s="153"/>
      <c r="GP67" s="153"/>
      <c r="GQ67" s="153"/>
      <c r="GR67" s="153"/>
      <c r="GS67" s="153"/>
      <c r="GT67" s="153"/>
      <c r="GU67" s="153"/>
      <c r="GV67" s="153"/>
      <c r="GW67" s="153"/>
      <c r="GX67" s="153"/>
      <c r="GY67" s="153"/>
      <c r="GZ67" s="153"/>
      <c r="HA67" s="153"/>
      <c r="HB67" s="153"/>
      <c r="HC67" s="153"/>
      <c r="HD67" s="153"/>
      <c r="HE67" s="153"/>
      <c r="HF67" s="153"/>
      <c r="HG67" s="153"/>
      <c r="HH67" s="153"/>
      <c r="HI67" s="153"/>
      <c r="HJ67" s="153"/>
      <c r="HK67" s="153"/>
      <c r="HL67" s="153"/>
      <c r="HM67" s="153"/>
      <c r="HN67" s="153"/>
      <c r="HO67" s="153"/>
      <c r="HP67" s="153"/>
      <c r="HQ67" s="153"/>
      <c r="HR67" s="153"/>
      <c r="HS67" s="153"/>
      <c r="HT67" s="153"/>
      <c r="HU67" s="153"/>
      <c r="HV67" s="153"/>
      <c r="HW67" s="153"/>
      <c r="HX67" s="153"/>
      <c r="HY67" s="153"/>
      <c r="HZ67" s="153"/>
      <c r="IA67" s="153"/>
      <c r="IB67" s="153"/>
      <c r="IC67" s="153"/>
      <c r="ID67" s="153"/>
      <c r="IE67" s="153"/>
      <c r="IF67" s="153"/>
      <c r="IG67" s="153"/>
      <c r="IH67" s="153" t="str">
        <f>"" &amp; TEXT(AE67,"#0.00%") &amp; "/" &amp; TEXT(AD67,"#0.00% ") &amp; "" &amp; "" &amp; " " &amp; ""</f>
        <v xml:space="preserve">0.00%/50.00%  </v>
      </c>
      <c r="II67" s="153"/>
      <c r="IJ67" s="153"/>
      <c r="IK67" s="153"/>
      <c r="IL67" s="153"/>
      <c r="IM67" s="153"/>
      <c r="IN67" s="153"/>
      <c r="IO67" s="153"/>
      <c r="IP67" s="153"/>
      <c r="IQ67" s="153"/>
      <c r="IR67" s="153"/>
      <c r="IS67" s="153"/>
      <c r="IT67" s="153"/>
      <c r="IU67" s="153"/>
      <c r="IV67" s="153"/>
      <c r="IW67" s="153"/>
      <c r="IX67" s="153"/>
      <c r="IY67" s="153"/>
      <c r="IZ67" s="153"/>
      <c r="JA67" s="153"/>
      <c r="JB67" s="153"/>
      <c r="JC67" s="153"/>
      <c r="JD67" s="153"/>
      <c r="JE67" s="153"/>
      <c r="JF67" s="153"/>
      <c r="JG67" s="153"/>
      <c r="JH67" s="153"/>
      <c r="JI67" s="153"/>
      <c r="JJ67" s="153"/>
      <c r="JK67" s="153"/>
      <c r="JL67" s="153"/>
      <c r="JM67" s="153"/>
      <c r="JN67" s="153"/>
      <c r="JO67" s="153"/>
      <c r="JP67" s="153"/>
      <c r="JQ67" s="153"/>
      <c r="JR67" s="153"/>
      <c r="JS67" s="153"/>
      <c r="JT67" s="153"/>
      <c r="JU67" s="153"/>
      <c r="JV67" s="153"/>
      <c r="JW67" s="153"/>
    </row>
    <row r="68" spans="1:283" ht="12" customHeight="1" outlineLevel="4">
      <c r="A68" s="123"/>
      <c r="B68" s="123"/>
      <c r="C68" s="123">
        <v>5</v>
      </c>
      <c r="D68" s="151" t="s">
        <v>2023</v>
      </c>
      <c r="E68" s="124"/>
      <c r="F68" s="124"/>
      <c r="G68" s="124"/>
      <c r="H68" s="124"/>
      <c r="I68" s="124" t="s">
        <v>1703</v>
      </c>
      <c r="J68" s="124"/>
      <c r="K68" s="124"/>
      <c r="L68" s="124"/>
      <c r="M68" s="124"/>
      <c r="N68" s="124"/>
      <c r="O68" s="124"/>
      <c r="P68" s="125">
        <v>46022</v>
      </c>
      <c r="Q68" s="125">
        <v>46022</v>
      </c>
      <c r="R68" s="124"/>
      <c r="S68" s="126">
        <v>1</v>
      </c>
      <c r="T68" s="126">
        <v>0</v>
      </c>
      <c r="U68" s="126">
        <v>1</v>
      </c>
      <c r="V68" s="126">
        <v>0</v>
      </c>
      <c r="W68" s="125"/>
      <c r="X68" s="125"/>
      <c r="Y68" s="127">
        <v>0</v>
      </c>
      <c r="Z68" s="128">
        <v>0</v>
      </c>
      <c r="AA68" s="126">
        <v>1</v>
      </c>
      <c r="AB68" s="124"/>
      <c r="AC68" s="129"/>
      <c r="AD68" s="150">
        <v>0</v>
      </c>
      <c r="AE68" s="251">
        <v>0</v>
      </c>
      <c r="AF68" s="183"/>
      <c r="AG68" s="153"/>
      <c r="AH68" s="153"/>
      <c r="AI68" s="153"/>
      <c r="AJ68" s="153"/>
      <c r="AK68" s="153"/>
      <c r="AL68" s="153"/>
      <c r="AM68" s="153"/>
      <c r="AN68" s="153"/>
      <c r="AO68" s="153"/>
      <c r="AP68" s="153"/>
      <c r="AQ68" s="153"/>
      <c r="AR68" s="153"/>
      <c r="AS68" s="153"/>
      <c r="AT68" s="153"/>
      <c r="AU68" s="153"/>
      <c r="AV68" s="153"/>
      <c r="AW68" s="153"/>
      <c r="AX68" s="153"/>
      <c r="AY68" s="153"/>
      <c r="AZ68" s="153"/>
      <c r="BA68" s="153"/>
      <c r="BB68" s="153"/>
      <c r="BC68" s="153"/>
      <c r="BD68" s="153"/>
      <c r="BE68" s="153"/>
      <c r="BF68" s="153"/>
      <c r="BG68" s="153"/>
      <c r="BH68" s="153"/>
      <c r="BI68" s="153"/>
      <c r="BJ68" s="153"/>
      <c r="BK68" s="153"/>
      <c r="BL68" s="153"/>
      <c r="BM68" s="153"/>
      <c r="BN68" s="153"/>
      <c r="BO68" s="153"/>
      <c r="BP68" s="153"/>
      <c r="BQ68" s="153"/>
      <c r="BR68" s="153"/>
      <c r="BS68" s="153"/>
      <c r="BT68" s="153"/>
      <c r="BU68" s="153"/>
      <c r="BV68" s="153"/>
      <c r="BW68" s="153"/>
      <c r="BX68" s="153"/>
      <c r="BY68" s="153"/>
      <c r="BZ68" s="153"/>
      <c r="CA68" s="153"/>
      <c r="CB68" s="153"/>
      <c r="CC68" s="153"/>
      <c r="CD68" s="153"/>
      <c r="CE68" s="153"/>
      <c r="CF68" s="153"/>
      <c r="CG68" s="153"/>
      <c r="CH68" s="153"/>
      <c r="CI68" s="153"/>
      <c r="CJ68" s="153"/>
      <c r="CK68" s="153"/>
      <c r="CL68" s="153"/>
      <c r="CM68" s="153"/>
      <c r="CN68" s="153"/>
      <c r="CO68" s="153"/>
      <c r="CP68" s="153"/>
      <c r="CQ68" s="153"/>
      <c r="CR68" s="153"/>
      <c r="CS68" s="153"/>
      <c r="CT68" s="153"/>
      <c r="CU68" s="153"/>
      <c r="CV68" s="153"/>
      <c r="CW68" s="153"/>
      <c r="CX68" s="153"/>
      <c r="CY68" s="153"/>
      <c r="CZ68" s="153"/>
      <c r="DA68" s="153"/>
      <c r="DB68" s="153"/>
      <c r="DC68" s="153"/>
      <c r="DD68" s="153"/>
      <c r="DE68" s="153"/>
      <c r="DF68" s="153"/>
      <c r="DG68" s="153"/>
      <c r="DH68" s="153"/>
      <c r="DI68" s="153"/>
      <c r="DJ68" s="153"/>
      <c r="DK68" s="153"/>
      <c r="DL68" s="153"/>
      <c r="DM68" s="153"/>
      <c r="DN68" s="153"/>
      <c r="DO68" s="153"/>
      <c r="DP68" s="153"/>
      <c r="DQ68" s="153"/>
      <c r="DR68" s="153"/>
      <c r="DS68" s="153"/>
      <c r="DT68" s="153"/>
      <c r="DU68" s="153"/>
      <c r="DV68" s="153"/>
      <c r="DW68" s="153"/>
      <c r="DX68" s="153"/>
      <c r="DY68" s="153"/>
      <c r="DZ68" s="153"/>
      <c r="EA68" s="153"/>
      <c r="EB68" s="153"/>
      <c r="EC68" s="153"/>
      <c r="ED68" s="153"/>
      <c r="EE68" s="153"/>
      <c r="EF68" s="153"/>
      <c r="EG68" s="153"/>
      <c r="EH68" s="153"/>
      <c r="EI68" s="153"/>
      <c r="EJ68" s="153"/>
      <c r="EK68" s="153"/>
      <c r="EL68" s="153"/>
      <c r="EM68" s="153"/>
      <c r="EN68" s="153"/>
      <c r="EO68" s="153"/>
      <c r="EP68" s="153"/>
      <c r="EQ68" s="153"/>
      <c r="ER68" s="153"/>
      <c r="ES68" s="153"/>
      <c r="ET68" s="153"/>
      <c r="EU68" s="153"/>
      <c r="EV68" s="153"/>
      <c r="EW68" s="153"/>
      <c r="EX68" s="153"/>
      <c r="EY68" s="153"/>
      <c r="EZ68" s="153"/>
      <c r="FA68" s="153"/>
      <c r="FB68" s="153"/>
      <c r="FC68" s="153"/>
      <c r="FD68" s="153"/>
      <c r="FE68" s="153"/>
      <c r="FF68" s="153"/>
      <c r="FG68" s="153"/>
      <c r="FH68" s="153"/>
      <c r="FI68" s="153"/>
      <c r="FJ68" s="153"/>
      <c r="FK68" s="153"/>
      <c r="FL68" s="153"/>
      <c r="FM68" s="153"/>
      <c r="FN68" s="153"/>
      <c r="FO68" s="153"/>
      <c r="FP68" s="153"/>
      <c r="FQ68" s="153"/>
      <c r="FR68" s="153"/>
      <c r="FS68" s="153"/>
      <c r="FT68" s="153"/>
      <c r="FU68" s="153"/>
      <c r="FV68" s="153"/>
      <c r="FW68" s="153"/>
      <c r="FX68" s="153"/>
      <c r="FY68" s="153"/>
      <c r="FZ68" s="153"/>
      <c r="GA68" s="153"/>
      <c r="GB68" s="153"/>
      <c r="GC68" s="153"/>
      <c r="GD68" s="153"/>
      <c r="GE68" s="153"/>
      <c r="GF68" s="153"/>
      <c r="GG68" s="153"/>
      <c r="GH68" s="153"/>
      <c r="GI68" s="153"/>
      <c r="GJ68" s="153"/>
      <c r="GK68" s="153"/>
      <c r="GL68" s="153"/>
      <c r="GM68" s="153"/>
      <c r="GN68" s="153"/>
      <c r="GO68" s="153"/>
      <c r="GP68" s="153"/>
      <c r="GQ68" s="153"/>
      <c r="GR68" s="153"/>
      <c r="GS68" s="153"/>
      <c r="GT68" s="153"/>
      <c r="GU68" s="153"/>
      <c r="GV68" s="153"/>
      <c r="GW68" s="153"/>
      <c r="GX68" s="153"/>
      <c r="GY68" s="153"/>
      <c r="GZ68" s="153"/>
      <c r="HA68" s="153"/>
      <c r="HB68" s="153"/>
      <c r="HC68" s="153"/>
      <c r="HD68" s="153"/>
      <c r="HE68" s="153"/>
      <c r="HF68" s="153"/>
      <c r="HG68" s="153"/>
      <c r="HH68" s="153"/>
      <c r="HI68" s="153"/>
      <c r="HJ68" s="153"/>
      <c r="HK68" s="153"/>
      <c r="HL68" s="153"/>
      <c r="HM68" s="153"/>
      <c r="HN68" s="153"/>
      <c r="HO68" s="153"/>
      <c r="HP68" s="153"/>
      <c r="HQ68" s="153"/>
      <c r="HR68" s="153"/>
      <c r="HS68" s="153"/>
      <c r="HT68" s="153"/>
      <c r="HU68" s="153"/>
      <c r="HV68" s="153"/>
      <c r="HW68" s="153"/>
      <c r="HX68" s="153"/>
      <c r="HY68" s="153"/>
      <c r="HZ68" s="153"/>
      <c r="IA68" s="153"/>
      <c r="IB68" s="153"/>
      <c r="IC68" s="153"/>
      <c r="ID68" s="153"/>
      <c r="IE68" s="153"/>
      <c r="IF68" s="153"/>
      <c r="IG68" s="153"/>
      <c r="IH68" s="153"/>
      <c r="II68" s="153"/>
      <c r="IJ68" s="153" t="str">
        <f>"" &amp; TEXT(AE68,"#0.00%") &amp; "/" &amp; TEXT(AD68,"#0.00% ") &amp; "" &amp; "" &amp; " " &amp; ""</f>
        <v xml:space="preserve">0.00%/0.00%  </v>
      </c>
      <c r="IK68" s="153"/>
      <c r="IL68" s="153"/>
      <c r="IM68" s="153"/>
      <c r="IN68" s="153"/>
      <c r="IO68" s="153"/>
      <c r="IP68" s="153"/>
      <c r="IQ68" s="153"/>
      <c r="IR68" s="153"/>
      <c r="IS68" s="153"/>
      <c r="IT68" s="153"/>
      <c r="IU68" s="153"/>
      <c r="IV68" s="153"/>
      <c r="IW68" s="153"/>
      <c r="IX68" s="153"/>
      <c r="IY68" s="153"/>
      <c r="IZ68" s="153"/>
      <c r="JA68" s="153"/>
      <c r="JB68" s="153"/>
      <c r="JC68" s="153"/>
      <c r="JD68" s="153"/>
      <c r="JE68" s="153"/>
      <c r="JF68" s="153"/>
      <c r="JG68" s="153"/>
      <c r="JH68" s="153"/>
      <c r="JI68" s="153"/>
      <c r="JJ68" s="153"/>
      <c r="JK68" s="153"/>
      <c r="JL68" s="153"/>
      <c r="JM68" s="153"/>
      <c r="JN68" s="153"/>
      <c r="JO68" s="153"/>
      <c r="JP68" s="153"/>
      <c r="JQ68" s="153"/>
      <c r="JR68" s="153"/>
      <c r="JS68" s="153"/>
      <c r="JT68" s="153"/>
      <c r="JU68" s="153"/>
      <c r="JV68" s="153"/>
      <c r="JW68" s="153"/>
    </row>
    <row r="69" spans="1:283" ht="12" customHeight="1" outlineLevel="3">
      <c r="A69" s="123">
        <v>1</v>
      </c>
      <c r="B69" s="123"/>
      <c r="C69" s="123">
        <v>4</v>
      </c>
      <c r="D69" s="151" t="s">
        <v>2024</v>
      </c>
      <c r="E69" s="124"/>
      <c r="F69" s="124"/>
      <c r="G69" s="124"/>
      <c r="H69" s="250" t="s">
        <v>1887</v>
      </c>
      <c r="I69" s="250"/>
      <c r="J69" s="250"/>
      <c r="K69" s="250"/>
      <c r="L69" s="250"/>
      <c r="M69" s="250"/>
      <c r="N69" s="250"/>
      <c r="O69" s="250"/>
      <c r="P69" s="125">
        <v>46023</v>
      </c>
      <c r="Q69" s="125">
        <v>46023</v>
      </c>
      <c r="R69" s="124"/>
      <c r="S69" s="126">
        <v>0</v>
      </c>
      <c r="T69" s="126">
        <v>0</v>
      </c>
      <c r="U69" s="126">
        <v>1</v>
      </c>
      <c r="V69" s="126">
        <v>0</v>
      </c>
      <c r="W69" s="125"/>
      <c r="X69" s="125"/>
      <c r="Y69" s="127">
        <v>0</v>
      </c>
      <c r="Z69" s="128">
        <v>0</v>
      </c>
      <c r="AA69" s="126">
        <v>1</v>
      </c>
      <c r="AB69" s="124"/>
      <c r="AC69" s="129"/>
      <c r="AD69" s="150">
        <v>0</v>
      </c>
      <c r="AE69" s="251">
        <v>0</v>
      </c>
      <c r="AF69" s="183"/>
      <c r="AG69" s="153"/>
      <c r="AH69" s="153"/>
      <c r="AI69" s="153"/>
      <c r="AJ69" s="153"/>
      <c r="AK69" s="153"/>
      <c r="AL69" s="153"/>
      <c r="AM69" s="153"/>
      <c r="AN69" s="153"/>
      <c r="AO69" s="153"/>
      <c r="AP69" s="153"/>
      <c r="AQ69" s="153"/>
      <c r="AR69" s="153"/>
      <c r="AS69" s="153"/>
      <c r="AT69" s="153"/>
      <c r="AU69" s="153"/>
      <c r="AV69" s="153"/>
      <c r="AW69" s="153"/>
      <c r="AX69" s="153"/>
      <c r="AY69" s="153"/>
      <c r="AZ69" s="153"/>
      <c r="BA69" s="153"/>
      <c r="BB69" s="153"/>
      <c r="BC69" s="153"/>
      <c r="BD69" s="153"/>
      <c r="BE69" s="153"/>
      <c r="BF69" s="153"/>
      <c r="BG69" s="153"/>
      <c r="BH69" s="153"/>
      <c r="BI69" s="153"/>
      <c r="BJ69" s="153"/>
      <c r="BK69" s="153"/>
      <c r="BL69" s="153"/>
      <c r="BM69" s="153"/>
      <c r="BN69" s="153"/>
      <c r="BO69" s="153"/>
      <c r="BP69" s="153"/>
      <c r="BQ69" s="153"/>
      <c r="BR69" s="153"/>
      <c r="BS69" s="153"/>
      <c r="BT69" s="153"/>
      <c r="BU69" s="153"/>
      <c r="BV69" s="153"/>
      <c r="BW69" s="153"/>
      <c r="BX69" s="153"/>
      <c r="BY69" s="153"/>
      <c r="BZ69" s="153"/>
      <c r="CA69" s="153"/>
      <c r="CB69" s="153"/>
      <c r="CC69" s="153"/>
      <c r="CD69" s="153"/>
      <c r="CE69" s="153"/>
      <c r="CF69" s="153"/>
      <c r="CG69" s="153"/>
      <c r="CH69" s="153"/>
      <c r="CI69" s="153"/>
      <c r="CJ69" s="153"/>
      <c r="CK69" s="153"/>
      <c r="CL69" s="153"/>
      <c r="CM69" s="153"/>
      <c r="CN69" s="153"/>
      <c r="CO69" s="153"/>
      <c r="CP69" s="153"/>
      <c r="CQ69" s="153"/>
      <c r="CR69" s="153"/>
      <c r="CS69" s="153"/>
      <c r="CT69" s="153"/>
      <c r="CU69" s="153"/>
      <c r="CV69" s="153"/>
      <c r="CW69" s="153"/>
      <c r="CX69" s="153"/>
      <c r="CY69" s="153"/>
      <c r="CZ69" s="153"/>
      <c r="DA69" s="153"/>
      <c r="DB69" s="153"/>
      <c r="DC69" s="153"/>
      <c r="DD69" s="153"/>
      <c r="DE69" s="153"/>
      <c r="DF69" s="153"/>
      <c r="DG69" s="153"/>
      <c r="DH69" s="153"/>
      <c r="DI69" s="153"/>
      <c r="DJ69" s="153"/>
      <c r="DK69" s="153"/>
      <c r="DL69" s="153"/>
      <c r="DM69" s="153"/>
      <c r="DN69" s="153"/>
      <c r="DO69" s="153"/>
      <c r="DP69" s="153"/>
      <c r="DQ69" s="153"/>
      <c r="DR69" s="153"/>
      <c r="DS69" s="153"/>
      <c r="DT69" s="153"/>
      <c r="DU69" s="153"/>
      <c r="DV69" s="153"/>
      <c r="DW69" s="153"/>
      <c r="DX69" s="153"/>
      <c r="DY69" s="153"/>
      <c r="DZ69" s="153"/>
      <c r="EA69" s="153"/>
      <c r="EB69" s="153"/>
      <c r="EC69" s="153"/>
      <c r="ED69" s="153"/>
      <c r="EE69" s="153"/>
      <c r="EF69" s="153"/>
      <c r="EG69" s="153"/>
      <c r="EH69" s="153"/>
      <c r="EI69" s="153"/>
      <c r="EJ69" s="153"/>
      <c r="EK69" s="153"/>
      <c r="EL69" s="153"/>
      <c r="EM69" s="153"/>
      <c r="EN69" s="153"/>
      <c r="EO69" s="153"/>
      <c r="EP69" s="153"/>
      <c r="EQ69" s="153"/>
      <c r="ER69" s="153"/>
      <c r="ES69" s="153"/>
      <c r="ET69" s="153"/>
      <c r="EU69" s="153"/>
      <c r="EV69" s="153"/>
      <c r="EW69" s="153"/>
      <c r="EX69" s="153"/>
      <c r="EY69" s="153"/>
      <c r="EZ69" s="153"/>
      <c r="FA69" s="153"/>
      <c r="FB69" s="153"/>
      <c r="FC69" s="153"/>
      <c r="FD69" s="153"/>
      <c r="FE69" s="153"/>
      <c r="FF69" s="153"/>
      <c r="FG69" s="153"/>
      <c r="FH69" s="153"/>
      <c r="FI69" s="153"/>
      <c r="FJ69" s="153"/>
      <c r="FK69" s="153"/>
      <c r="FL69" s="153"/>
      <c r="FM69" s="153"/>
      <c r="FN69" s="153"/>
      <c r="FO69" s="153"/>
      <c r="FP69" s="153"/>
      <c r="FQ69" s="153"/>
      <c r="FR69" s="153"/>
      <c r="FS69" s="153"/>
      <c r="FT69" s="153"/>
      <c r="FU69" s="153"/>
      <c r="FV69" s="153"/>
      <c r="FW69" s="153"/>
      <c r="FX69" s="153"/>
      <c r="FY69" s="153"/>
      <c r="FZ69" s="153"/>
      <c r="GA69" s="153"/>
      <c r="GB69" s="153"/>
      <c r="GC69" s="153"/>
      <c r="GD69" s="153"/>
      <c r="GE69" s="153"/>
      <c r="GF69" s="153"/>
      <c r="GG69" s="153"/>
      <c r="GH69" s="153"/>
      <c r="GI69" s="153"/>
      <c r="GJ69" s="153"/>
      <c r="GK69" s="153"/>
      <c r="GL69" s="153"/>
      <c r="GM69" s="153"/>
      <c r="GN69" s="153"/>
      <c r="GO69" s="153"/>
      <c r="GP69" s="153"/>
      <c r="GQ69" s="153"/>
      <c r="GR69" s="153"/>
      <c r="GS69" s="153"/>
      <c r="GT69" s="153"/>
      <c r="GU69" s="153"/>
      <c r="GV69" s="153"/>
      <c r="GW69" s="153"/>
      <c r="GX69" s="153"/>
      <c r="GY69" s="153"/>
      <c r="GZ69" s="153"/>
      <c r="HA69" s="153"/>
      <c r="HB69" s="153"/>
      <c r="HC69" s="153"/>
      <c r="HD69" s="153"/>
      <c r="HE69" s="153"/>
      <c r="HF69" s="153"/>
      <c r="HG69" s="153"/>
      <c r="HH69" s="153"/>
      <c r="HI69" s="153"/>
      <c r="HJ69" s="153"/>
      <c r="HK69" s="153"/>
      <c r="HL69" s="153"/>
      <c r="HM69" s="153"/>
      <c r="HN69" s="153"/>
      <c r="HO69" s="153"/>
      <c r="HP69" s="153"/>
      <c r="HQ69" s="153"/>
      <c r="HR69" s="153"/>
      <c r="HS69" s="153"/>
      <c r="HT69" s="153"/>
      <c r="HU69" s="153"/>
      <c r="HV69" s="153"/>
      <c r="HW69" s="153"/>
      <c r="HX69" s="153"/>
      <c r="HY69" s="153"/>
      <c r="HZ69" s="153"/>
      <c r="IA69" s="153"/>
      <c r="IB69" s="153"/>
      <c r="IC69" s="153"/>
      <c r="ID69" s="153"/>
      <c r="IE69" s="153"/>
      <c r="IF69" s="153"/>
      <c r="IG69" s="153"/>
      <c r="IH69" s="153"/>
      <c r="II69" s="153"/>
      <c r="IJ69" s="153"/>
      <c r="IK69" s="153" t="str">
        <f>"    " &amp; TEXT(AE69,"#0.00%") &amp; "/" &amp; TEXT(AD69,"#0.00% ") &amp; "" &amp; "" &amp; " " &amp; ""</f>
        <v xml:space="preserve">    0.00%/0.00%  </v>
      </c>
      <c r="IL69" s="153"/>
      <c r="IM69" s="153"/>
      <c r="IN69" s="153"/>
      <c r="IO69" s="153"/>
      <c r="IP69" s="153"/>
      <c r="IQ69" s="153"/>
      <c r="IR69" s="153"/>
      <c r="IS69" s="153"/>
      <c r="IT69" s="153"/>
      <c r="IU69" s="153"/>
      <c r="IV69" s="153"/>
      <c r="IW69" s="153"/>
      <c r="IX69" s="153"/>
      <c r="IY69" s="153"/>
      <c r="IZ69" s="153"/>
      <c r="JA69" s="153"/>
      <c r="JB69" s="153"/>
      <c r="JC69" s="153"/>
      <c r="JD69" s="153"/>
      <c r="JE69" s="153"/>
      <c r="JF69" s="153"/>
      <c r="JG69" s="153"/>
      <c r="JH69" s="153"/>
      <c r="JI69" s="153"/>
      <c r="JJ69" s="153"/>
      <c r="JK69" s="153"/>
      <c r="JL69" s="153"/>
      <c r="JM69" s="153"/>
      <c r="JN69" s="153"/>
      <c r="JO69" s="153"/>
      <c r="JP69" s="153"/>
      <c r="JQ69" s="153"/>
      <c r="JR69" s="153"/>
      <c r="JS69" s="153"/>
      <c r="JT69" s="153"/>
      <c r="JU69" s="153"/>
      <c r="JV69" s="153"/>
      <c r="JW69" s="153"/>
    </row>
    <row r="70" spans="1:283" ht="12" customHeight="1" outlineLevel="3">
      <c r="A70" s="123"/>
      <c r="B70" s="123" t="s">
        <v>1934</v>
      </c>
      <c r="C70" s="123">
        <v>4</v>
      </c>
      <c r="D70" s="151" t="s">
        <v>2025</v>
      </c>
      <c r="E70" s="124"/>
      <c r="F70" s="124"/>
      <c r="G70" s="124"/>
      <c r="H70" s="124" t="s">
        <v>1708</v>
      </c>
      <c r="I70" s="124"/>
      <c r="J70" s="124"/>
      <c r="K70" s="124"/>
      <c r="L70" s="124"/>
      <c r="M70" s="124"/>
      <c r="N70" s="124"/>
      <c r="O70" s="124"/>
      <c r="P70" s="125">
        <v>46023</v>
      </c>
      <c r="Q70" s="125">
        <v>46053</v>
      </c>
      <c r="R70" s="124"/>
      <c r="S70" s="126">
        <v>22</v>
      </c>
      <c r="T70" s="126">
        <v>0</v>
      </c>
      <c r="U70" s="126">
        <v>22</v>
      </c>
      <c r="V70" s="126">
        <v>0</v>
      </c>
      <c r="W70" s="125"/>
      <c r="X70" s="125"/>
      <c r="Y70" s="127">
        <v>0</v>
      </c>
      <c r="Z70" s="128">
        <v>0</v>
      </c>
      <c r="AA70" s="126"/>
      <c r="AB70" s="124"/>
      <c r="AC70" s="129"/>
      <c r="AD70" s="150">
        <v>0</v>
      </c>
      <c r="AE70" s="252">
        <v>0</v>
      </c>
      <c r="AF70" s="183"/>
      <c r="AG70" s="153"/>
      <c r="AH70" s="153"/>
      <c r="AI70" s="153"/>
      <c r="AJ70" s="153"/>
      <c r="AK70" s="153"/>
      <c r="AL70" s="153"/>
      <c r="AM70" s="153"/>
      <c r="AN70" s="153"/>
      <c r="AO70" s="153"/>
      <c r="AP70" s="153"/>
      <c r="AQ70" s="153"/>
      <c r="AR70" s="153"/>
      <c r="AS70" s="153"/>
      <c r="AT70" s="153"/>
      <c r="AU70" s="153"/>
      <c r="AV70" s="153"/>
      <c r="AW70" s="153"/>
      <c r="AX70" s="153"/>
      <c r="AY70" s="153"/>
      <c r="AZ70" s="153"/>
      <c r="BA70" s="153"/>
      <c r="BB70" s="153"/>
      <c r="BC70" s="153"/>
      <c r="BD70" s="153"/>
      <c r="BE70" s="153"/>
      <c r="BF70" s="153"/>
      <c r="BG70" s="153"/>
      <c r="BH70" s="153"/>
      <c r="BI70" s="153"/>
      <c r="BJ70" s="153"/>
      <c r="BK70" s="153"/>
      <c r="BL70" s="153"/>
      <c r="BM70" s="153"/>
      <c r="BN70" s="153"/>
      <c r="BO70" s="153"/>
      <c r="BP70" s="153"/>
      <c r="BQ70" s="153"/>
      <c r="BR70" s="153"/>
      <c r="BS70" s="153"/>
      <c r="BT70" s="153"/>
      <c r="BU70" s="153"/>
      <c r="BV70" s="153"/>
      <c r="BW70" s="153"/>
      <c r="BX70" s="153"/>
      <c r="BY70" s="153"/>
      <c r="BZ70" s="153"/>
      <c r="CA70" s="153"/>
      <c r="CB70" s="153"/>
      <c r="CC70" s="153"/>
      <c r="CD70" s="153"/>
      <c r="CE70" s="153"/>
      <c r="CF70" s="153"/>
      <c r="CG70" s="153"/>
      <c r="CH70" s="153"/>
      <c r="CI70" s="153"/>
      <c r="CJ70" s="153"/>
      <c r="CK70" s="153"/>
      <c r="CL70" s="153"/>
      <c r="CM70" s="153"/>
      <c r="CN70" s="153"/>
      <c r="CO70" s="153"/>
      <c r="CP70" s="153"/>
      <c r="CQ70" s="153"/>
      <c r="CR70" s="153"/>
      <c r="CS70" s="153"/>
      <c r="CT70" s="153"/>
      <c r="CU70" s="153"/>
      <c r="CV70" s="153"/>
      <c r="CW70" s="153"/>
      <c r="CX70" s="153"/>
      <c r="CY70" s="153"/>
      <c r="CZ70" s="153"/>
      <c r="DA70" s="153"/>
      <c r="DB70" s="153"/>
      <c r="DC70" s="153"/>
      <c r="DD70" s="153"/>
      <c r="DE70" s="153"/>
      <c r="DF70" s="153"/>
      <c r="DG70" s="153"/>
      <c r="DH70" s="153"/>
      <c r="DI70" s="153"/>
      <c r="DJ70" s="153"/>
      <c r="DK70" s="153"/>
      <c r="DL70" s="153"/>
      <c r="DM70" s="153"/>
      <c r="DN70" s="153"/>
      <c r="DO70" s="153"/>
      <c r="DP70" s="153"/>
      <c r="DQ70" s="153"/>
      <c r="DR70" s="153"/>
      <c r="DS70" s="153"/>
      <c r="DT70" s="153"/>
      <c r="DU70" s="153"/>
      <c r="DV70" s="153"/>
      <c r="DW70" s="153"/>
      <c r="DX70" s="153"/>
      <c r="DY70" s="153"/>
      <c r="DZ70" s="153"/>
      <c r="EA70" s="153"/>
      <c r="EB70" s="153"/>
      <c r="EC70" s="153"/>
      <c r="ED70" s="153"/>
      <c r="EE70" s="153"/>
      <c r="EF70" s="153"/>
      <c r="EG70" s="153"/>
      <c r="EH70" s="153"/>
      <c r="EI70" s="153"/>
      <c r="EJ70" s="153"/>
      <c r="EK70" s="153"/>
      <c r="EL70" s="153"/>
      <c r="EM70" s="153"/>
      <c r="EN70" s="153"/>
      <c r="EO70" s="153"/>
      <c r="EP70" s="153"/>
      <c r="EQ70" s="153"/>
      <c r="ER70" s="153"/>
      <c r="ES70" s="153"/>
      <c r="ET70" s="153"/>
      <c r="EU70" s="153"/>
      <c r="EV70" s="153"/>
      <c r="EW70" s="153"/>
      <c r="EX70" s="153"/>
      <c r="EY70" s="153"/>
      <c r="EZ70" s="153"/>
      <c r="FA70" s="153"/>
      <c r="FB70" s="153"/>
      <c r="FC70" s="153"/>
      <c r="FD70" s="153"/>
      <c r="FE70" s="153"/>
      <c r="FF70" s="153"/>
      <c r="FG70" s="153"/>
      <c r="FH70" s="153"/>
      <c r="FI70" s="153"/>
      <c r="FJ70" s="153"/>
      <c r="FK70" s="153"/>
      <c r="FL70" s="153"/>
      <c r="FM70" s="153"/>
      <c r="FN70" s="153"/>
      <c r="FO70" s="153"/>
      <c r="FP70" s="153"/>
      <c r="FQ70" s="153"/>
      <c r="FR70" s="153"/>
      <c r="FS70" s="153"/>
      <c r="FT70" s="153"/>
      <c r="FU70" s="153"/>
      <c r="FV70" s="153"/>
      <c r="FW70" s="153"/>
      <c r="FX70" s="153"/>
      <c r="FY70" s="153"/>
      <c r="FZ70" s="153"/>
      <c r="GA70" s="153"/>
      <c r="GB70" s="153"/>
      <c r="GC70" s="153"/>
      <c r="GD70" s="153"/>
      <c r="GE70" s="153"/>
      <c r="GF70" s="153"/>
      <c r="GG70" s="153"/>
      <c r="GH70" s="153"/>
      <c r="GI70" s="153"/>
      <c r="GJ70" s="153"/>
      <c r="GK70" s="153"/>
      <c r="GL70" s="153"/>
      <c r="GM70" s="153"/>
      <c r="GN70" s="153"/>
      <c r="GO70" s="153"/>
      <c r="GP70" s="153"/>
      <c r="GQ70" s="153"/>
      <c r="GR70" s="153"/>
      <c r="GS70" s="153"/>
      <c r="GT70" s="153"/>
      <c r="GU70" s="153"/>
      <c r="GV70" s="153"/>
      <c r="GW70" s="153"/>
      <c r="GX70" s="153"/>
      <c r="GY70" s="153"/>
      <c r="GZ70" s="153"/>
      <c r="HA70" s="153"/>
      <c r="HB70" s="153"/>
      <c r="HC70" s="153"/>
      <c r="HD70" s="153"/>
      <c r="HE70" s="153"/>
      <c r="HF70" s="153"/>
      <c r="HG70" s="153"/>
      <c r="HH70" s="153"/>
      <c r="HI70" s="153"/>
      <c r="HJ70" s="153"/>
      <c r="HK70" s="153"/>
      <c r="HL70" s="153"/>
      <c r="HM70" s="153"/>
      <c r="HN70" s="153"/>
      <c r="HO70" s="153"/>
      <c r="HP70" s="153"/>
      <c r="HQ70" s="153"/>
      <c r="HR70" s="153"/>
      <c r="HS70" s="153"/>
      <c r="HT70" s="153"/>
      <c r="HU70" s="153"/>
      <c r="HV70" s="153"/>
      <c r="HW70" s="153"/>
      <c r="HX70" s="153"/>
      <c r="HY70" s="153"/>
      <c r="HZ70" s="153"/>
      <c r="IA70" s="153"/>
      <c r="IB70" s="153"/>
      <c r="IC70" s="153"/>
      <c r="ID70" s="153"/>
      <c r="IE70" s="153"/>
      <c r="IF70" s="153"/>
      <c r="IG70" s="153"/>
      <c r="IH70" s="153"/>
      <c r="II70" s="153"/>
      <c r="IJ70" s="153"/>
      <c r="IK70" s="153" t="str">
        <f>"" &amp; TEXT(AE70,"#0.00%") &amp; "/" &amp; TEXT(AD70,"#0.00% ") &amp; ""</f>
        <v xml:space="preserve">0.00%/0.00% </v>
      </c>
      <c r="IL70" s="153"/>
      <c r="IM70" s="153"/>
      <c r="IN70" s="153"/>
      <c r="IO70" s="153"/>
      <c r="IP70" s="153"/>
      <c r="IQ70" s="153"/>
      <c r="IR70" s="153"/>
      <c r="IS70" s="153"/>
      <c r="IT70" s="153"/>
      <c r="IU70" s="153"/>
      <c r="IV70" s="153"/>
      <c r="IW70" s="153"/>
      <c r="IX70" s="153"/>
      <c r="IY70" s="153"/>
      <c r="IZ70" s="153"/>
      <c r="JA70" s="153"/>
      <c r="JB70" s="153"/>
      <c r="JC70" s="153"/>
      <c r="JD70" s="153"/>
      <c r="JE70" s="153"/>
      <c r="JF70" s="153"/>
      <c r="JG70" s="153"/>
      <c r="JH70" s="153"/>
      <c r="JI70" s="153"/>
      <c r="JJ70" s="153"/>
      <c r="JK70" s="153"/>
      <c r="JL70" s="153"/>
      <c r="JM70" s="153"/>
      <c r="JN70" s="153"/>
      <c r="JO70" s="153"/>
      <c r="JP70" s="153" t="str">
        <f>"" &amp; "" &amp; " " &amp; ""</f>
        <v xml:space="preserve"> </v>
      </c>
      <c r="JQ70" s="153"/>
      <c r="JR70" s="153"/>
      <c r="JS70" s="153"/>
      <c r="JT70" s="153"/>
      <c r="JU70" s="153"/>
      <c r="JV70" s="153"/>
      <c r="JW70" s="153"/>
    </row>
    <row r="71" spans="1:283" ht="12" customHeight="1" outlineLevel="4">
      <c r="A71" s="123"/>
      <c r="B71" s="123"/>
      <c r="C71" s="123">
        <v>5</v>
      </c>
      <c r="D71" s="151" t="s">
        <v>2026</v>
      </c>
      <c r="E71" s="124"/>
      <c r="F71" s="124"/>
      <c r="G71" s="124"/>
      <c r="H71" s="124"/>
      <c r="I71" s="124" t="s">
        <v>1823</v>
      </c>
      <c r="J71" s="124"/>
      <c r="K71" s="124"/>
      <c r="L71" s="124"/>
      <c r="M71" s="124"/>
      <c r="N71" s="124"/>
      <c r="O71" s="124"/>
      <c r="P71" s="125">
        <v>46023</v>
      </c>
      <c r="Q71" s="125">
        <v>46053</v>
      </c>
      <c r="R71" s="124"/>
      <c r="S71" s="126">
        <v>22</v>
      </c>
      <c r="T71" s="126">
        <v>0</v>
      </c>
      <c r="U71" s="126">
        <v>22</v>
      </c>
      <c r="V71" s="126">
        <v>0</v>
      </c>
      <c r="W71" s="125"/>
      <c r="X71" s="125"/>
      <c r="Y71" s="127">
        <v>0</v>
      </c>
      <c r="Z71" s="128">
        <v>0</v>
      </c>
      <c r="AA71" s="126">
        <v>1</v>
      </c>
      <c r="AB71" s="124"/>
      <c r="AC71" s="129"/>
      <c r="AD71" s="150">
        <v>0</v>
      </c>
      <c r="AE71" s="251">
        <v>0</v>
      </c>
      <c r="AF71" s="183"/>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3"/>
      <c r="BJ71" s="153"/>
      <c r="BK71" s="153"/>
      <c r="BL71" s="153"/>
      <c r="BM71" s="153"/>
      <c r="BN71" s="153"/>
      <c r="BO71" s="153"/>
      <c r="BP71" s="153"/>
      <c r="BQ71" s="153"/>
      <c r="BR71" s="153"/>
      <c r="BS71" s="153"/>
      <c r="BT71" s="153"/>
      <c r="BU71" s="153"/>
      <c r="BV71" s="153"/>
      <c r="BW71" s="153"/>
      <c r="BX71" s="153"/>
      <c r="BY71" s="153"/>
      <c r="BZ71" s="153"/>
      <c r="CA71" s="153"/>
      <c r="CB71" s="153"/>
      <c r="CC71" s="153"/>
      <c r="CD71" s="153"/>
      <c r="CE71" s="153"/>
      <c r="CF71" s="153"/>
      <c r="CG71" s="153"/>
      <c r="CH71" s="153"/>
      <c r="CI71" s="153"/>
      <c r="CJ71" s="153"/>
      <c r="CK71" s="153"/>
      <c r="CL71" s="153"/>
      <c r="CM71" s="153"/>
      <c r="CN71" s="153"/>
      <c r="CO71" s="153"/>
      <c r="CP71" s="153"/>
      <c r="CQ71" s="153"/>
      <c r="CR71" s="153"/>
      <c r="CS71" s="153"/>
      <c r="CT71" s="153"/>
      <c r="CU71" s="153"/>
      <c r="CV71" s="153"/>
      <c r="CW71" s="153"/>
      <c r="CX71" s="153"/>
      <c r="CY71" s="153"/>
      <c r="CZ71" s="153"/>
      <c r="DA71" s="153"/>
      <c r="DB71" s="153"/>
      <c r="DC71" s="153"/>
      <c r="DD71" s="153"/>
      <c r="DE71" s="153"/>
      <c r="DF71" s="153"/>
      <c r="DG71" s="153"/>
      <c r="DH71" s="153"/>
      <c r="DI71" s="153"/>
      <c r="DJ71" s="153"/>
      <c r="DK71" s="153"/>
      <c r="DL71" s="153"/>
      <c r="DM71" s="153"/>
      <c r="DN71" s="153"/>
      <c r="DO71" s="153"/>
      <c r="DP71" s="153"/>
      <c r="DQ71" s="153"/>
      <c r="DR71" s="153"/>
      <c r="DS71" s="153"/>
      <c r="DT71" s="153"/>
      <c r="DU71" s="153"/>
      <c r="DV71" s="153"/>
      <c r="DW71" s="153"/>
      <c r="DX71" s="153"/>
      <c r="DY71" s="153"/>
      <c r="DZ71" s="153"/>
      <c r="EA71" s="153"/>
      <c r="EB71" s="153"/>
      <c r="EC71" s="153"/>
      <c r="ED71" s="153"/>
      <c r="EE71" s="153"/>
      <c r="EF71" s="153"/>
      <c r="EG71" s="153"/>
      <c r="EH71" s="153"/>
      <c r="EI71" s="153"/>
      <c r="EJ71" s="153"/>
      <c r="EK71" s="153"/>
      <c r="EL71" s="153"/>
      <c r="EM71" s="153"/>
      <c r="EN71" s="153"/>
      <c r="EO71" s="153"/>
      <c r="EP71" s="153"/>
      <c r="EQ71" s="153"/>
      <c r="ER71" s="153"/>
      <c r="ES71" s="153"/>
      <c r="ET71" s="153"/>
      <c r="EU71" s="153"/>
      <c r="EV71" s="153"/>
      <c r="EW71" s="153"/>
      <c r="EX71" s="153"/>
      <c r="EY71" s="153"/>
      <c r="EZ71" s="153"/>
      <c r="FA71" s="153"/>
      <c r="FB71" s="153"/>
      <c r="FC71" s="153"/>
      <c r="FD71" s="153"/>
      <c r="FE71" s="153"/>
      <c r="FF71" s="153"/>
      <c r="FG71" s="153"/>
      <c r="FH71" s="153"/>
      <c r="FI71" s="153"/>
      <c r="FJ71" s="153"/>
      <c r="FK71" s="153"/>
      <c r="FL71" s="153"/>
      <c r="FM71" s="153"/>
      <c r="FN71" s="153"/>
      <c r="FO71" s="153"/>
      <c r="FP71" s="153"/>
      <c r="FQ71" s="153"/>
      <c r="FR71" s="153"/>
      <c r="FS71" s="153"/>
      <c r="FT71" s="153"/>
      <c r="FU71" s="153"/>
      <c r="FV71" s="153"/>
      <c r="FW71" s="153"/>
      <c r="FX71" s="153"/>
      <c r="FY71" s="153"/>
      <c r="FZ71" s="153"/>
      <c r="GA71" s="153"/>
      <c r="GB71" s="153"/>
      <c r="GC71" s="153"/>
      <c r="GD71" s="153"/>
      <c r="GE71" s="153"/>
      <c r="GF71" s="153"/>
      <c r="GG71" s="153"/>
      <c r="GH71" s="153"/>
      <c r="GI71" s="153"/>
      <c r="GJ71" s="153"/>
      <c r="GK71" s="153"/>
      <c r="GL71" s="153"/>
      <c r="GM71" s="153"/>
      <c r="GN71" s="153"/>
      <c r="GO71" s="153"/>
      <c r="GP71" s="153"/>
      <c r="GQ71" s="153"/>
      <c r="GR71" s="153"/>
      <c r="GS71" s="153"/>
      <c r="GT71" s="153"/>
      <c r="GU71" s="153"/>
      <c r="GV71" s="153"/>
      <c r="GW71" s="153"/>
      <c r="GX71" s="153"/>
      <c r="GY71" s="153"/>
      <c r="GZ71" s="153"/>
      <c r="HA71" s="153"/>
      <c r="HB71" s="153"/>
      <c r="HC71" s="153"/>
      <c r="HD71" s="153"/>
      <c r="HE71" s="153"/>
      <c r="HF71" s="153"/>
      <c r="HG71" s="153"/>
      <c r="HH71" s="153"/>
      <c r="HI71" s="153"/>
      <c r="HJ71" s="153"/>
      <c r="HK71" s="153"/>
      <c r="HL71" s="153"/>
      <c r="HM71" s="153"/>
      <c r="HN71" s="153"/>
      <c r="HO71" s="153"/>
      <c r="HP71" s="153"/>
      <c r="HQ71" s="153"/>
      <c r="HR71" s="153"/>
      <c r="HS71" s="153"/>
      <c r="HT71" s="153"/>
      <c r="HU71" s="153"/>
      <c r="HV71" s="153"/>
      <c r="HW71" s="153"/>
      <c r="HX71" s="153"/>
      <c r="HY71" s="153"/>
      <c r="HZ71" s="153"/>
      <c r="IA71" s="153"/>
      <c r="IB71" s="153"/>
      <c r="IC71" s="153"/>
      <c r="ID71" s="153"/>
      <c r="IE71" s="153"/>
      <c r="IF71" s="153"/>
      <c r="IG71" s="153"/>
      <c r="IH71" s="153"/>
      <c r="II71" s="153"/>
      <c r="IJ71" s="153"/>
      <c r="IK71" s="153" t="str">
        <f>"" &amp; TEXT(AE71,"#0.00%") &amp; "/" &amp; TEXT(AD71,"#0.00% ") &amp; ""</f>
        <v xml:space="preserve">0.00%/0.00% </v>
      </c>
      <c r="IL71" s="153"/>
      <c r="IM71" s="153"/>
      <c r="IN71" s="153"/>
      <c r="IO71" s="153"/>
      <c r="IP71" s="153"/>
      <c r="IQ71" s="153"/>
      <c r="IR71" s="153"/>
      <c r="IS71" s="153"/>
      <c r="IT71" s="153"/>
      <c r="IU71" s="153"/>
      <c r="IV71" s="153"/>
      <c r="IW71" s="153"/>
      <c r="IX71" s="153"/>
      <c r="IY71" s="153"/>
      <c r="IZ71" s="153"/>
      <c r="JA71" s="153"/>
      <c r="JB71" s="153"/>
      <c r="JC71" s="153"/>
      <c r="JD71" s="153"/>
      <c r="JE71" s="153"/>
      <c r="JF71" s="153"/>
      <c r="JG71" s="153"/>
      <c r="JH71" s="153"/>
      <c r="JI71" s="153"/>
      <c r="JJ71" s="153"/>
      <c r="JK71" s="153"/>
      <c r="JL71" s="153"/>
      <c r="JM71" s="153"/>
      <c r="JN71" s="153"/>
      <c r="JO71" s="153"/>
      <c r="JP71" s="153" t="str">
        <f>"" &amp; "" &amp; " " &amp; ""</f>
        <v xml:space="preserve"> </v>
      </c>
      <c r="JQ71" s="153"/>
      <c r="JR71" s="153"/>
      <c r="JS71" s="153"/>
      <c r="JT71" s="153"/>
      <c r="JU71" s="153"/>
      <c r="JV71" s="153"/>
      <c r="JW71" s="153"/>
    </row>
    <row r="72" spans="1:283" ht="12" customHeight="1">
      <c r="A72" s="187"/>
      <c r="B72" s="187"/>
      <c r="C72" s="187"/>
      <c r="D72" s="188"/>
      <c r="E72" s="189"/>
      <c r="F72" s="189"/>
      <c r="G72" s="189"/>
      <c r="H72" s="189"/>
      <c r="I72" s="189"/>
      <c r="J72" s="189"/>
      <c r="K72" s="189"/>
      <c r="L72" s="189"/>
      <c r="M72" s="189"/>
      <c r="N72" s="189"/>
      <c r="O72" s="189"/>
      <c r="P72" s="190"/>
      <c r="Q72" s="190"/>
      <c r="R72" s="189"/>
      <c r="S72" s="191"/>
      <c r="T72" s="191"/>
      <c r="U72" s="191"/>
      <c r="V72" s="191"/>
      <c r="W72" s="190"/>
      <c r="X72" s="190"/>
      <c r="Y72" s="192"/>
      <c r="Z72" s="193"/>
      <c r="AA72" s="191"/>
      <c r="AB72" s="189"/>
      <c r="AC72" s="194"/>
      <c r="AD72" s="195"/>
      <c r="AE72" s="196"/>
      <c r="AF72" s="152"/>
      <c r="AG72" s="152"/>
      <c r="AH72" s="152"/>
      <c r="AI72" s="152"/>
      <c r="AJ72" s="152"/>
      <c r="AK72" s="152"/>
      <c r="AL72" s="152"/>
      <c r="AM72" s="152"/>
      <c r="AN72" s="152"/>
      <c r="AO72" s="152"/>
      <c r="AP72" s="152"/>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52"/>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c r="CT72" s="152"/>
      <c r="CU72" s="152"/>
      <c r="CV72" s="152"/>
      <c r="CW72" s="152"/>
      <c r="CX72" s="152"/>
      <c r="CY72" s="152"/>
      <c r="CZ72" s="152"/>
      <c r="DA72" s="152"/>
      <c r="DB72" s="152"/>
      <c r="DC72" s="152"/>
      <c r="DD72" s="152"/>
      <c r="DE72" s="152"/>
      <c r="DF72" s="152"/>
      <c r="DG72" s="152"/>
      <c r="DH72" s="152"/>
      <c r="DI72" s="152"/>
      <c r="DJ72" s="152"/>
      <c r="DK72" s="152"/>
      <c r="DL72" s="152"/>
      <c r="DM72" s="152"/>
      <c r="DN72" s="152"/>
      <c r="DO72" s="152"/>
      <c r="DP72" s="152"/>
      <c r="DQ72" s="152"/>
      <c r="DR72" s="152"/>
      <c r="DS72" s="152"/>
      <c r="DT72" s="152"/>
      <c r="DU72" s="152"/>
      <c r="DV72" s="152"/>
      <c r="DW72" s="152"/>
      <c r="DX72" s="152"/>
      <c r="DY72" s="152"/>
      <c r="DZ72" s="152"/>
      <c r="EA72" s="152"/>
      <c r="EB72" s="152"/>
      <c r="EC72" s="152"/>
      <c r="ED72" s="152"/>
      <c r="EE72" s="152"/>
      <c r="EF72" s="152"/>
      <c r="EG72" s="152"/>
      <c r="EH72" s="152"/>
      <c r="EI72" s="152"/>
      <c r="EJ72" s="152"/>
      <c r="EK72" s="152"/>
      <c r="EL72" s="152"/>
      <c r="EM72" s="152"/>
      <c r="EN72" s="152"/>
      <c r="EO72" s="152"/>
      <c r="EP72" s="152"/>
      <c r="EQ72" s="152"/>
      <c r="ER72" s="152"/>
      <c r="ES72" s="152"/>
      <c r="ET72" s="152"/>
      <c r="EU72" s="152"/>
      <c r="EV72" s="152"/>
      <c r="EW72" s="152"/>
      <c r="EX72" s="152"/>
      <c r="EY72" s="152"/>
      <c r="EZ72" s="152"/>
      <c r="FA72" s="152"/>
      <c r="FB72" s="152"/>
      <c r="FC72" s="152"/>
      <c r="FD72" s="152"/>
      <c r="FE72" s="152"/>
      <c r="FF72" s="152"/>
      <c r="FG72" s="152"/>
      <c r="FH72" s="152"/>
      <c r="FI72" s="152"/>
      <c r="FJ72" s="152"/>
      <c r="FK72" s="152"/>
      <c r="FL72" s="152"/>
      <c r="FM72" s="152"/>
      <c r="FN72" s="152"/>
      <c r="FO72" s="152"/>
      <c r="FP72" s="152"/>
      <c r="FQ72" s="152"/>
      <c r="FR72" s="152"/>
      <c r="FS72" s="152"/>
      <c r="FT72" s="152"/>
      <c r="FU72" s="152"/>
      <c r="FV72" s="152"/>
      <c r="FW72" s="152"/>
      <c r="FX72" s="152"/>
      <c r="FY72" s="152"/>
      <c r="FZ72" s="152"/>
      <c r="GA72" s="152"/>
      <c r="GB72" s="152"/>
      <c r="GC72" s="152"/>
      <c r="GD72" s="152"/>
      <c r="GE72" s="152"/>
      <c r="GF72" s="152"/>
      <c r="GG72" s="152"/>
      <c r="GH72" s="152"/>
      <c r="GI72" s="152"/>
      <c r="GJ72" s="152"/>
      <c r="GK72" s="152"/>
      <c r="GL72" s="152"/>
      <c r="GM72" s="152"/>
      <c r="GN72" s="152"/>
      <c r="GO72" s="152"/>
      <c r="GP72" s="152"/>
      <c r="GQ72" s="152"/>
      <c r="GR72" s="152"/>
      <c r="GS72" s="152"/>
      <c r="GT72" s="152"/>
      <c r="GU72" s="152"/>
      <c r="GV72" s="152"/>
      <c r="GW72" s="152"/>
      <c r="GX72" s="152"/>
      <c r="GY72" s="152"/>
      <c r="GZ72" s="152"/>
      <c r="HA72" s="152"/>
      <c r="HB72" s="152"/>
      <c r="HC72" s="152"/>
      <c r="HD72" s="152"/>
      <c r="HE72" s="152"/>
      <c r="HF72" s="152"/>
      <c r="HG72" s="152"/>
      <c r="HH72" s="152"/>
      <c r="HI72" s="152"/>
      <c r="HJ72" s="152"/>
      <c r="HK72" s="152"/>
      <c r="HL72" s="152"/>
      <c r="HM72" s="152"/>
      <c r="HN72" s="152"/>
      <c r="HO72" s="152"/>
      <c r="HP72" s="152"/>
      <c r="HQ72" s="152"/>
      <c r="HR72" s="152"/>
      <c r="HS72" s="152"/>
      <c r="HT72" s="152"/>
      <c r="HU72" s="152"/>
      <c r="HV72" s="152"/>
      <c r="HW72" s="152"/>
      <c r="HX72" s="152"/>
      <c r="HY72" s="152"/>
      <c r="HZ72" s="152"/>
      <c r="IA72" s="152"/>
      <c r="IB72" s="152"/>
      <c r="IC72" s="152"/>
      <c r="ID72" s="152"/>
      <c r="IE72" s="152"/>
      <c r="IF72" s="152"/>
      <c r="IG72" s="152"/>
      <c r="IH72" s="152"/>
      <c r="II72" s="152"/>
      <c r="IJ72" s="152"/>
      <c r="IK72" s="152"/>
      <c r="IL72" s="152"/>
      <c r="IM72" s="152"/>
      <c r="IN72" s="152"/>
      <c r="IO72" s="152"/>
      <c r="IP72" s="152"/>
      <c r="IQ72" s="152"/>
      <c r="IR72" s="152"/>
      <c r="IS72" s="152"/>
      <c r="IT72" s="152"/>
      <c r="IU72" s="152"/>
      <c r="IV72" s="152"/>
      <c r="IW72" s="152"/>
      <c r="IX72" s="152"/>
      <c r="IY72" s="152"/>
      <c r="IZ72" s="152"/>
      <c r="JA72" s="152"/>
      <c r="JB72" s="152"/>
      <c r="JC72" s="152"/>
      <c r="JD72" s="152"/>
      <c r="JE72" s="152"/>
      <c r="JF72" s="152"/>
      <c r="JG72" s="152"/>
      <c r="JH72" s="152"/>
      <c r="JI72" s="152"/>
      <c r="JJ72" s="152"/>
      <c r="JK72" s="152"/>
      <c r="JL72" s="152"/>
      <c r="JM72" s="152"/>
      <c r="JN72" s="152"/>
      <c r="JO72" s="152"/>
      <c r="JP72" s="152"/>
      <c r="JQ72" s="152"/>
      <c r="JR72" s="152"/>
      <c r="JS72" s="152"/>
      <c r="JT72" s="152"/>
      <c r="JU72" s="152"/>
      <c r="JV72" s="152"/>
      <c r="JW72" s="152"/>
    </row>
    <row r="73" spans="1:283" ht="12" customHeight="1">
      <c r="A73" s="123"/>
      <c r="B73" s="123"/>
      <c r="C73" s="123"/>
      <c r="D73" s="151"/>
      <c r="E73" s="124"/>
      <c r="F73" s="124"/>
      <c r="G73" s="124"/>
      <c r="H73" s="124"/>
      <c r="I73" s="124"/>
      <c r="J73" s="124"/>
      <c r="K73" s="124"/>
      <c r="L73" s="124"/>
      <c r="M73" s="124"/>
      <c r="N73" s="124"/>
      <c r="O73" s="124"/>
      <c r="P73" s="125"/>
      <c r="Q73" s="125"/>
      <c r="R73" s="124"/>
      <c r="S73" s="126"/>
      <c r="T73" s="126"/>
      <c r="U73" s="126"/>
      <c r="V73" s="126"/>
      <c r="W73" s="125"/>
      <c r="X73" s="125"/>
      <c r="Y73" s="127"/>
      <c r="Z73" s="128"/>
      <c r="AA73" s="126"/>
      <c r="AB73" s="124"/>
      <c r="AC73" s="129"/>
      <c r="AD73" s="150"/>
      <c r="AE73" s="186"/>
    </row>
    <row r="74" spans="1:283" ht="12" customHeight="1">
      <c r="A74" s="140"/>
      <c r="B74" s="140"/>
      <c r="C74" s="140"/>
      <c r="D74" s="141"/>
      <c r="E74" s="142"/>
      <c r="F74" s="142"/>
      <c r="G74" s="142"/>
      <c r="H74" s="142"/>
      <c r="I74" s="142"/>
      <c r="J74" s="142"/>
      <c r="K74" s="142"/>
      <c r="L74" s="142"/>
      <c r="M74" s="142"/>
      <c r="N74" s="142"/>
      <c r="O74" s="142"/>
      <c r="P74" s="143"/>
      <c r="Q74" s="143"/>
      <c r="R74" s="142"/>
      <c r="S74" s="144"/>
      <c r="T74" s="144"/>
      <c r="U74" s="144"/>
      <c r="V74" s="144"/>
      <c r="W74" s="143"/>
      <c r="X74" s="143"/>
      <c r="Y74" s="145"/>
      <c r="Z74" s="146"/>
      <c r="AA74" s="144"/>
      <c r="AB74" s="142"/>
      <c r="AC74" s="147"/>
      <c r="AD74" s="148"/>
      <c r="AE74" s="149"/>
    </row>
  </sheetData>
  <sheetProtection formatCells="0" formatColumns="0" formatRows="0" insertColumns="0" insertRows="0" insertHyperlinks="0" deleteColumns="0" deleteRows="0" sort="0" autoFilter="0" pivotTables="0"/>
  <dataConsolidate/>
  <mergeCells count="95">
    <mergeCell ref="JC3:JI3"/>
    <mergeCell ref="JC2:JI2"/>
    <mergeCell ref="JJ3:JP3"/>
    <mergeCell ref="JJ2:JP2"/>
    <mergeCell ref="JQ3:JW3"/>
    <mergeCell ref="JQ2:JW2"/>
    <mergeCell ref="IH3:IN3"/>
    <mergeCell ref="IH2:IN2"/>
    <mergeCell ref="IO3:IU3"/>
    <mergeCell ref="IO2:IU2"/>
    <mergeCell ref="IV3:JB3"/>
    <mergeCell ref="IV2:JB2"/>
    <mergeCell ref="HM3:HS3"/>
    <mergeCell ref="HM2:HS2"/>
    <mergeCell ref="HT3:HZ3"/>
    <mergeCell ref="HT2:HZ2"/>
    <mergeCell ref="IA3:IG3"/>
    <mergeCell ref="IA2:IG2"/>
    <mergeCell ref="AC3:AC4"/>
    <mergeCell ref="AD3:AD4"/>
    <mergeCell ref="AE3:AE4"/>
    <mergeCell ref="O3:O4"/>
    <mergeCell ref="AB3:AB4"/>
    <mergeCell ref="Y3:Y4"/>
    <mergeCell ref="Z3:Z4"/>
    <mergeCell ref="D2:F2"/>
    <mergeCell ref="AA3:AA4"/>
    <mergeCell ref="P3:P4"/>
    <mergeCell ref="Q3:Q4"/>
    <mergeCell ref="R3:R4"/>
    <mergeCell ref="S3:S4"/>
    <mergeCell ref="X3:X4"/>
    <mergeCell ref="T3:T4"/>
    <mergeCell ref="U3:U4"/>
    <mergeCell ref="V3:V4"/>
    <mergeCell ref="W3:W4"/>
    <mergeCell ref="A3:A4"/>
    <mergeCell ref="B3:B4"/>
    <mergeCell ref="C3:C4"/>
    <mergeCell ref="D3:D4"/>
    <mergeCell ref="E3:N4"/>
    <mergeCell ref="BA3:BG3"/>
    <mergeCell ref="BH3:BN3"/>
    <mergeCell ref="AF3:AL3"/>
    <mergeCell ref="AM3:AS3"/>
    <mergeCell ref="DS3:DY3"/>
    <mergeCell ref="CJ3:CP3"/>
    <mergeCell ref="CQ3:CW3"/>
    <mergeCell ref="CX3:DD3"/>
    <mergeCell ref="BO3:BU3"/>
    <mergeCell ref="BV3:CB3"/>
    <mergeCell ref="CC3:CI3"/>
    <mergeCell ref="AT3:AZ3"/>
    <mergeCell ref="CX2:DD2"/>
    <mergeCell ref="DE2:DK2"/>
    <mergeCell ref="GY3:HE3"/>
    <mergeCell ref="GK3:GQ3"/>
    <mergeCell ref="GR3:GX3"/>
    <mergeCell ref="FP3:FV3"/>
    <mergeCell ref="FW3:GC3"/>
    <mergeCell ref="GD3:GJ3"/>
    <mergeCell ref="EU3:FA3"/>
    <mergeCell ref="FB3:FH3"/>
    <mergeCell ref="FI3:FO3"/>
    <mergeCell ref="DZ3:EF3"/>
    <mergeCell ref="EG3:EM3"/>
    <mergeCell ref="EN3:ET3"/>
    <mergeCell ref="DE3:DK3"/>
    <mergeCell ref="DL3:DR3"/>
    <mergeCell ref="BO2:BU2"/>
    <mergeCell ref="BV2:CB2"/>
    <mergeCell ref="CC2:CI2"/>
    <mergeCell ref="CJ2:CP2"/>
    <mergeCell ref="CQ2:CW2"/>
    <mergeCell ref="AF2:AL2"/>
    <mergeCell ref="AM2:AS2"/>
    <mergeCell ref="AT2:AZ2"/>
    <mergeCell ref="BA2:BG2"/>
    <mergeCell ref="BH2:BN2"/>
    <mergeCell ref="DL2:DR2"/>
    <mergeCell ref="DS2:DY2"/>
    <mergeCell ref="DZ2:EF2"/>
    <mergeCell ref="EG2:EM2"/>
    <mergeCell ref="EN2:ET2"/>
    <mergeCell ref="EU2:FA2"/>
    <mergeCell ref="FB2:FH2"/>
    <mergeCell ref="FI2:FO2"/>
    <mergeCell ref="FP2:FV2"/>
    <mergeCell ref="FW2:GC2"/>
    <mergeCell ref="HF3:HL3"/>
    <mergeCell ref="HF2:HL2"/>
    <mergeCell ref="GD2:GJ2"/>
    <mergeCell ref="GK2:GQ2"/>
    <mergeCell ref="GR2:GX2"/>
    <mergeCell ref="GY2:HE2"/>
  </mergeCells>
  <phoneticPr fontId="2" type="noConversion"/>
  <conditionalFormatting sqref="AF5:JW71">
    <cfRule type="expression" dxfId="3" priority="4" stopIfTrue="1">
      <formula>COUNTIF(STD_CAL,AF$4)&gt;0</formula>
    </cfRule>
  </conditionalFormatting>
  <conditionalFormatting sqref="D5:AD71">
    <cfRule type="expression" dxfId="2" priority="3">
      <formula>($B5="G")</formula>
    </cfRule>
    <cfRule type="expression" dxfId="1" priority="2">
      <formula>($AE5=1)</formula>
    </cfRule>
  </conditionalFormatting>
  <conditionalFormatting sqref="W5:X71">
    <cfRule type="expression" dxfId="0" priority="1">
      <formula>($P5&amp;$Q5&lt;&gt;$W5&amp;$X5)</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37"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W30"/>
  <sheetViews>
    <sheetView showGridLines="0" zoomScaleNormal="100" workbookViewId="0">
      <pane ySplit="1" topLeftCell="A2" activePane="bottomLeft" state="frozenSplit"/>
      <selection activeCell="B6" sqref="B6"/>
      <selection pane="bottomLeft" activeCell="B6" sqref="B6"/>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62" t="s">
        <v>2036</v>
      </c>
      <c r="B1" s="2"/>
      <c r="C1" s="2"/>
      <c r="D1" s="2"/>
      <c r="E1" s="2"/>
      <c r="F1" s="2"/>
      <c r="G1" s="2"/>
      <c r="H1" s="2"/>
      <c r="I1" s="2"/>
      <c r="J1" s="2"/>
      <c r="K1" s="2"/>
      <c r="L1" s="303"/>
      <c r="M1" s="304"/>
      <c r="N1" s="304"/>
      <c r="O1" s="3"/>
      <c r="P1" s="3"/>
      <c r="Q1" s="3"/>
    </row>
    <row r="2" spans="1:17" s="7" customFormat="1" ht="12.75">
      <c r="A2" s="5" t="s">
        <v>1400</v>
      </c>
      <c r="B2" s="6"/>
    </row>
    <row r="3" spans="1:17" s="7" customFormat="1" ht="12.75">
      <c r="A3" s="5" t="s">
        <v>1401</v>
      </c>
      <c r="B3" s="6"/>
    </row>
    <row r="4" spans="1:17" s="7" customFormat="1" ht="12.75">
      <c r="A4" s="305"/>
      <c r="B4" s="305"/>
      <c r="C4" s="8"/>
      <c r="D4" s="9"/>
      <c r="E4" s="9"/>
      <c r="F4" s="9"/>
    </row>
    <row r="5" spans="1:17" s="15" customFormat="1" ht="12.75">
      <c r="A5" s="10"/>
      <c r="B5" s="11"/>
      <c r="C5" s="12"/>
      <c r="D5" s="13"/>
      <c r="E5" s="14"/>
      <c r="F5" s="14"/>
      <c r="G5" s="14"/>
    </row>
    <row r="6" spans="1:17" s="15" customFormat="1" ht="12.75">
      <c r="A6" s="16" t="s">
        <v>1402</v>
      </c>
      <c r="B6" s="17">
        <v>332</v>
      </c>
      <c r="C6" s="15" t="s">
        <v>0</v>
      </c>
      <c r="D6" s="302" t="s">
        <v>1403</v>
      </c>
      <c r="E6" s="302"/>
      <c r="F6" s="302"/>
      <c r="G6" s="302"/>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1404</v>
      </c>
      <c r="B9" s="17">
        <v>303</v>
      </c>
      <c r="C9" s="15" t="s">
        <v>0</v>
      </c>
      <c r="D9" s="301" t="s">
        <v>1405</v>
      </c>
      <c r="E9" s="301"/>
      <c r="F9" s="301"/>
      <c r="G9" s="301"/>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2062</v>
      </c>
      <c r="B12" s="17">
        <v>277.5</v>
      </c>
      <c r="C12" s="15" t="s">
        <v>0</v>
      </c>
      <c r="D12" s="306" t="s">
        <v>2044</v>
      </c>
      <c r="E12" s="301"/>
      <c r="F12" s="301"/>
      <c r="G12" s="301"/>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1406</v>
      </c>
      <c r="B15" s="17">
        <v>395.5</v>
      </c>
      <c r="C15" s="15" t="s">
        <v>0</v>
      </c>
      <c r="D15" s="301" t="s">
        <v>1407</v>
      </c>
      <c r="E15" s="301"/>
      <c r="F15" s="301"/>
      <c r="G15" s="301"/>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1408</v>
      </c>
      <c r="B18" s="39">
        <v>0.91265060240963858</v>
      </c>
      <c r="D18" s="301" t="s">
        <v>1409</v>
      </c>
      <c r="E18" s="301"/>
      <c r="F18" s="301"/>
      <c r="G18" s="301"/>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1410</v>
      </c>
      <c r="B21" s="39">
        <v>0.83584337349397586</v>
      </c>
      <c r="D21" s="301" t="s">
        <v>1411</v>
      </c>
      <c r="E21" s="301"/>
      <c r="F21" s="301"/>
      <c r="G21" s="301"/>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1412</v>
      </c>
      <c r="B24" s="49">
        <f>ACTUAL_RATE-PLANNED_RATE</f>
        <v>-7.6807228915662717E-2</v>
      </c>
      <c r="D24" s="302" t="s">
        <v>1413</v>
      </c>
      <c r="E24" s="302"/>
      <c r="F24" s="302"/>
      <c r="G24" s="302"/>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4"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54"/>
  <sheetViews>
    <sheetView showGridLines="0" zoomScale="80" zoomScaleNormal="80" workbookViewId="0">
      <pane ySplit="6" topLeftCell="A7" activePane="bottomLeft" state="frozen"/>
      <selection activeCell="B6" sqref="B6"/>
      <selection pane="bottomLeft" activeCell="B6" sqref="B6"/>
    </sheetView>
  </sheetViews>
  <sheetFormatPr defaultColWidth="9.125" defaultRowHeight="15" outlineLevelRow="2"/>
  <cols>
    <col min="1" max="1" width="20.625" style="116" customWidth="1"/>
    <col min="2" max="2" width="11.75" style="116" bestFit="1" customWidth="1"/>
    <col min="3" max="3" width="30" style="116" bestFit="1" customWidth="1"/>
    <col min="4" max="5" width="10.625" style="116" bestFit="1" customWidth="1"/>
    <col min="6" max="6" width="8.375" style="182" bestFit="1" customWidth="1"/>
    <col min="7" max="7" width="9.375" style="76" bestFit="1" customWidth="1"/>
    <col min="8" max="8" width="11.25" style="76" bestFit="1" customWidth="1"/>
    <col min="9" max="9" width="11.375" style="76" bestFit="1" customWidth="1"/>
    <col min="10" max="10" width="9.875" style="76" bestFit="1" customWidth="1"/>
    <col min="11" max="11" width="9.625" style="76" bestFit="1" customWidth="1"/>
    <col min="12" max="12" width="10.625" style="76" bestFit="1" customWidth="1"/>
    <col min="13" max="14" width="11.25" style="116" bestFit="1" customWidth="1"/>
    <col min="15" max="15" width="9.875" style="116" bestFit="1" customWidth="1"/>
    <col min="16" max="16384" width="9.125" style="116"/>
  </cols>
  <sheetData>
    <row r="1" spans="1:15" ht="36.950000000000003" customHeight="1">
      <c r="A1" s="62" t="s">
        <v>1860</v>
      </c>
    </row>
    <row r="2" spans="1:15">
      <c r="A2" s="116" t="s">
        <v>1861</v>
      </c>
    </row>
    <row r="3" spans="1:15">
      <c r="A3" s="116" t="s">
        <v>1862</v>
      </c>
    </row>
    <row r="6" spans="1:15" ht="45">
      <c r="A6" s="63" t="s">
        <v>1836</v>
      </c>
      <c r="B6" s="75" t="s">
        <v>295</v>
      </c>
      <c r="C6" s="75" t="s">
        <v>1863</v>
      </c>
      <c r="D6" s="75" t="s">
        <v>1414</v>
      </c>
      <c r="E6" s="75" t="s">
        <v>1415</v>
      </c>
      <c r="F6" s="241" t="s">
        <v>1835</v>
      </c>
      <c r="G6" s="227" t="s">
        <v>1864</v>
      </c>
      <c r="H6" s="227" t="s">
        <v>1865</v>
      </c>
      <c r="I6" s="227" t="s">
        <v>1866</v>
      </c>
      <c r="J6" s="227" t="s">
        <v>1867</v>
      </c>
      <c r="K6" s="227" t="s">
        <v>1868</v>
      </c>
      <c r="L6" s="227" t="s">
        <v>1869</v>
      </c>
      <c r="M6" s="75" t="s">
        <v>1870</v>
      </c>
      <c r="N6" s="75" t="s">
        <v>1871</v>
      </c>
      <c r="O6" s="228" t="s">
        <v>1872</v>
      </c>
    </row>
    <row r="7" spans="1:15" outlineLevel="2">
      <c r="A7" s="229" t="s">
        <v>1416</v>
      </c>
      <c r="B7" s="230" t="s">
        <v>1514</v>
      </c>
      <c r="C7" s="229" t="s">
        <v>1714</v>
      </c>
      <c r="D7" s="231">
        <v>45078</v>
      </c>
      <c r="E7" s="231">
        <v>45078</v>
      </c>
      <c r="F7" s="182">
        <v>1</v>
      </c>
      <c r="G7" s="76">
        <v>1</v>
      </c>
      <c r="H7" s="76">
        <v>1</v>
      </c>
      <c r="I7" s="76">
        <v>1</v>
      </c>
      <c r="J7" s="198">
        <v>1</v>
      </c>
      <c r="K7" s="198">
        <v>1</v>
      </c>
      <c r="L7" s="198">
        <f t="shared" ref="L7:L38" si="0">K7-J7</f>
        <v>0</v>
      </c>
      <c r="M7" s="231">
        <v>45078</v>
      </c>
      <c r="N7" s="231">
        <v>45078</v>
      </c>
      <c r="O7" s="116">
        <v>1</v>
      </c>
    </row>
    <row r="8" spans="1:15" outlineLevel="2">
      <c r="A8" s="229" t="s">
        <v>1416</v>
      </c>
      <c r="B8" s="230" t="s">
        <v>1548</v>
      </c>
      <c r="C8" s="229" t="s">
        <v>1515</v>
      </c>
      <c r="D8" s="231">
        <v>45078</v>
      </c>
      <c r="E8" s="231">
        <v>45078</v>
      </c>
      <c r="F8" s="182">
        <v>1</v>
      </c>
      <c r="G8" s="76">
        <v>1</v>
      </c>
      <c r="H8" s="76">
        <v>1</v>
      </c>
      <c r="I8" s="76">
        <v>1</v>
      </c>
      <c r="J8" s="198">
        <v>1</v>
      </c>
      <c r="K8" s="198">
        <v>1</v>
      </c>
      <c r="L8" s="198">
        <f t="shared" si="0"/>
        <v>0</v>
      </c>
      <c r="M8" s="231">
        <v>45078</v>
      </c>
      <c r="N8" s="231">
        <v>45078</v>
      </c>
      <c r="O8" s="116">
        <v>1</v>
      </c>
    </row>
    <row r="9" spans="1:15" outlineLevel="2">
      <c r="A9" s="229" t="s">
        <v>1416</v>
      </c>
      <c r="B9" s="230" t="s">
        <v>1516</v>
      </c>
      <c r="C9" s="229" t="s">
        <v>1517</v>
      </c>
      <c r="D9" s="231">
        <v>45117</v>
      </c>
      <c r="E9" s="231">
        <v>45121</v>
      </c>
      <c r="F9" s="182">
        <v>1</v>
      </c>
      <c r="G9" s="76">
        <v>5</v>
      </c>
      <c r="H9" s="76">
        <v>0</v>
      </c>
      <c r="I9" s="76">
        <v>0</v>
      </c>
      <c r="J9" s="198">
        <v>0</v>
      </c>
      <c r="K9" s="198">
        <v>0</v>
      </c>
      <c r="L9" s="198">
        <f t="shared" si="0"/>
        <v>0</v>
      </c>
      <c r="O9" s="116">
        <v>0</v>
      </c>
    </row>
    <row r="10" spans="1:15" outlineLevel="2">
      <c r="A10" s="229" t="s">
        <v>1416</v>
      </c>
      <c r="B10" s="230" t="s">
        <v>1519</v>
      </c>
      <c r="C10" s="229" t="s">
        <v>1518</v>
      </c>
      <c r="D10" s="231">
        <v>45117</v>
      </c>
      <c r="E10" s="231">
        <v>45121</v>
      </c>
      <c r="F10" s="182">
        <v>1</v>
      </c>
      <c r="G10" s="76">
        <v>5</v>
      </c>
      <c r="H10" s="76">
        <v>0</v>
      </c>
      <c r="I10" s="76">
        <v>0</v>
      </c>
      <c r="J10" s="198">
        <v>0</v>
      </c>
      <c r="K10" s="198">
        <v>0</v>
      </c>
      <c r="L10" s="198">
        <f t="shared" si="0"/>
        <v>0</v>
      </c>
      <c r="O10" s="116">
        <v>0</v>
      </c>
    </row>
    <row r="11" spans="1:15" outlineLevel="2">
      <c r="A11" s="229" t="s">
        <v>1416</v>
      </c>
      <c r="B11" s="230" t="s">
        <v>1445</v>
      </c>
      <c r="C11" s="229" t="s">
        <v>1511</v>
      </c>
      <c r="D11" s="231">
        <v>45082</v>
      </c>
      <c r="E11" s="231">
        <v>45086</v>
      </c>
      <c r="F11" s="182">
        <v>1</v>
      </c>
      <c r="G11" s="76">
        <v>4</v>
      </c>
      <c r="H11" s="76">
        <v>4</v>
      </c>
      <c r="I11" s="76">
        <v>4</v>
      </c>
      <c r="J11" s="198">
        <v>1</v>
      </c>
      <c r="K11" s="198">
        <v>1</v>
      </c>
      <c r="L11" s="198">
        <f t="shared" si="0"/>
        <v>0</v>
      </c>
      <c r="M11" s="231">
        <v>45082</v>
      </c>
      <c r="N11" s="231">
        <v>45086</v>
      </c>
      <c r="O11" s="116">
        <v>4</v>
      </c>
    </row>
    <row r="12" spans="1:15" outlineLevel="2">
      <c r="A12" s="229" t="s">
        <v>1416</v>
      </c>
      <c r="B12" s="230" t="s">
        <v>1446</v>
      </c>
      <c r="C12" s="229" t="s">
        <v>1503</v>
      </c>
      <c r="D12" s="231">
        <v>45090</v>
      </c>
      <c r="E12" s="231">
        <v>45091</v>
      </c>
      <c r="F12" s="182">
        <v>1</v>
      </c>
      <c r="G12" s="76">
        <v>2</v>
      </c>
      <c r="H12" s="76">
        <v>2</v>
      </c>
      <c r="I12" s="76">
        <v>0</v>
      </c>
      <c r="J12" s="198">
        <v>1</v>
      </c>
      <c r="K12" s="198">
        <v>0</v>
      </c>
      <c r="L12" s="239">
        <f t="shared" si="0"/>
        <v>-1</v>
      </c>
      <c r="M12" s="231">
        <v>45090</v>
      </c>
      <c r="O12" s="116">
        <v>0</v>
      </c>
    </row>
    <row r="13" spans="1:15" outlineLevel="2">
      <c r="A13" s="229" t="s">
        <v>1416</v>
      </c>
      <c r="B13" s="230" t="s">
        <v>1506</v>
      </c>
      <c r="C13" s="229" t="s">
        <v>1837</v>
      </c>
      <c r="D13" s="231">
        <v>45090</v>
      </c>
      <c r="E13" s="231">
        <v>45091</v>
      </c>
      <c r="F13" s="182">
        <v>1</v>
      </c>
      <c r="G13" s="76">
        <v>2</v>
      </c>
      <c r="H13" s="76">
        <v>2</v>
      </c>
      <c r="I13" s="76">
        <v>0</v>
      </c>
      <c r="J13" s="198">
        <v>1</v>
      </c>
      <c r="K13" s="198">
        <v>0</v>
      </c>
      <c r="L13" s="239">
        <f t="shared" si="0"/>
        <v>-1</v>
      </c>
      <c r="M13" s="231">
        <v>45090</v>
      </c>
      <c r="O13" s="116">
        <v>0</v>
      </c>
    </row>
    <row r="14" spans="1:15" outlineLevel="2">
      <c r="A14" s="229" t="s">
        <v>1416</v>
      </c>
      <c r="B14" s="230" t="s">
        <v>1507</v>
      </c>
      <c r="C14" s="229" t="s">
        <v>1509</v>
      </c>
      <c r="D14" s="231">
        <v>45090</v>
      </c>
      <c r="E14" s="231">
        <v>45090</v>
      </c>
      <c r="F14" s="182">
        <v>1</v>
      </c>
      <c r="G14" s="76">
        <v>1</v>
      </c>
      <c r="H14" s="76">
        <v>1</v>
      </c>
      <c r="I14" s="76">
        <v>1</v>
      </c>
      <c r="J14" s="198">
        <v>1</v>
      </c>
      <c r="K14" s="198">
        <v>1</v>
      </c>
      <c r="L14" s="198">
        <f t="shared" si="0"/>
        <v>0</v>
      </c>
      <c r="M14" s="231">
        <v>45090</v>
      </c>
      <c r="N14" s="231">
        <v>45090</v>
      </c>
      <c r="O14" s="116">
        <v>1</v>
      </c>
    </row>
    <row r="15" spans="1:15" outlineLevel="2">
      <c r="A15" s="229" t="s">
        <v>1416</v>
      </c>
      <c r="B15" s="230" t="s">
        <v>1510</v>
      </c>
      <c r="C15" s="229" t="s">
        <v>1715</v>
      </c>
      <c r="D15" s="231">
        <v>45090</v>
      </c>
      <c r="E15" s="231">
        <v>45090</v>
      </c>
      <c r="F15" s="182">
        <v>1</v>
      </c>
      <c r="G15" s="76">
        <v>1</v>
      </c>
      <c r="H15" s="76">
        <v>1</v>
      </c>
      <c r="I15" s="76">
        <v>1</v>
      </c>
      <c r="J15" s="198">
        <v>1</v>
      </c>
      <c r="K15" s="198">
        <v>1</v>
      </c>
      <c r="L15" s="198">
        <f t="shared" si="0"/>
        <v>0</v>
      </c>
      <c r="M15" s="231">
        <v>45090</v>
      </c>
      <c r="N15" s="231">
        <v>45090</v>
      </c>
      <c r="O15" s="116">
        <v>1</v>
      </c>
    </row>
    <row r="16" spans="1:15" outlineLevel="2">
      <c r="A16" s="229" t="s">
        <v>1416</v>
      </c>
      <c r="B16" s="230" t="s">
        <v>1521</v>
      </c>
      <c r="C16" s="229" t="s">
        <v>1520</v>
      </c>
      <c r="D16" s="231">
        <v>45093</v>
      </c>
      <c r="E16" s="231">
        <v>45093</v>
      </c>
      <c r="F16" s="182">
        <v>1</v>
      </c>
      <c r="G16" s="76">
        <v>1</v>
      </c>
      <c r="H16" s="76">
        <v>1</v>
      </c>
      <c r="I16" s="76">
        <v>0</v>
      </c>
      <c r="J16" s="198">
        <v>1</v>
      </c>
      <c r="K16" s="198">
        <v>0</v>
      </c>
      <c r="L16" s="239">
        <f t="shared" si="0"/>
        <v>-1</v>
      </c>
      <c r="O16" s="116">
        <v>0</v>
      </c>
    </row>
    <row r="17" spans="1:15" outlineLevel="2">
      <c r="A17" s="229" t="s">
        <v>1416</v>
      </c>
      <c r="B17" s="230" t="s">
        <v>1560</v>
      </c>
      <c r="C17" s="229" t="s">
        <v>1581</v>
      </c>
      <c r="D17" s="231">
        <v>45156</v>
      </c>
      <c r="E17" s="231">
        <v>45156</v>
      </c>
      <c r="F17" s="182">
        <v>1</v>
      </c>
      <c r="G17" s="76">
        <v>1</v>
      </c>
      <c r="H17" s="76">
        <v>0</v>
      </c>
      <c r="I17" s="76">
        <v>0</v>
      </c>
      <c r="J17" s="198">
        <v>0</v>
      </c>
      <c r="K17" s="198">
        <v>0</v>
      </c>
      <c r="L17" s="198">
        <f t="shared" si="0"/>
        <v>0</v>
      </c>
      <c r="O17" s="116">
        <v>0</v>
      </c>
    </row>
    <row r="18" spans="1:15" outlineLevel="2">
      <c r="A18" s="229" t="s">
        <v>1416</v>
      </c>
      <c r="B18" s="230" t="s">
        <v>1561</v>
      </c>
      <c r="C18" s="229" t="s">
        <v>1582</v>
      </c>
      <c r="D18" s="231">
        <v>45163</v>
      </c>
      <c r="E18" s="231">
        <v>45163</v>
      </c>
      <c r="F18" s="182">
        <v>1</v>
      </c>
      <c r="G18" s="76">
        <v>1</v>
      </c>
      <c r="H18" s="76">
        <v>0</v>
      </c>
      <c r="I18" s="76">
        <v>0</v>
      </c>
      <c r="J18" s="198">
        <v>0</v>
      </c>
      <c r="K18" s="198">
        <v>0</v>
      </c>
      <c r="L18" s="198">
        <f t="shared" si="0"/>
        <v>0</v>
      </c>
      <c r="O18" s="116">
        <v>0</v>
      </c>
    </row>
    <row r="19" spans="1:15" outlineLevel="2">
      <c r="A19" s="229" t="s">
        <v>1416</v>
      </c>
      <c r="B19" s="230" t="s">
        <v>1562</v>
      </c>
      <c r="C19" s="229" t="s">
        <v>1583</v>
      </c>
      <c r="D19" s="231">
        <v>45170</v>
      </c>
      <c r="E19" s="231">
        <v>45170</v>
      </c>
      <c r="F19" s="182">
        <v>1</v>
      </c>
      <c r="G19" s="76">
        <v>1</v>
      </c>
      <c r="H19" s="76">
        <v>0</v>
      </c>
      <c r="I19" s="76">
        <v>0</v>
      </c>
      <c r="J19" s="198">
        <v>0</v>
      </c>
      <c r="K19" s="198">
        <v>0</v>
      </c>
      <c r="L19" s="198">
        <f t="shared" si="0"/>
        <v>0</v>
      </c>
      <c r="O19" s="116">
        <v>0</v>
      </c>
    </row>
    <row r="20" spans="1:15" outlineLevel="2">
      <c r="A20" s="229" t="s">
        <v>1416</v>
      </c>
      <c r="B20" s="230" t="s">
        <v>1563</v>
      </c>
      <c r="C20" s="229" t="s">
        <v>1584</v>
      </c>
      <c r="D20" s="231">
        <v>45177</v>
      </c>
      <c r="E20" s="231">
        <v>45177</v>
      </c>
      <c r="F20" s="182">
        <v>1</v>
      </c>
      <c r="G20" s="76">
        <v>1</v>
      </c>
      <c r="H20" s="76">
        <v>0</v>
      </c>
      <c r="I20" s="76">
        <v>0</v>
      </c>
      <c r="J20" s="198">
        <v>0</v>
      </c>
      <c r="K20" s="198">
        <v>0</v>
      </c>
      <c r="L20" s="198">
        <f t="shared" si="0"/>
        <v>0</v>
      </c>
      <c r="O20" s="116">
        <v>0</v>
      </c>
    </row>
    <row r="21" spans="1:15" outlineLevel="2">
      <c r="A21" s="229" t="s">
        <v>1416</v>
      </c>
      <c r="B21" s="230" t="s">
        <v>1564</v>
      </c>
      <c r="C21" s="229" t="s">
        <v>1585</v>
      </c>
      <c r="D21" s="231">
        <v>45184</v>
      </c>
      <c r="E21" s="231">
        <v>45184</v>
      </c>
      <c r="F21" s="182">
        <v>1</v>
      </c>
      <c r="G21" s="76">
        <v>1</v>
      </c>
      <c r="H21" s="76">
        <v>0</v>
      </c>
      <c r="I21" s="76">
        <v>0</v>
      </c>
      <c r="J21" s="198">
        <v>0</v>
      </c>
      <c r="K21" s="198">
        <v>0</v>
      </c>
      <c r="L21" s="198">
        <f t="shared" si="0"/>
        <v>0</v>
      </c>
      <c r="O21" s="116">
        <v>0</v>
      </c>
    </row>
    <row r="22" spans="1:15" outlineLevel="2">
      <c r="A22" s="229" t="s">
        <v>1416</v>
      </c>
      <c r="B22" s="230" t="s">
        <v>1565</v>
      </c>
      <c r="C22" s="229" t="s">
        <v>1586</v>
      </c>
      <c r="D22" s="231">
        <v>45191</v>
      </c>
      <c r="E22" s="231">
        <v>45191</v>
      </c>
      <c r="F22" s="182">
        <v>1</v>
      </c>
      <c r="G22" s="76">
        <v>1</v>
      </c>
      <c r="H22" s="76">
        <v>0</v>
      </c>
      <c r="I22" s="76">
        <v>0</v>
      </c>
      <c r="J22" s="198">
        <v>0</v>
      </c>
      <c r="K22" s="198">
        <v>0</v>
      </c>
      <c r="L22" s="198">
        <f t="shared" si="0"/>
        <v>0</v>
      </c>
      <c r="O22" s="116">
        <v>0</v>
      </c>
    </row>
    <row r="23" spans="1:15" outlineLevel="2">
      <c r="A23" s="229" t="s">
        <v>1416</v>
      </c>
      <c r="B23" s="230" t="s">
        <v>1566</v>
      </c>
      <c r="C23" s="229" t="s">
        <v>1587</v>
      </c>
      <c r="D23" s="231">
        <v>45198</v>
      </c>
      <c r="E23" s="231">
        <v>45198</v>
      </c>
      <c r="F23" s="182">
        <v>1</v>
      </c>
      <c r="G23" s="76">
        <v>0</v>
      </c>
      <c r="H23" s="76">
        <v>0</v>
      </c>
      <c r="I23" s="76">
        <v>0</v>
      </c>
      <c r="J23" s="198">
        <v>0</v>
      </c>
      <c r="K23" s="198">
        <v>0</v>
      </c>
      <c r="L23" s="198">
        <f t="shared" si="0"/>
        <v>0</v>
      </c>
      <c r="O23" s="116">
        <v>0</v>
      </c>
    </row>
    <row r="24" spans="1:15" outlineLevel="2">
      <c r="A24" s="229" t="s">
        <v>1416</v>
      </c>
      <c r="B24" s="230" t="s">
        <v>1567</v>
      </c>
      <c r="C24" s="229" t="s">
        <v>1588</v>
      </c>
      <c r="D24" s="231">
        <v>45205</v>
      </c>
      <c r="E24" s="231">
        <v>45205</v>
      </c>
      <c r="F24" s="182">
        <v>1</v>
      </c>
      <c r="G24" s="76">
        <v>1</v>
      </c>
      <c r="H24" s="76">
        <v>0</v>
      </c>
      <c r="I24" s="76">
        <v>0</v>
      </c>
      <c r="J24" s="198">
        <v>0</v>
      </c>
      <c r="K24" s="198">
        <v>0</v>
      </c>
      <c r="L24" s="198">
        <f t="shared" si="0"/>
        <v>0</v>
      </c>
      <c r="O24" s="116">
        <v>0</v>
      </c>
    </row>
    <row r="25" spans="1:15" outlineLevel="2">
      <c r="A25" s="229" t="s">
        <v>1416</v>
      </c>
      <c r="B25" s="230" t="s">
        <v>1568</v>
      </c>
      <c r="C25" s="229" t="s">
        <v>1589</v>
      </c>
      <c r="D25" s="231">
        <v>45212</v>
      </c>
      <c r="E25" s="231">
        <v>45212</v>
      </c>
      <c r="F25" s="182">
        <v>1</v>
      </c>
      <c r="G25" s="76">
        <v>1</v>
      </c>
      <c r="H25" s="76">
        <v>0</v>
      </c>
      <c r="I25" s="76">
        <v>0</v>
      </c>
      <c r="J25" s="198">
        <v>0</v>
      </c>
      <c r="K25" s="198">
        <v>0</v>
      </c>
      <c r="L25" s="198">
        <f t="shared" si="0"/>
        <v>0</v>
      </c>
      <c r="O25" s="116">
        <v>0</v>
      </c>
    </row>
    <row r="26" spans="1:15" outlineLevel="2">
      <c r="A26" s="229" t="s">
        <v>1416</v>
      </c>
      <c r="B26" s="230" t="s">
        <v>1569</v>
      </c>
      <c r="C26" s="229" t="s">
        <v>1590</v>
      </c>
      <c r="D26" s="231">
        <v>45219</v>
      </c>
      <c r="E26" s="231">
        <v>45219</v>
      </c>
      <c r="F26" s="182">
        <v>1</v>
      </c>
      <c r="G26" s="76">
        <v>1</v>
      </c>
      <c r="H26" s="76">
        <v>0</v>
      </c>
      <c r="I26" s="76">
        <v>0</v>
      </c>
      <c r="J26" s="198">
        <v>0</v>
      </c>
      <c r="K26" s="198">
        <v>0</v>
      </c>
      <c r="L26" s="198">
        <f t="shared" si="0"/>
        <v>0</v>
      </c>
      <c r="O26" s="116">
        <v>0</v>
      </c>
    </row>
    <row r="27" spans="1:15" outlineLevel="2">
      <c r="A27" s="229" t="s">
        <v>1416</v>
      </c>
      <c r="B27" s="230" t="s">
        <v>1522</v>
      </c>
      <c r="C27" s="229" t="s">
        <v>1525</v>
      </c>
      <c r="D27" s="231">
        <v>45100</v>
      </c>
      <c r="E27" s="231">
        <v>45100</v>
      </c>
      <c r="F27" s="182">
        <v>1</v>
      </c>
      <c r="G27" s="76">
        <v>1</v>
      </c>
      <c r="H27" s="76">
        <v>0</v>
      </c>
      <c r="I27" s="76">
        <v>0</v>
      </c>
      <c r="J27" s="198">
        <v>0</v>
      </c>
      <c r="K27" s="198">
        <v>0</v>
      </c>
      <c r="L27" s="198">
        <f t="shared" si="0"/>
        <v>0</v>
      </c>
      <c r="O27" s="116">
        <v>0</v>
      </c>
    </row>
    <row r="28" spans="1:15" outlineLevel="2">
      <c r="A28" s="229" t="s">
        <v>1416</v>
      </c>
      <c r="B28" s="230" t="s">
        <v>1570</v>
      </c>
      <c r="C28" s="229" t="s">
        <v>1591</v>
      </c>
      <c r="D28" s="231">
        <v>45226</v>
      </c>
      <c r="E28" s="231">
        <v>45226</v>
      </c>
      <c r="F28" s="182">
        <v>1</v>
      </c>
      <c r="G28" s="76">
        <v>1</v>
      </c>
      <c r="H28" s="76">
        <v>0</v>
      </c>
      <c r="I28" s="76">
        <v>0</v>
      </c>
      <c r="J28" s="198">
        <v>0</v>
      </c>
      <c r="K28" s="198">
        <v>0</v>
      </c>
      <c r="L28" s="198">
        <f t="shared" si="0"/>
        <v>0</v>
      </c>
      <c r="O28" s="116">
        <v>0</v>
      </c>
    </row>
    <row r="29" spans="1:15" outlineLevel="2">
      <c r="A29" s="229" t="s">
        <v>1416</v>
      </c>
      <c r="B29" s="230" t="s">
        <v>1571</v>
      </c>
      <c r="C29" s="229" t="s">
        <v>1592</v>
      </c>
      <c r="D29" s="231">
        <v>45233</v>
      </c>
      <c r="E29" s="231">
        <v>45233</v>
      </c>
      <c r="F29" s="182">
        <v>1</v>
      </c>
      <c r="G29" s="76">
        <v>1</v>
      </c>
      <c r="H29" s="76">
        <v>0</v>
      </c>
      <c r="I29" s="76">
        <v>0</v>
      </c>
      <c r="J29" s="198">
        <v>0</v>
      </c>
      <c r="K29" s="198">
        <v>0</v>
      </c>
      <c r="L29" s="198">
        <f t="shared" si="0"/>
        <v>0</v>
      </c>
      <c r="O29" s="116">
        <v>0</v>
      </c>
    </row>
    <row r="30" spans="1:15" outlineLevel="2">
      <c r="A30" s="229" t="s">
        <v>1416</v>
      </c>
      <c r="B30" s="230" t="s">
        <v>1572</v>
      </c>
      <c r="C30" s="229" t="s">
        <v>1593</v>
      </c>
      <c r="D30" s="231">
        <v>45240</v>
      </c>
      <c r="E30" s="231">
        <v>45240</v>
      </c>
      <c r="F30" s="182">
        <v>1</v>
      </c>
      <c r="G30" s="76">
        <v>1</v>
      </c>
      <c r="H30" s="76">
        <v>0</v>
      </c>
      <c r="I30" s="76">
        <v>0</v>
      </c>
      <c r="J30" s="198">
        <v>0</v>
      </c>
      <c r="K30" s="198">
        <v>0</v>
      </c>
      <c r="L30" s="198">
        <f t="shared" si="0"/>
        <v>0</v>
      </c>
      <c r="O30" s="116">
        <v>0</v>
      </c>
    </row>
    <row r="31" spans="1:15" outlineLevel="2">
      <c r="A31" s="229" t="s">
        <v>1416</v>
      </c>
      <c r="B31" s="230" t="s">
        <v>1573</v>
      </c>
      <c r="C31" s="229" t="s">
        <v>1594</v>
      </c>
      <c r="D31" s="231">
        <v>45247</v>
      </c>
      <c r="E31" s="231">
        <v>45247</v>
      </c>
      <c r="F31" s="182">
        <v>1</v>
      </c>
      <c r="G31" s="76">
        <v>1</v>
      </c>
      <c r="H31" s="76">
        <v>0</v>
      </c>
      <c r="I31" s="76">
        <v>0</v>
      </c>
      <c r="J31" s="198">
        <v>0</v>
      </c>
      <c r="K31" s="198">
        <v>0</v>
      </c>
      <c r="L31" s="198">
        <f t="shared" si="0"/>
        <v>0</v>
      </c>
      <c r="O31" s="116">
        <v>0</v>
      </c>
    </row>
    <row r="32" spans="1:15" outlineLevel="2">
      <c r="A32" s="229" t="s">
        <v>1416</v>
      </c>
      <c r="B32" s="230" t="s">
        <v>1574</v>
      </c>
      <c r="C32" s="229" t="s">
        <v>1595</v>
      </c>
      <c r="D32" s="231">
        <v>45254</v>
      </c>
      <c r="E32" s="231">
        <v>45254</v>
      </c>
      <c r="F32" s="182">
        <v>1</v>
      </c>
      <c r="G32" s="76">
        <v>1</v>
      </c>
      <c r="H32" s="76">
        <v>0</v>
      </c>
      <c r="I32" s="76">
        <v>0</v>
      </c>
      <c r="J32" s="198">
        <v>0</v>
      </c>
      <c r="K32" s="198">
        <v>0</v>
      </c>
      <c r="L32" s="198">
        <f t="shared" si="0"/>
        <v>0</v>
      </c>
      <c r="O32" s="116">
        <v>0</v>
      </c>
    </row>
    <row r="33" spans="1:15" outlineLevel="2">
      <c r="A33" s="229" t="s">
        <v>1416</v>
      </c>
      <c r="B33" s="230" t="s">
        <v>1523</v>
      </c>
      <c r="C33" s="229" t="s">
        <v>1526</v>
      </c>
      <c r="D33" s="231">
        <v>45107</v>
      </c>
      <c r="E33" s="231">
        <v>45107</v>
      </c>
      <c r="F33" s="182">
        <v>1</v>
      </c>
      <c r="G33" s="76">
        <v>1</v>
      </c>
      <c r="H33" s="76">
        <v>0</v>
      </c>
      <c r="I33" s="76">
        <v>0</v>
      </c>
      <c r="J33" s="198">
        <v>0</v>
      </c>
      <c r="K33" s="198">
        <v>0</v>
      </c>
      <c r="L33" s="198">
        <f t="shared" si="0"/>
        <v>0</v>
      </c>
      <c r="O33" s="116">
        <v>0</v>
      </c>
    </row>
    <row r="34" spans="1:15" outlineLevel="2">
      <c r="A34" s="229" t="s">
        <v>1416</v>
      </c>
      <c r="B34" s="230" t="s">
        <v>1524</v>
      </c>
      <c r="C34" s="229" t="s">
        <v>1527</v>
      </c>
      <c r="D34" s="231">
        <v>45114</v>
      </c>
      <c r="E34" s="231">
        <v>45114</v>
      </c>
      <c r="F34" s="182">
        <v>1</v>
      </c>
      <c r="G34" s="76">
        <v>1</v>
      </c>
      <c r="H34" s="76">
        <v>0</v>
      </c>
      <c r="I34" s="76">
        <v>0</v>
      </c>
      <c r="J34" s="198">
        <v>0</v>
      </c>
      <c r="K34" s="198">
        <v>0</v>
      </c>
      <c r="L34" s="198">
        <f t="shared" si="0"/>
        <v>0</v>
      </c>
      <c r="O34" s="116">
        <v>0</v>
      </c>
    </row>
    <row r="35" spans="1:15" outlineLevel="2">
      <c r="A35" s="229" t="s">
        <v>1416</v>
      </c>
      <c r="B35" s="230" t="s">
        <v>1555</v>
      </c>
      <c r="C35" s="229" t="s">
        <v>1576</v>
      </c>
      <c r="D35" s="231">
        <v>45121</v>
      </c>
      <c r="E35" s="231">
        <v>45121</v>
      </c>
      <c r="F35" s="182">
        <v>1</v>
      </c>
      <c r="G35" s="76">
        <v>1</v>
      </c>
      <c r="H35" s="76">
        <v>0</v>
      </c>
      <c r="I35" s="76">
        <v>0</v>
      </c>
      <c r="J35" s="198">
        <v>0</v>
      </c>
      <c r="K35" s="198">
        <v>0</v>
      </c>
      <c r="L35" s="198">
        <f t="shared" si="0"/>
        <v>0</v>
      </c>
      <c r="O35" s="116">
        <v>0</v>
      </c>
    </row>
    <row r="36" spans="1:15" outlineLevel="2">
      <c r="A36" s="229" t="s">
        <v>1416</v>
      </c>
      <c r="B36" s="230" t="s">
        <v>1556</v>
      </c>
      <c r="C36" s="229" t="s">
        <v>1577</v>
      </c>
      <c r="D36" s="231">
        <v>45128</v>
      </c>
      <c r="E36" s="231">
        <v>45128</v>
      </c>
      <c r="F36" s="182">
        <v>1</v>
      </c>
      <c r="G36" s="76">
        <v>1</v>
      </c>
      <c r="H36" s="76">
        <v>0</v>
      </c>
      <c r="I36" s="76">
        <v>0</v>
      </c>
      <c r="J36" s="198">
        <v>0</v>
      </c>
      <c r="K36" s="198">
        <v>0</v>
      </c>
      <c r="L36" s="198">
        <f t="shared" si="0"/>
        <v>0</v>
      </c>
      <c r="O36" s="116">
        <v>0</v>
      </c>
    </row>
    <row r="37" spans="1:15" outlineLevel="2">
      <c r="A37" s="229" t="s">
        <v>1416</v>
      </c>
      <c r="B37" s="230" t="s">
        <v>1557</v>
      </c>
      <c r="C37" s="229" t="s">
        <v>1578</v>
      </c>
      <c r="D37" s="231">
        <v>45135</v>
      </c>
      <c r="E37" s="231">
        <v>45135</v>
      </c>
      <c r="F37" s="182">
        <v>1</v>
      </c>
      <c r="G37" s="76">
        <v>1</v>
      </c>
      <c r="H37" s="76">
        <v>0</v>
      </c>
      <c r="I37" s="76">
        <v>0</v>
      </c>
      <c r="J37" s="198">
        <v>0</v>
      </c>
      <c r="K37" s="198">
        <v>0</v>
      </c>
      <c r="L37" s="198">
        <f t="shared" si="0"/>
        <v>0</v>
      </c>
      <c r="O37" s="116">
        <v>0</v>
      </c>
    </row>
    <row r="38" spans="1:15" outlineLevel="2">
      <c r="A38" s="229" t="s">
        <v>1416</v>
      </c>
      <c r="B38" s="230" t="s">
        <v>1558</v>
      </c>
      <c r="C38" s="229" t="s">
        <v>1579</v>
      </c>
      <c r="D38" s="231">
        <v>45142</v>
      </c>
      <c r="E38" s="231">
        <v>45142</v>
      </c>
      <c r="F38" s="182">
        <v>1</v>
      </c>
      <c r="G38" s="76">
        <v>1</v>
      </c>
      <c r="H38" s="76">
        <v>0</v>
      </c>
      <c r="I38" s="76">
        <v>0</v>
      </c>
      <c r="J38" s="198">
        <v>0</v>
      </c>
      <c r="K38" s="198">
        <v>0</v>
      </c>
      <c r="L38" s="198">
        <f t="shared" si="0"/>
        <v>0</v>
      </c>
      <c r="O38" s="116">
        <v>0</v>
      </c>
    </row>
    <row r="39" spans="1:15" outlineLevel="2">
      <c r="A39" s="229" t="s">
        <v>1416</v>
      </c>
      <c r="B39" s="230" t="s">
        <v>1559</v>
      </c>
      <c r="C39" s="229" t="s">
        <v>1580</v>
      </c>
      <c r="D39" s="231">
        <v>45149</v>
      </c>
      <c r="E39" s="231">
        <v>45149</v>
      </c>
      <c r="F39" s="182">
        <v>1</v>
      </c>
      <c r="G39" s="76">
        <v>1</v>
      </c>
      <c r="H39" s="76">
        <v>0</v>
      </c>
      <c r="I39" s="76">
        <v>0</v>
      </c>
      <c r="J39" s="198">
        <v>0</v>
      </c>
      <c r="K39" s="198">
        <v>0</v>
      </c>
      <c r="L39" s="198">
        <f t="shared" ref="L39:L70" si="1">K39-J39</f>
        <v>0</v>
      </c>
      <c r="O39" s="116">
        <v>0</v>
      </c>
    </row>
    <row r="40" spans="1:15" outlineLevel="2">
      <c r="A40" s="229" t="s">
        <v>1416</v>
      </c>
      <c r="B40" s="230" t="s">
        <v>1528</v>
      </c>
      <c r="C40" s="229" t="s">
        <v>1447</v>
      </c>
      <c r="D40" s="231">
        <v>45126</v>
      </c>
      <c r="E40" s="231">
        <v>45126</v>
      </c>
      <c r="F40" s="182">
        <v>1</v>
      </c>
      <c r="G40" s="76">
        <v>0</v>
      </c>
      <c r="H40" s="76">
        <v>0</v>
      </c>
      <c r="I40" s="76">
        <v>0</v>
      </c>
      <c r="J40" s="198">
        <v>0</v>
      </c>
      <c r="K40" s="198">
        <v>0</v>
      </c>
      <c r="L40" s="198">
        <f t="shared" si="1"/>
        <v>0</v>
      </c>
      <c r="O40" s="116">
        <v>0</v>
      </c>
    </row>
    <row r="41" spans="1:15" outlineLevel="2">
      <c r="A41" s="229" t="s">
        <v>1416</v>
      </c>
      <c r="B41" s="230" t="s">
        <v>1550</v>
      </c>
      <c r="C41" s="229" t="s">
        <v>1626</v>
      </c>
      <c r="D41" s="231">
        <v>45229</v>
      </c>
      <c r="E41" s="231">
        <v>45229</v>
      </c>
      <c r="F41" s="182">
        <v>1</v>
      </c>
      <c r="G41" s="76">
        <v>0</v>
      </c>
      <c r="H41" s="76">
        <v>0</v>
      </c>
      <c r="I41" s="76">
        <v>0</v>
      </c>
      <c r="J41" s="198">
        <v>0</v>
      </c>
      <c r="K41" s="198">
        <v>0</v>
      </c>
      <c r="L41" s="198">
        <f t="shared" si="1"/>
        <v>0</v>
      </c>
      <c r="O41" s="116">
        <v>0</v>
      </c>
    </row>
    <row r="42" spans="1:15" outlineLevel="2">
      <c r="A42" s="229" t="s">
        <v>1416</v>
      </c>
      <c r="B42" s="230" t="s">
        <v>1625</v>
      </c>
      <c r="C42" s="229" t="s">
        <v>1451</v>
      </c>
      <c r="D42" s="231">
        <v>45252</v>
      </c>
      <c r="E42" s="231">
        <v>45252</v>
      </c>
      <c r="F42" s="182">
        <v>1</v>
      </c>
      <c r="G42" s="76">
        <v>0</v>
      </c>
      <c r="H42" s="76">
        <v>0</v>
      </c>
      <c r="I42" s="76">
        <v>0</v>
      </c>
      <c r="J42" s="198">
        <v>0</v>
      </c>
      <c r="K42" s="198">
        <v>0</v>
      </c>
      <c r="L42" s="198">
        <f t="shared" si="1"/>
        <v>0</v>
      </c>
      <c r="O42" s="116">
        <v>0</v>
      </c>
    </row>
    <row r="43" spans="1:15" outlineLevel="2">
      <c r="A43" s="229" t="s">
        <v>1416</v>
      </c>
      <c r="B43" s="230" t="s">
        <v>1530</v>
      </c>
      <c r="C43" s="229" t="s">
        <v>1840</v>
      </c>
      <c r="D43" s="231">
        <v>45110</v>
      </c>
      <c r="E43" s="231">
        <v>45110</v>
      </c>
      <c r="F43" s="182">
        <v>1</v>
      </c>
      <c r="G43" s="76">
        <v>1</v>
      </c>
      <c r="H43" s="76">
        <v>0</v>
      </c>
      <c r="I43" s="76">
        <v>0</v>
      </c>
      <c r="J43" s="198">
        <v>0</v>
      </c>
      <c r="K43" s="198">
        <v>0</v>
      </c>
      <c r="L43" s="198">
        <f t="shared" si="1"/>
        <v>0</v>
      </c>
      <c r="O43" s="116">
        <v>0</v>
      </c>
    </row>
    <row r="44" spans="1:15" outlineLevel="2">
      <c r="A44" s="229" t="s">
        <v>1416</v>
      </c>
      <c r="B44" s="230" t="s">
        <v>1532</v>
      </c>
      <c r="C44" s="229" t="s">
        <v>1531</v>
      </c>
      <c r="D44" s="231">
        <v>45111</v>
      </c>
      <c r="E44" s="231">
        <v>45111</v>
      </c>
      <c r="F44" s="182">
        <v>1</v>
      </c>
      <c r="G44" s="76">
        <v>1</v>
      </c>
      <c r="H44" s="76">
        <v>0</v>
      </c>
      <c r="I44" s="76">
        <v>0</v>
      </c>
      <c r="J44" s="198">
        <v>0</v>
      </c>
      <c r="K44" s="198">
        <v>0</v>
      </c>
      <c r="L44" s="198">
        <f t="shared" si="1"/>
        <v>0</v>
      </c>
      <c r="O44" s="116">
        <v>0</v>
      </c>
    </row>
    <row r="45" spans="1:15" outlineLevel="2">
      <c r="A45" s="229" t="s">
        <v>1416</v>
      </c>
      <c r="B45" s="230" t="s">
        <v>1534</v>
      </c>
      <c r="C45" s="229" t="s">
        <v>1840</v>
      </c>
      <c r="D45" s="231">
        <v>45131</v>
      </c>
      <c r="E45" s="231">
        <v>45134</v>
      </c>
      <c r="F45" s="182">
        <v>1</v>
      </c>
      <c r="G45" s="76">
        <v>4</v>
      </c>
      <c r="H45" s="76">
        <v>0</v>
      </c>
      <c r="I45" s="76">
        <v>0</v>
      </c>
      <c r="J45" s="198">
        <v>0</v>
      </c>
      <c r="K45" s="198">
        <v>0</v>
      </c>
      <c r="L45" s="198">
        <f t="shared" si="1"/>
        <v>0</v>
      </c>
      <c r="O45" s="116">
        <v>0</v>
      </c>
    </row>
    <row r="46" spans="1:15" outlineLevel="2">
      <c r="A46" s="229" t="s">
        <v>1416</v>
      </c>
      <c r="B46" s="230" t="s">
        <v>1535</v>
      </c>
      <c r="C46" s="229" t="s">
        <v>1531</v>
      </c>
      <c r="D46" s="231">
        <v>45135</v>
      </c>
      <c r="E46" s="231">
        <v>45135</v>
      </c>
      <c r="F46" s="182">
        <v>1</v>
      </c>
      <c r="G46" s="76">
        <v>1</v>
      </c>
      <c r="H46" s="76">
        <v>0</v>
      </c>
      <c r="I46" s="76">
        <v>0</v>
      </c>
      <c r="J46" s="198">
        <v>0</v>
      </c>
      <c r="K46" s="198">
        <v>0</v>
      </c>
      <c r="L46" s="198">
        <f t="shared" si="1"/>
        <v>0</v>
      </c>
      <c r="O46" s="116">
        <v>0</v>
      </c>
    </row>
    <row r="47" spans="1:15" outlineLevel="2">
      <c r="A47" s="229" t="s">
        <v>1416</v>
      </c>
      <c r="B47" s="230" t="s">
        <v>1838</v>
      </c>
      <c r="C47" s="229" t="s">
        <v>1840</v>
      </c>
      <c r="D47" s="231">
        <v>45131</v>
      </c>
      <c r="E47" s="231">
        <v>45134</v>
      </c>
      <c r="F47" s="182">
        <v>1</v>
      </c>
      <c r="G47" s="76">
        <v>4</v>
      </c>
      <c r="H47" s="76">
        <v>0</v>
      </c>
      <c r="I47" s="76">
        <v>0</v>
      </c>
      <c r="J47" s="198">
        <v>0</v>
      </c>
      <c r="K47" s="198">
        <v>0</v>
      </c>
      <c r="L47" s="198">
        <f t="shared" si="1"/>
        <v>0</v>
      </c>
      <c r="O47" s="116">
        <v>0</v>
      </c>
    </row>
    <row r="48" spans="1:15" outlineLevel="2">
      <c r="A48" s="229" t="s">
        <v>1416</v>
      </c>
      <c r="B48" s="230" t="s">
        <v>1839</v>
      </c>
      <c r="C48" s="229" t="s">
        <v>1531</v>
      </c>
      <c r="D48" s="231">
        <v>45135</v>
      </c>
      <c r="E48" s="231">
        <v>45135</v>
      </c>
      <c r="F48" s="182">
        <v>1</v>
      </c>
      <c r="G48" s="76">
        <v>1</v>
      </c>
      <c r="H48" s="76">
        <v>0</v>
      </c>
      <c r="I48" s="76">
        <v>0</v>
      </c>
      <c r="J48" s="198">
        <v>0</v>
      </c>
      <c r="K48" s="198">
        <v>0</v>
      </c>
      <c r="L48" s="198">
        <f t="shared" si="1"/>
        <v>0</v>
      </c>
      <c r="O48" s="116">
        <v>0</v>
      </c>
    </row>
    <row r="49" spans="1:15" outlineLevel="2">
      <c r="A49" s="229" t="s">
        <v>1416</v>
      </c>
      <c r="B49" s="230" t="s">
        <v>1841</v>
      </c>
      <c r="C49" s="229" t="s">
        <v>1846</v>
      </c>
      <c r="D49" s="231">
        <v>45110</v>
      </c>
      <c r="E49" s="231">
        <v>45110</v>
      </c>
      <c r="F49" s="182">
        <v>1</v>
      </c>
      <c r="G49" s="76">
        <v>1</v>
      </c>
      <c r="H49" s="76">
        <v>0</v>
      </c>
      <c r="I49" s="76">
        <v>0</v>
      </c>
      <c r="J49" s="198">
        <v>0</v>
      </c>
      <c r="K49" s="198">
        <v>0</v>
      </c>
      <c r="L49" s="198">
        <f t="shared" si="1"/>
        <v>0</v>
      </c>
      <c r="O49" s="116">
        <v>0</v>
      </c>
    </row>
    <row r="50" spans="1:15" outlineLevel="2">
      <c r="A50" s="229" t="s">
        <v>1416</v>
      </c>
      <c r="B50" s="230" t="s">
        <v>1842</v>
      </c>
      <c r="C50" s="229" t="s">
        <v>1847</v>
      </c>
      <c r="D50" s="231">
        <v>45111</v>
      </c>
      <c r="E50" s="231">
        <v>45111</v>
      </c>
      <c r="F50" s="182">
        <v>1</v>
      </c>
      <c r="G50" s="76">
        <v>1</v>
      </c>
      <c r="H50" s="76">
        <v>0</v>
      </c>
      <c r="I50" s="76">
        <v>0</v>
      </c>
      <c r="J50" s="198">
        <v>0</v>
      </c>
      <c r="K50" s="198">
        <v>0</v>
      </c>
      <c r="L50" s="198">
        <f t="shared" si="1"/>
        <v>0</v>
      </c>
      <c r="O50" s="116">
        <v>0</v>
      </c>
    </row>
    <row r="51" spans="1:15" outlineLevel="2">
      <c r="A51" s="229" t="s">
        <v>1416</v>
      </c>
      <c r="B51" s="230" t="s">
        <v>1845</v>
      </c>
      <c r="C51" s="229" t="s">
        <v>1844</v>
      </c>
      <c r="D51" s="231">
        <v>45110</v>
      </c>
      <c r="E51" s="231">
        <v>45110</v>
      </c>
      <c r="F51" s="182">
        <v>1</v>
      </c>
      <c r="G51" s="76">
        <v>1</v>
      </c>
      <c r="H51" s="76">
        <v>0</v>
      </c>
      <c r="I51" s="76">
        <v>0</v>
      </c>
      <c r="J51" s="198">
        <v>0</v>
      </c>
      <c r="K51" s="198">
        <v>0</v>
      </c>
      <c r="L51" s="198">
        <f t="shared" si="1"/>
        <v>0</v>
      </c>
      <c r="O51" s="116">
        <v>0</v>
      </c>
    </row>
    <row r="52" spans="1:15" outlineLevel="2">
      <c r="A52" s="229" t="s">
        <v>1416</v>
      </c>
      <c r="B52" s="230" t="s">
        <v>1432</v>
      </c>
      <c r="C52" s="229" t="s">
        <v>1449</v>
      </c>
      <c r="D52" s="231">
        <v>45236</v>
      </c>
      <c r="E52" s="231">
        <v>45238</v>
      </c>
      <c r="F52" s="182">
        <v>1</v>
      </c>
      <c r="G52" s="76">
        <v>3</v>
      </c>
      <c r="H52" s="76">
        <v>0</v>
      </c>
      <c r="I52" s="76">
        <v>0</v>
      </c>
      <c r="J52" s="198">
        <v>0</v>
      </c>
      <c r="K52" s="198">
        <v>0</v>
      </c>
      <c r="L52" s="198">
        <f t="shared" si="1"/>
        <v>0</v>
      </c>
      <c r="O52" s="116">
        <v>0</v>
      </c>
    </row>
    <row r="53" spans="1:15" outlineLevel="2">
      <c r="A53" s="229" t="s">
        <v>1416</v>
      </c>
      <c r="B53" s="230" t="s">
        <v>1544</v>
      </c>
      <c r="C53" s="229" t="s">
        <v>1546</v>
      </c>
      <c r="D53" s="231">
        <v>45238</v>
      </c>
      <c r="E53" s="231">
        <v>45239</v>
      </c>
      <c r="F53" s="182">
        <v>1</v>
      </c>
      <c r="G53" s="76">
        <v>2</v>
      </c>
      <c r="H53" s="76">
        <v>0</v>
      </c>
      <c r="I53" s="76">
        <v>0</v>
      </c>
      <c r="J53" s="198">
        <v>0</v>
      </c>
      <c r="K53" s="198">
        <v>0</v>
      </c>
      <c r="L53" s="198">
        <f t="shared" si="1"/>
        <v>0</v>
      </c>
      <c r="O53" s="116">
        <v>0</v>
      </c>
    </row>
    <row r="54" spans="1:15" outlineLevel="2">
      <c r="A54" s="229" t="s">
        <v>1416</v>
      </c>
      <c r="B54" s="230" t="s">
        <v>1545</v>
      </c>
      <c r="C54" s="229" t="s">
        <v>1547</v>
      </c>
      <c r="D54" s="231">
        <v>45243</v>
      </c>
      <c r="E54" s="231">
        <v>45254</v>
      </c>
      <c r="F54" s="182">
        <v>1</v>
      </c>
      <c r="G54" s="76">
        <v>10</v>
      </c>
      <c r="H54" s="76">
        <v>0</v>
      </c>
      <c r="I54" s="76">
        <v>0</v>
      </c>
      <c r="J54" s="198">
        <v>0</v>
      </c>
      <c r="K54" s="198">
        <v>0</v>
      </c>
      <c r="L54" s="198">
        <f t="shared" si="1"/>
        <v>0</v>
      </c>
      <c r="O54" s="116">
        <v>0</v>
      </c>
    </row>
    <row r="55" spans="1:15" outlineLevel="2">
      <c r="A55" s="229" t="s">
        <v>1416</v>
      </c>
      <c r="B55" s="230" t="s">
        <v>1539</v>
      </c>
      <c r="C55" s="229" t="s">
        <v>1540</v>
      </c>
      <c r="D55" s="231">
        <v>45257</v>
      </c>
      <c r="E55" s="231">
        <v>45257</v>
      </c>
      <c r="F55" s="182">
        <v>1</v>
      </c>
      <c r="G55" s="76">
        <v>1</v>
      </c>
      <c r="H55" s="76">
        <v>0</v>
      </c>
      <c r="I55" s="76">
        <v>0</v>
      </c>
      <c r="J55" s="198">
        <v>0</v>
      </c>
      <c r="K55" s="198">
        <v>0</v>
      </c>
      <c r="L55" s="198">
        <f t="shared" si="1"/>
        <v>0</v>
      </c>
      <c r="O55" s="116">
        <v>0</v>
      </c>
    </row>
    <row r="56" spans="1:15" outlineLevel="2">
      <c r="A56" s="229" t="s">
        <v>1416</v>
      </c>
      <c r="B56" s="230" t="s">
        <v>1542</v>
      </c>
      <c r="C56" s="229" t="s">
        <v>1541</v>
      </c>
      <c r="D56" s="231">
        <v>45259</v>
      </c>
      <c r="E56" s="231">
        <v>45259</v>
      </c>
      <c r="F56" s="182">
        <v>1</v>
      </c>
      <c r="G56" s="76">
        <v>1</v>
      </c>
      <c r="H56" s="76">
        <v>0</v>
      </c>
      <c r="I56" s="76">
        <v>0</v>
      </c>
      <c r="J56" s="198">
        <v>0</v>
      </c>
      <c r="K56" s="198">
        <v>0</v>
      </c>
      <c r="L56" s="198">
        <f t="shared" si="1"/>
        <v>0</v>
      </c>
      <c r="O56" s="116">
        <v>0</v>
      </c>
    </row>
    <row r="57" spans="1:15" outlineLevel="2">
      <c r="A57" s="229" t="s">
        <v>1416</v>
      </c>
      <c r="B57" s="230" t="s">
        <v>1543</v>
      </c>
      <c r="C57" s="229" t="s">
        <v>1448</v>
      </c>
      <c r="D57" s="231">
        <v>45260</v>
      </c>
      <c r="E57" s="231">
        <v>45260</v>
      </c>
      <c r="F57" s="182">
        <v>1</v>
      </c>
      <c r="G57" s="76">
        <v>1</v>
      </c>
      <c r="H57" s="76">
        <v>0</v>
      </c>
      <c r="I57" s="76">
        <v>0</v>
      </c>
      <c r="J57" s="198">
        <v>0</v>
      </c>
      <c r="K57" s="198">
        <v>0</v>
      </c>
      <c r="L57" s="198">
        <f t="shared" si="1"/>
        <v>0</v>
      </c>
      <c r="O57" s="116">
        <v>0</v>
      </c>
    </row>
    <row r="58" spans="1:15" outlineLevel="2">
      <c r="A58" s="229" t="s">
        <v>1416</v>
      </c>
      <c r="B58" s="230" t="s">
        <v>1606</v>
      </c>
      <c r="C58" s="229" t="s">
        <v>1599</v>
      </c>
      <c r="D58" s="231">
        <v>45090</v>
      </c>
      <c r="E58" s="231">
        <v>45091</v>
      </c>
      <c r="F58" s="182">
        <v>1</v>
      </c>
      <c r="G58" s="76">
        <v>2</v>
      </c>
      <c r="H58" s="76">
        <v>2</v>
      </c>
      <c r="I58" s="76">
        <v>0</v>
      </c>
      <c r="J58" s="198">
        <v>1</v>
      </c>
      <c r="K58" s="198">
        <v>0</v>
      </c>
      <c r="L58" s="239">
        <f t="shared" si="1"/>
        <v>-1</v>
      </c>
      <c r="O58" s="116">
        <v>0</v>
      </c>
    </row>
    <row r="59" spans="1:15" outlineLevel="2">
      <c r="A59" s="229" t="s">
        <v>1416</v>
      </c>
      <c r="B59" s="230" t="s">
        <v>1551</v>
      </c>
      <c r="C59" s="229" t="s">
        <v>1600</v>
      </c>
      <c r="D59" s="231">
        <v>45090</v>
      </c>
      <c r="E59" s="231">
        <v>45090</v>
      </c>
      <c r="F59" s="182">
        <v>1</v>
      </c>
      <c r="G59" s="76">
        <v>1</v>
      </c>
      <c r="H59" s="76">
        <v>1</v>
      </c>
      <c r="I59" s="76">
        <v>0</v>
      </c>
      <c r="J59" s="198">
        <v>1</v>
      </c>
      <c r="K59" s="198">
        <v>0</v>
      </c>
      <c r="L59" s="239">
        <f t="shared" si="1"/>
        <v>-1</v>
      </c>
      <c r="O59" s="116">
        <v>0</v>
      </c>
    </row>
    <row r="60" spans="1:15" outlineLevel="2">
      <c r="A60" s="229" t="s">
        <v>1416</v>
      </c>
      <c r="B60" s="230" t="s">
        <v>1554</v>
      </c>
      <c r="C60" s="229" t="s">
        <v>1806</v>
      </c>
      <c r="D60" s="231">
        <v>45091</v>
      </c>
      <c r="E60" s="231">
        <v>45093</v>
      </c>
      <c r="F60" s="182">
        <v>1</v>
      </c>
      <c r="G60" s="76">
        <v>3</v>
      </c>
      <c r="H60" s="76">
        <v>3</v>
      </c>
      <c r="I60" s="76">
        <v>0</v>
      </c>
      <c r="J60" s="198">
        <v>1</v>
      </c>
      <c r="K60" s="198">
        <v>0</v>
      </c>
      <c r="L60" s="239">
        <f t="shared" si="1"/>
        <v>-1</v>
      </c>
      <c r="O60" s="116">
        <v>0</v>
      </c>
    </row>
    <row r="61" spans="1:15" outlineLevel="2">
      <c r="A61" s="229" t="s">
        <v>1416</v>
      </c>
      <c r="B61" s="230" t="s">
        <v>1803</v>
      </c>
      <c r="C61" s="229" t="s">
        <v>1807</v>
      </c>
      <c r="D61" s="231">
        <v>45091</v>
      </c>
      <c r="E61" s="231">
        <v>45093</v>
      </c>
      <c r="F61" s="182">
        <v>1</v>
      </c>
      <c r="G61" s="76">
        <v>3</v>
      </c>
      <c r="H61" s="76">
        <v>3</v>
      </c>
      <c r="I61" s="76">
        <v>0</v>
      </c>
      <c r="J61" s="198">
        <v>1</v>
      </c>
      <c r="K61" s="198">
        <v>0</v>
      </c>
      <c r="L61" s="239">
        <f t="shared" si="1"/>
        <v>-1</v>
      </c>
      <c r="O61" s="116">
        <v>0</v>
      </c>
    </row>
    <row r="62" spans="1:15" outlineLevel="2">
      <c r="A62" s="229" t="s">
        <v>1416</v>
      </c>
      <c r="B62" s="230" t="s">
        <v>1833</v>
      </c>
      <c r="C62" s="229" t="s">
        <v>1831</v>
      </c>
      <c r="D62" s="231">
        <v>45091</v>
      </c>
      <c r="E62" s="231">
        <v>45093</v>
      </c>
      <c r="F62" s="182">
        <v>1</v>
      </c>
      <c r="G62" s="76">
        <v>3</v>
      </c>
      <c r="H62" s="76">
        <v>3</v>
      </c>
      <c r="I62" s="76">
        <v>0</v>
      </c>
      <c r="J62" s="198">
        <v>1</v>
      </c>
      <c r="K62" s="198">
        <v>0</v>
      </c>
      <c r="L62" s="239">
        <f t="shared" si="1"/>
        <v>-1</v>
      </c>
      <c r="O62" s="116">
        <v>0</v>
      </c>
    </row>
    <row r="63" spans="1:15" outlineLevel="2">
      <c r="A63" s="229" t="s">
        <v>1416</v>
      </c>
      <c r="B63" s="230" t="s">
        <v>1834</v>
      </c>
      <c r="C63" s="229" t="s">
        <v>1832</v>
      </c>
      <c r="D63" s="231">
        <v>45091</v>
      </c>
      <c r="E63" s="231">
        <v>45093</v>
      </c>
      <c r="F63" s="182">
        <v>1</v>
      </c>
      <c r="G63" s="76">
        <v>3</v>
      </c>
      <c r="H63" s="76">
        <v>3</v>
      </c>
      <c r="I63" s="76">
        <v>0</v>
      </c>
      <c r="J63" s="198">
        <v>1</v>
      </c>
      <c r="K63" s="198">
        <v>0</v>
      </c>
      <c r="L63" s="239">
        <f t="shared" si="1"/>
        <v>-1</v>
      </c>
      <c r="O63" s="116">
        <v>0</v>
      </c>
    </row>
    <row r="64" spans="1:15" outlineLevel="2">
      <c r="A64" s="229" t="s">
        <v>1416</v>
      </c>
      <c r="B64" s="230" t="s">
        <v>1443</v>
      </c>
      <c r="C64" s="229" t="s">
        <v>1602</v>
      </c>
      <c r="D64" s="231">
        <v>45096</v>
      </c>
      <c r="E64" s="231">
        <v>45098</v>
      </c>
      <c r="F64" s="182">
        <v>1</v>
      </c>
      <c r="G64" s="76">
        <v>3</v>
      </c>
      <c r="H64" s="76">
        <v>0</v>
      </c>
      <c r="I64" s="76">
        <v>0</v>
      </c>
      <c r="J64" s="198">
        <v>0</v>
      </c>
      <c r="K64" s="198">
        <v>0</v>
      </c>
      <c r="L64" s="198">
        <f t="shared" si="1"/>
        <v>0</v>
      </c>
      <c r="O64" s="116">
        <v>0</v>
      </c>
    </row>
    <row r="65" spans="1:15" outlineLevel="2">
      <c r="A65" s="229" t="s">
        <v>1416</v>
      </c>
      <c r="B65" s="230" t="s">
        <v>1444</v>
      </c>
      <c r="C65" s="229" t="s">
        <v>1603</v>
      </c>
      <c r="D65" s="231">
        <v>45099</v>
      </c>
      <c r="E65" s="231">
        <v>45100</v>
      </c>
      <c r="F65" s="182">
        <v>1</v>
      </c>
      <c r="G65" s="76">
        <v>2</v>
      </c>
      <c r="H65" s="76">
        <v>0</v>
      </c>
      <c r="I65" s="76">
        <v>0</v>
      </c>
      <c r="J65" s="198">
        <v>0</v>
      </c>
      <c r="K65" s="198">
        <v>0</v>
      </c>
      <c r="L65" s="198">
        <f t="shared" si="1"/>
        <v>0</v>
      </c>
      <c r="O65" s="116">
        <v>0</v>
      </c>
    </row>
    <row r="66" spans="1:15" outlineLevel="2">
      <c r="A66" s="229" t="s">
        <v>1416</v>
      </c>
      <c r="B66" s="230" t="s">
        <v>1552</v>
      </c>
      <c r="C66" s="229" t="s">
        <v>1604</v>
      </c>
      <c r="D66" s="231">
        <v>45100</v>
      </c>
      <c r="E66" s="231">
        <v>45100</v>
      </c>
      <c r="F66" s="182">
        <v>1</v>
      </c>
      <c r="G66" s="76">
        <v>1</v>
      </c>
      <c r="H66" s="76">
        <v>0</v>
      </c>
      <c r="I66" s="76">
        <v>0</v>
      </c>
      <c r="J66" s="198">
        <v>0</v>
      </c>
      <c r="K66" s="198">
        <v>0</v>
      </c>
      <c r="L66" s="198">
        <f t="shared" si="1"/>
        <v>0</v>
      </c>
      <c r="O66" s="116">
        <v>0</v>
      </c>
    </row>
    <row r="67" spans="1:15" outlineLevel="2">
      <c r="A67" s="229" t="s">
        <v>1416</v>
      </c>
      <c r="B67" s="230" t="s">
        <v>1452</v>
      </c>
      <c r="C67" s="229" t="s">
        <v>1453</v>
      </c>
      <c r="D67" s="231">
        <v>45096</v>
      </c>
      <c r="E67" s="231">
        <v>45107</v>
      </c>
      <c r="F67" s="182">
        <v>1</v>
      </c>
      <c r="G67" s="76">
        <v>10</v>
      </c>
      <c r="H67" s="76">
        <v>0</v>
      </c>
      <c r="I67" s="76">
        <v>0</v>
      </c>
      <c r="J67" s="198">
        <v>0</v>
      </c>
      <c r="K67" s="198">
        <v>0</v>
      </c>
      <c r="L67" s="198">
        <f t="shared" si="1"/>
        <v>0</v>
      </c>
      <c r="O67" s="116">
        <v>0</v>
      </c>
    </row>
    <row r="68" spans="1:15" outlineLevel="2">
      <c r="A68" s="229" t="s">
        <v>1416</v>
      </c>
      <c r="B68" s="230" t="s">
        <v>1456</v>
      </c>
      <c r="C68" s="229" t="s">
        <v>1460</v>
      </c>
      <c r="D68" s="231">
        <v>45096</v>
      </c>
      <c r="E68" s="231">
        <v>45107</v>
      </c>
      <c r="F68" s="182">
        <v>1</v>
      </c>
      <c r="G68" s="76">
        <v>10</v>
      </c>
      <c r="H68" s="76">
        <v>0</v>
      </c>
      <c r="I68" s="76">
        <v>0</v>
      </c>
      <c r="J68" s="198">
        <v>0</v>
      </c>
      <c r="K68" s="198">
        <v>0</v>
      </c>
      <c r="L68" s="198">
        <f t="shared" si="1"/>
        <v>0</v>
      </c>
      <c r="O68" s="116">
        <v>0</v>
      </c>
    </row>
    <row r="69" spans="1:15" outlineLevel="2">
      <c r="A69" s="229" t="s">
        <v>1416</v>
      </c>
      <c r="B69" s="230" t="s">
        <v>1457</v>
      </c>
      <c r="C69" s="229" t="s">
        <v>1717</v>
      </c>
      <c r="D69" s="231">
        <v>45096</v>
      </c>
      <c r="E69" s="231">
        <v>45107</v>
      </c>
      <c r="F69" s="182">
        <v>1</v>
      </c>
      <c r="G69" s="76">
        <v>10</v>
      </c>
      <c r="H69" s="76">
        <v>0</v>
      </c>
      <c r="I69" s="76">
        <v>0</v>
      </c>
      <c r="J69" s="198">
        <v>0</v>
      </c>
      <c r="K69" s="198">
        <v>0</v>
      </c>
      <c r="L69" s="198">
        <f t="shared" si="1"/>
        <v>0</v>
      </c>
      <c r="O69" s="116">
        <v>0</v>
      </c>
    </row>
    <row r="70" spans="1:15" outlineLevel="2">
      <c r="A70" s="229" t="s">
        <v>1416</v>
      </c>
      <c r="B70" s="230" t="s">
        <v>1459</v>
      </c>
      <c r="C70" s="229" t="s">
        <v>1718</v>
      </c>
      <c r="D70" s="231">
        <v>45096</v>
      </c>
      <c r="E70" s="231">
        <v>45107</v>
      </c>
      <c r="F70" s="182">
        <v>1</v>
      </c>
      <c r="G70" s="76">
        <v>10</v>
      </c>
      <c r="H70" s="76">
        <v>0</v>
      </c>
      <c r="I70" s="76">
        <v>0</v>
      </c>
      <c r="J70" s="198">
        <v>0</v>
      </c>
      <c r="K70" s="198">
        <v>0</v>
      </c>
      <c r="L70" s="198">
        <f t="shared" si="1"/>
        <v>0</v>
      </c>
      <c r="O70" s="116">
        <v>0</v>
      </c>
    </row>
    <row r="71" spans="1:15" outlineLevel="2">
      <c r="A71" s="229" t="s">
        <v>1416</v>
      </c>
      <c r="B71" s="230" t="s">
        <v>1553</v>
      </c>
      <c r="C71" s="229" t="s">
        <v>1719</v>
      </c>
      <c r="D71" s="231">
        <v>45096</v>
      </c>
      <c r="E71" s="231">
        <v>45107</v>
      </c>
      <c r="F71" s="182">
        <v>1</v>
      </c>
      <c r="G71" s="76">
        <v>10</v>
      </c>
      <c r="H71" s="76">
        <v>0</v>
      </c>
      <c r="I71" s="76">
        <v>0</v>
      </c>
      <c r="J71" s="198">
        <v>0</v>
      </c>
      <c r="K71" s="198">
        <v>0</v>
      </c>
      <c r="L71" s="198">
        <f t="shared" ref="L71:L102" si="2">K71-J71</f>
        <v>0</v>
      </c>
      <c r="O71" s="116">
        <v>0</v>
      </c>
    </row>
    <row r="72" spans="1:15" outlineLevel="2">
      <c r="A72" s="229" t="s">
        <v>1416</v>
      </c>
      <c r="B72" s="230" t="s">
        <v>1723</v>
      </c>
      <c r="C72" s="229" t="s">
        <v>1720</v>
      </c>
      <c r="D72" s="231">
        <v>45096</v>
      </c>
      <c r="E72" s="231">
        <v>45107</v>
      </c>
      <c r="F72" s="182">
        <v>1</v>
      </c>
      <c r="G72" s="76">
        <v>10</v>
      </c>
      <c r="H72" s="76">
        <v>0</v>
      </c>
      <c r="I72" s="76">
        <v>0</v>
      </c>
      <c r="J72" s="198">
        <v>0</v>
      </c>
      <c r="K72" s="198">
        <v>0</v>
      </c>
      <c r="L72" s="198">
        <f t="shared" si="2"/>
        <v>0</v>
      </c>
      <c r="O72" s="116">
        <v>0</v>
      </c>
    </row>
    <row r="73" spans="1:15" outlineLevel="2">
      <c r="A73" s="229" t="s">
        <v>1416</v>
      </c>
      <c r="B73" s="230" t="s">
        <v>1724</v>
      </c>
      <c r="C73" s="229" t="s">
        <v>1721</v>
      </c>
      <c r="D73" s="231">
        <v>45096</v>
      </c>
      <c r="E73" s="231">
        <v>45107</v>
      </c>
      <c r="F73" s="182">
        <v>1</v>
      </c>
      <c r="G73" s="76">
        <v>10</v>
      </c>
      <c r="H73" s="76">
        <v>0</v>
      </c>
      <c r="I73" s="76">
        <v>0</v>
      </c>
      <c r="J73" s="198">
        <v>0</v>
      </c>
      <c r="K73" s="198">
        <v>0</v>
      </c>
      <c r="L73" s="198">
        <f t="shared" si="2"/>
        <v>0</v>
      </c>
      <c r="O73" s="116">
        <v>0</v>
      </c>
    </row>
    <row r="74" spans="1:15" outlineLevel="2">
      <c r="A74" s="229" t="s">
        <v>1416</v>
      </c>
      <c r="B74" s="230" t="s">
        <v>1725</v>
      </c>
      <c r="C74" s="229" t="s">
        <v>1722</v>
      </c>
      <c r="D74" s="231">
        <v>45096</v>
      </c>
      <c r="E74" s="231">
        <v>45107</v>
      </c>
      <c r="F74" s="182">
        <v>1</v>
      </c>
      <c r="G74" s="76">
        <v>10</v>
      </c>
      <c r="H74" s="76">
        <v>0</v>
      </c>
      <c r="I74" s="76">
        <v>0</v>
      </c>
      <c r="J74" s="198">
        <v>0</v>
      </c>
      <c r="K74" s="198">
        <v>0</v>
      </c>
      <c r="L74" s="198">
        <f t="shared" si="2"/>
        <v>0</v>
      </c>
      <c r="O74" s="116">
        <v>0</v>
      </c>
    </row>
    <row r="75" spans="1:15" outlineLevel="2">
      <c r="A75" s="229" t="s">
        <v>1416</v>
      </c>
      <c r="B75" s="230" t="s">
        <v>1824</v>
      </c>
      <c r="C75" s="229" t="s">
        <v>1826</v>
      </c>
      <c r="D75" s="231">
        <v>45096</v>
      </c>
      <c r="E75" s="231">
        <v>45107</v>
      </c>
      <c r="F75" s="182">
        <v>1</v>
      </c>
      <c r="G75" s="76">
        <v>10</v>
      </c>
      <c r="H75" s="76">
        <v>0</v>
      </c>
      <c r="I75" s="76">
        <v>0</v>
      </c>
      <c r="J75" s="198">
        <v>0</v>
      </c>
      <c r="K75" s="198">
        <v>0</v>
      </c>
      <c r="L75" s="198">
        <f t="shared" si="2"/>
        <v>0</v>
      </c>
      <c r="O75" s="116">
        <v>0</v>
      </c>
    </row>
    <row r="76" spans="1:15" outlineLevel="2">
      <c r="A76" s="229" t="s">
        <v>1416</v>
      </c>
      <c r="B76" s="230" t="s">
        <v>1825</v>
      </c>
      <c r="C76" s="229" t="s">
        <v>1827</v>
      </c>
      <c r="D76" s="231">
        <v>45096</v>
      </c>
      <c r="E76" s="231">
        <v>45107</v>
      </c>
      <c r="F76" s="182">
        <v>1</v>
      </c>
      <c r="G76" s="76">
        <v>10</v>
      </c>
      <c r="H76" s="76">
        <v>0</v>
      </c>
      <c r="I76" s="76">
        <v>0</v>
      </c>
      <c r="J76" s="198">
        <v>0</v>
      </c>
      <c r="K76" s="198">
        <v>0</v>
      </c>
      <c r="L76" s="198">
        <f t="shared" si="2"/>
        <v>0</v>
      </c>
      <c r="O76" s="116">
        <v>0</v>
      </c>
    </row>
    <row r="77" spans="1:15" outlineLevel="2">
      <c r="A77" s="229" t="s">
        <v>1416</v>
      </c>
      <c r="B77" s="230" t="s">
        <v>1463</v>
      </c>
      <c r="C77" s="229" t="s">
        <v>1757</v>
      </c>
      <c r="D77" s="231">
        <v>45110</v>
      </c>
      <c r="E77" s="231">
        <v>45110</v>
      </c>
      <c r="F77" s="182">
        <v>1</v>
      </c>
      <c r="G77" s="76">
        <v>1</v>
      </c>
      <c r="H77" s="76">
        <v>0</v>
      </c>
      <c r="I77" s="76">
        <v>0</v>
      </c>
      <c r="J77" s="198">
        <v>0</v>
      </c>
      <c r="K77" s="198">
        <v>0</v>
      </c>
      <c r="L77" s="198">
        <f t="shared" si="2"/>
        <v>0</v>
      </c>
      <c r="O77" s="116">
        <v>0</v>
      </c>
    </row>
    <row r="78" spans="1:15" outlineLevel="2">
      <c r="A78" s="229" t="s">
        <v>1416</v>
      </c>
      <c r="B78" s="230" t="s">
        <v>1464</v>
      </c>
      <c r="C78" s="229" t="s">
        <v>1758</v>
      </c>
      <c r="D78" s="231">
        <v>45110</v>
      </c>
      <c r="E78" s="231">
        <v>45111</v>
      </c>
      <c r="F78" s="182">
        <v>1</v>
      </c>
      <c r="G78" s="76">
        <v>2</v>
      </c>
      <c r="H78" s="76">
        <v>0</v>
      </c>
      <c r="I78" s="76">
        <v>0</v>
      </c>
      <c r="J78" s="198">
        <v>0</v>
      </c>
      <c r="K78" s="198">
        <v>0</v>
      </c>
      <c r="L78" s="198">
        <f t="shared" si="2"/>
        <v>0</v>
      </c>
      <c r="O78" s="116">
        <v>0</v>
      </c>
    </row>
    <row r="79" spans="1:15" outlineLevel="2">
      <c r="A79" s="229" t="s">
        <v>1416</v>
      </c>
      <c r="B79" s="230" t="s">
        <v>1759</v>
      </c>
      <c r="C79" s="229" t="s">
        <v>1726</v>
      </c>
      <c r="D79" s="231">
        <v>45112</v>
      </c>
      <c r="E79" s="231">
        <v>45117</v>
      </c>
      <c r="F79" s="182">
        <v>1</v>
      </c>
      <c r="G79" s="76">
        <v>4</v>
      </c>
      <c r="H79" s="76">
        <v>0</v>
      </c>
      <c r="I79" s="76">
        <v>0</v>
      </c>
      <c r="J79" s="198">
        <v>0</v>
      </c>
      <c r="K79" s="198">
        <v>0</v>
      </c>
      <c r="L79" s="198">
        <f t="shared" si="2"/>
        <v>0</v>
      </c>
      <c r="O79" s="116">
        <v>0</v>
      </c>
    </row>
    <row r="80" spans="1:15" outlineLevel="2">
      <c r="A80" s="229" t="s">
        <v>1416</v>
      </c>
      <c r="B80" s="230" t="s">
        <v>1760</v>
      </c>
      <c r="C80" s="229" t="s">
        <v>1727</v>
      </c>
      <c r="D80" s="231">
        <v>45118</v>
      </c>
      <c r="E80" s="231">
        <v>45121</v>
      </c>
      <c r="F80" s="182">
        <v>1</v>
      </c>
      <c r="G80" s="76">
        <v>4</v>
      </c>
      <c r="H80" s="76">
        <v>0</v>
      </c>
      <c r="I80" s="76">
        <v>0</v>
      </c>
      <c r="J80" s="198">
        <v>0</v>
      </c>
      <c r="K80" s="198">
        <v>0</v>
      </c>
      <c r="L80" s="198">
        <f t="shared" si="2"/>
        <v>0</v>
      </c>
      <c r="O80" s="116">
        <v>0</v>
      </c>
    </row>
    <row r="81" spans="1:15" outlineLevel="2">
      <c r="A81" s="229" t="s">
        <v>1416</v>
      </c>
      <c r="B81" s="230" t="s">
        <v>1761</v>
      </c>
      <c r="C81" s="229" t="s">
        <v>1728</v>
      </c>
      <c r="D81" s="231">
        <v>45124</v>
      </c>
      <c r="E81" s="231">
        <v>45128</v>
      </c>
      <c r="F81" s="182">
        <v>1</v>
      </c>
      <c r="G81" s="76">
        <v>5</v>
      </c>
      <c r="H81" s="76">
        <v>0</v>
      </c>
      <c r="I81" s="76">
        <v>0</v>
      </c>
      <c r="J81" s="198">
        <v>0</v>
      </c>
      <c r="K81" s="198">
        <v>0</v>
      </c>
      <c r="L81" s="198">
        <f t="shared" si="2"/>
        <v>0</v>
      </c>
      <c r="O81" s="116">
        <v>0</v>
      </c>
    </row>
    <row r="82" spans="1:15" outlineLevel="2">
      <c r="A82" s="229" t="s">
        <v>1416</v>
      </c>
      <c r="B82" s="230" t="s">
        <v>1762</v>
      </c>
      <c r="C82" s="229" t="s">
        <v>1729</v>
      </c>
      <c r="D82" s="231">
        <v>45117</v>
      </c>
      <c r="E82" s="231">
        <v>45121</v>
      </c>
      <c r="F82" s="182">
        <v>1</v>
      </c>
      <c r="G82" s="76">
        <v>5</v>
      </c>
      <c r="H82" s="76">
        <v>0</v>
      </c>
      <c r="I82" s="76">
        <v>0</v>
      </c>
      <c r="J82" s="198">
        <v>0</v>
      </c>
      <c r="K82" s="198">
        <v>0</v>
      </c>
      <c r="L82" s="198">
        <f t="shared" si="2"/>
        <v>0</v>
      </c>
      <c r="O82" s="116">
        <v>0</v>
      </c>
    </row>
    <row r="83" spans="1:15" outlineLevel="2">
      <c r="A83" s="229" t="s">
        <v>1416</v>
      </c>
      <c r="B83" s="230" t="s">
        <v>1763</v>
      </c>
      <c r="C83" s="229" t="s">
        <v>1730</v>
      </c>
      <c r="D83" s="231">
        <v>45124</v>
      </c>
      <c r="E83" s="231">
        <v>45128</v>
      </c>
      <c r="F83" s="182">
        <v>1</v>
      </c>
      <c r="G83" s="76">
        <v>5</v>
      </c>
      <c r="H83" s="76">
        <v>0</v>
      </c>
      <c r="I83" s="76">
        <v>0</v>
      </c>
      <c r="J83" s="198">
        <v>0</v>
      </c>
      <c r="K83" s="198">
        <v>0</v>
      </c>
      <c r="L83" s="198">
        <f t="shared" si="2"/>
        <v>0</v>
      </c>
      <c r="O83" s="116">
        <v>0</v>
      </c>
    </row>
    <row r="84" spans="1:15" outlineLevel="2">
      <c r="A84" s="229" t="s">
        <v>1416</v>
      </c>
      <c r="B84" s="230" t="s">
        <v>1764</v>
      </c>
      <c r="C84" s="229" t="s">
        <v>1731</v>
      </c>
      <c r="D84" s="231">
        <v>45131</v>
      </c>
      <c r="E84" s="231">
        <v>45135</v>
      </c>
      <c r="F84" s="182">
        <v>1</v>
      </c>
      <c r="G84" s="76">
        <v>5</v>
      </c>
      <c r="H84" s="76">
        <v>0</v>
      </c>
      <c r="I84" s="76">
        <v>0</v>
      </c>
      <c r="J84" s="198">
        <v>0</v>
      </c>
      <c r="K84" s="198">
        <v>0</v>
      </c>
      <c r="L84" s="198">
        <f t="shared" si="2"/>
        <v>0</v>
      </c>
      <c r="O84" s="116">
        <v>0</v>
      </c>
    </row>
    <row r="85" spans="1:15" outlineLevel="2">
      <c r="A85" s="229" t="s">
        <v>1416</v>
      </c>
      <c r="B85" s="230" t="s">
        <v>1765</v>
      </c>
      <c r="C85" s="229" t="s">
        <v>1732</v>
      </c>
      <c r="D85" s="231">
        <v>45117</v>
      </c>
      <c r="E85" s="231">
        <v>45121</v>
      </c>
      <c r="F85" s="182">
        <v>1</v>
      </c>
      <c r="G85" s="76">
        <v>5</v>
      </c>
      <c r="H85" s="76">
        <v>0</v>
      </c>
      <c r="I85" s="76">
        <v>0</v>
      </c>
      <c r="J85" s="198">
        <v>0</v>
      </c>
      <c r="K85" s="198">
        <v>0</v>
      </c>
      <c r="L85" s="198">
        <f t="shared" si="2"/>
        <v>0</v>
      </c>
      <c r="O85" s="116">
        <v>0</v>
      </c>
    </row>
    <row r="86" spans="1:15" outlineLevel="2">
      <c r="A86" s="229" t="s">
        <v>1416</v>
      </c>
      <c r="B86" s="230" t="s">
        <v>1766</v>
      </c>
      <c r="C86" s="229" t="s">
        <v>1733</v>
      </c>
      <c r="D86" s="231">
        <v>45124</v>
      </c>
      <c r="E86" s="231">
        <v>45128</v>
      </c>
      <c r="F86" s="182">
        <v>1</v>
      </c>
      <c r="G86" s="76">
        <v>5</v>
      </c>
      <c r="H86" s="76">
        <v>0</v>
      </c>
      <c r="I86" s="76">
        <v>0</v>
      </c>
      <c r="J86" s="198">
        <v>0</v>
      </c>
      <c r="K86" s="198">
        <v>0</v>
      </c>
      <c r="L86" s="198">
        <f t="shared" si="2"/>
        <v>0</v>
      </c>
      <c r="O86" s="116">
        <v>0</v>
      </c>
    </row>
    <row r="87" spans="1:15" outlineLevel="2">
      <c r="A87" s="229" t="s">
        <v>1416</v>
      </c>
      <c r="B87" s="230" t="s">
        <v>1767</v>
      </c>
      <c r="C87" s="229" t="s">
        <v>1734</v>
      </c>
      <c r="D87" s="231">
        <v>45124</v>
      </c>
      <c r="E87" s="231">
        <v>45128</v>
      </c>
      <c r="F87" s="182">
        <v>1</v>
      </c>
      <c r="G87" s="76">
        <v>5</v>
      </c>
      <c r="H87" s="76">
        <v>0</v>
      </c>
      <c r="I87" s="76">
        <v>0</v>
      </c>
      <c r="J87" s="198">
        <v>0</v>
      </c>
      <c r="K87" s="198">
        <v>0</v>
      </c>
      <c r="L87" s="198">
        <f t="shared" si="2"/>
        <v>0</v>
      </c>
      <c r="O87" s="116">
        <v>0</v>
      </c>
    </row>
    <row r="88" spans="1:15" outlineLevel="2">
      <c r="A88" s="229" t="s">
        <v>1416</v>
      </c>
      <c r="B88" s="230" t="s">
        <v>1768</v>
      </c>
      <c r="C88" s="229" t="s">
        <v>1735</v>
      </c>
      <c r="D88" s="231">
        <v>45131</v>
      </c>
      <c r="E88" s="231">
        <v>45142</v>
      </c>
      <c r="F88" s="182">
        <v>1</v>
      </c>
      <c r="G88" s="76">
        <v>10</v>
      </c>
      <c r="H88" s="76">
        <v>0</v>
      </c>
      <c r="I88" s="76">
        <v>0</v>
      </c>
      <c r="J88" s="198">
        <v>0</v>
      </c>
      <c r="K88" s="198">
        <v>0</v>
      </c>
      <c r="L88" s="198">
        <f t="shared" si="2"/>
        <v>0</v>
      </c>
      <c r="O88" s="116">
        <v>0</v>
      </c>
    </row>
    <row r="89" spans="1:15" outlineLevel="2">
      <c r="A89" s="229" t="s">
        <v>1416</v>
      </c>
      <c r="B89" s="230" t="s">
        <v>1769</v>
      </c>
      <c r="C89" s="229" t="s">
        <v>1736</v>
      </c>
      <c r="D89" s="231">
        <v>45138</v>
      </c>
      <c r="E89" s="231">
        <v>45142</v>
      </c>
      <c r="F89" s="182">
        <v>1</v>
      </c>
      <c r="G89" s="76">
        <v>5</v>
      </c>
      <c r="H89" s="76">
        <v>0</v>
      </c>
      <c r="I89" s="76">
        <v>0</v>
      </c>
      <c r="J89" s="198">
        <v>0</v>
      </c>
      <c r="K89" s="198">
        <v>0</v>
      </c>
      <c r="L89" s="198">
        <f t="shared" si="2"/>
        <v>0</v>
      </c>
      <c r="O89" s="116">
        <v>0</v>
      </c>
    </row>
    <row r="90" spans="1:15" outlineLevel="2">
      <c r="A90" s="229" t="s">
        <v>1416</v>
      </c>
      <c r="B90" s="230" t="s">
        <v>1771</v>
      </c>
      <c r="C90" s="229" t="s">
        <v>1737</v>
      </c>
      <c r="D90" s="231">
        <v>45117</v>
      </c>
      <c r="E90" s="231">
        <v>45119</v>
      </c>
      <c r="F90" s="182">
        <v>1</v>
      </c>
      <c r="G90" s="76">
        <v>3</v>
      </c>
      <c r="H90" s="76">
        <v>0</v>
      </c>
      <c r="I90" s="76">
        <v>0</v>
      </c>
      <c r="J90" s="198">
        <v>0</v>
      </c>
      <c r="K90" s="198">
        <v>0</v>
      </c>
      <c r="L90" s="198">
        <f t="shared" si="2"/>
        <v>0</v>
      </c>
      <c r="O90" s="116">
        <v>0</v>
      </c>
    </row>
    <row r="91" spans="1:15" outlineLevel="2">
      <c r="A91" s="229" t="s">
        <v>1416</v>
      </c>
      <c r="B91" s="230" t="s">
        <v>1772</v>
      </c>
      <c r="C91" s="229" t="s">
        <v>1738</v>
      </c>
      <c r="D91" s="231">
        <v>45120</v>
      </c>
      <c r="E91" s="231">
        <v>45124</v>
      </c>
      <c r="F91" s="182">
        <v>1</v>
      </c>
      <c r="G91" s="76">
        <v>3</v>
      </c>
      <c r="H91" s="76">
        <v>0</v>
      </c>
      <c r="I91" s="76">
        <v>0</v>
      </c>
      <c r="J91" s="198">
        <v>0</v>
      </c>
      <c r="K91" s="198">
        <v>0</v>
      </c>
      <c r="L91" s="198">
        <f t="shared" si="2"/>
        <v>0</v>
      </c>
      <c r="O91" s="116">
        <v>0</v>
      </c>
    </row>
    <row r="92" spans="1:15" outlineLevel="2">
      <c r="A92" s="229" t="s">
        <v>1416</v>
      </c>
      <c r="B92" s="230" t="s">
        <v>1773</v>
      </c>
      <c r="C92" s="229" t="s">
        <v>1739</v>
      </c>
      <c r="D92" s="231">
        <v>45125</v>
      </c>
      <c r="E92" s="231">
        <v>45128</v>
      </c>
      <c r="F92" s="182">
        <v>1</v>
      </c>
      <c r="G92" s="76">
        <v>4</v>
      </c>
      <c r="H92" s="76">
        <v>0</v>
      </c>
      <c r="I92" s="76">
        <v>0</v>
      </c>
      <c r="J92" s="198">
        <v>0</v>
      </c>
      <c r="K92" s="198">
        <v>0</v>
      </c>
      <c r="L92" s="198">
        <f t="shared" si="2"/>
        <v>0</v>
      </c>
      <c r="O92" s="116">
        <v>0</v>
      </c>
    </row>
    <row r="93" spans="1:15" outlineLevel="2">
      <c r="A93" s="229" t="s">
        <v>1416</v>
      </c>
      <c r="B93" s="230" t="s">
        <v>1774</v>
      </c>
      <c r="C93" s="229" t="s">
        <v>1740</v>
      </c>
      <c r="D93" s="231">
        <v>45131</v>
      </c>
      <c r="E93" s="231">
        <v>45135</v>
      </c>
      <c r="F93" s="182">
        <v>1</v>
      </c>
      <c r="G93" s="76">
        <v>5</v>
      </c>
      <c r="H93" s="76">
        <v>0</v>
      </c>
      <c r="I93" s="76">
        <v>0</v>
      </c>
      <c r="J93" s="198">
        <v>0</v>
      </c>
      <c r="K93" s="198">
        <v>0</v>
      </c>
      <c r="L93" s="198">
        <f t="shared" si="2"/>
        <v>0</v>
      </c>
      <c r="O93" s="116">
        <v>0</v>
      </c>
    </row>
    <row r="94" spans="1:15" outlineLevel="2">
      <c r="A94" s="229" t="s">
        <v>1416</v>
      </c>
      <c r="B94" s="230" t="s">
        <v>1776</v>
      </c>
      <c r="C94" s="229" t="s">
        <v>1741</v>
      </c>
      <c r="D94" s="231">
        <v>45131</v>
      </c>
      <c r="E94" s="231">
        <v>45135</v>
      </c>
      <c r="F94" s="182">
        <v>1</v>
      </c>
      <c r="G94" s="76">
        <v>5</v>
      </c>
      <c r="H94" s="76">
        <v>0</v>
      </c>
      <c r="I94" s="76">
        <v>0</v>
      </c>
      <c r="J94" s="198">
        <v>0</v>
      </c>
      <c r="K94" s="198">
        <v>0</v>
      </c>
      <c r="L94" s="198">
        <f t="shared" si="2"/>
        <v>0</v>
      </c>
      <c r="O94" s="116">
        <v>0</v>
      </c>
    </row>
    <row r="95" spans="1:15" outlineLevel="2">
      <c r="A95" s="229" t="s">
        <v>1416</v>
      </c>
      <c r="B95" s="230" t="s">
        <v>1777</v>
      </c>
      <c r="C95" s="229" t="s">
        <v>1742</v>
      </c>
      <c r="D95" s="231">
        <v>45131</v>
      </c>
      <c r="E95" s="231">
        <v>45135</v>
      </c>
      <c r="F95" s="182">
        <v>1</v>
      </c>
      <c r="G95" s="76">
        <v>5</v>
      </c>
      <c r="H95" s="76">
        <v>0</v>
      </c>
      <c r="I95" s="76">
        <v>0</v>
      </c>
      <c r="J95" s="198">
        <v>0</v>
      </c>
      <c r="K95" s="198">
        <v>0</v>
      </c>
      <c r="L95" s="198">
        <f t="shared" si="2"/>
        <v>0</v>
      </c>
      <c r="O95" s="116">
        <v>0</v>
      </c>
    </row>
    <row r="96" spans="1:15" outlineLevel="2">
      <c r="A96" s="229" t="s">
        <v>1416</v>
      </c>
      <c r="B96" s="230" t="s">
        <v>1778</v>
      </c>
      <c r="C96" s="229" t="s">
        <v>1743</v>
      </c>
      <c r="D96" s="231">
        <v>45131</v>
      </c>
      <c r="E96" s="231">
        <v>45135</v>
      </c>
      <c r="F96" s="182">
        <v>1</v>
      </c>
      <c r="G96" s="76">
        <v>5</v>
      </c>
      <c r="H96" s="76">
        <v>0</v>
      </c>
      <c r="I96" s="76">
        <v>0</v>
      </c>
      <c r="J96" s="198">
        <v>0</v>
      </c>
      <c r="K96" s="198">
        <v>0</v>
      </c>
      <c r="L96" s="198">
        <f t="shared" si="2"/>
        <v>0</v>
      </c>
      <c r="O96" s="116">
        <v>0</v>
      </c>
    </row>
    <row r="97" spans="1:15" outlineLevel="2">
      <c r="A97" s="229" t="s">
        <v>1416</v>
      </c>
      <c r="B97" s="230" t="s">
        <v>1779</v>
      </c>
      <c r="C97" s="229" t="s">
        <v>1744</v>
      </c>
      <c r="D97" s="231">
        <v>45131</v>
      </c>
      <c r="E97" s="231">
        <v>45135</v>
      </c>
      <c r="F97" s="182">
        <v>1</v>
      </c>
      <c r="G97" s="76">
        <v>5</v>
      </c>
      <c r="H97" s="76">
        <v>0</v>
      </c>
      <c r="I97" s="76">
        <v>0</v>
      </c>
      <c r="J97" s="198">
        <v>0</v>
      </c>
      <c r="K97" s="198">
        <v>0</v>
      </c>
      <c r="L97" s="198">
        <f t="shared" si="2"/>
        <v>0</v>
      </c>
      <c r="O97" s="116">
        <v>0</v>
      </c>
    </row>
    <row r="98" spans="1:15" outlineLevel="2">
      <c r="A98" s="229" t="s">
        <v>1416</v>
      </c>
      <c r="B98" s="230" t="s">
        <v>1780</v>
      </c>
      <c r="C98" s="229" t="s">
        <v>1745</v>
      </c>
      <c r="D98" s="231">
        <v>45131</v>
      </c>
      <c r="E98" s="231">
        <v>45135</v>
      </c>
      <c r="F98" s="182">
        <v>1</v>
      </c>
      <c r="G98" s="76">
        <v>5</v>
      </c>
      <c r="H98" s="76">
        <v>0</v>
      </c>
      <c r="I98" s="76">
        <v>0</v>
      </c>
      <c r="J98" s="198">
        <v>0</v>
      </c>
      <c r="K98" s="198">
        <v>0</v>
      </c>
      <c r="L98" s="198">
        <f t="shared" si="2"/>
        <v>0</v>
      </c>
      <c r="O98" s="116">
        <v>0</v>
      </c>
    </row>
    <row r="99" spans="1:15" outlineLevel="2">
      <c r="A99" s="229" t="s">
        <v>1416</v>
      </c>
      <c r="B99" s="230" t="s">
        <v>1781</v>
      </c>
      <c r="C99" s="229" t="s">
        <v>1746</v>
      </c>
      <c r="D99" s="231">
        <v>45131</v>
      </c>
      <c r="E99" s="231">
        <v>45135</v>
      </c>
      <c r="F99" s="182">
        <v>1</v>
      </c>
      <c r="G99" s="76">
        <v>5</v>
      </c>
      <c r="H99" s="76">
        <v>0</v>
      </c>
      <c r="I99" s="76">
        <v>0</v>
      </c>
      <c r="J99" s="198">
        <v>0</v>
      </c>
      <c r="K99" s="198">
        <v>0</v>
      </c>
      <c r="L99" s="198">
        <f t="shared" si="2"/>
        <v>0</v>
      </c>
      <c r="O99" s="116">
        <v>0</v>
      </c>
    </row>
    <row r="100" spans="1:15" outlineLevel="2">
      <c r="A100" s="229" t="s">
        <v>1416</v>
      </c>
      <c r="B100" s="230" t="s">
        <v>1783</v>
      </c>
      <c r="C100" s="229" t="s">
        <v>1748</v>
      </c>
      <c r="D100" s="231">
        <v>45138</v>
      </c>
      <c r="E100" s="231">
        <v>45142</v>
      </c>
      <c r="F100" s="182">
        <v>1</v>
      </c>
      <c r="G100" s="76">
        <v>5</v>
      </c>
      <c r="H100" s="76">
        <v>0</v>
      </c>
      <c r="I100" s="76">
        <v>0</v>
      </c>
      <c r="J100" s="198">
        <v>0</v>
      </c>
      <c r="K100" s="198">
        <v>0</v>
      </c>
      <c r="L100" s="198">
        <f t="shared" si="2"/>
        <v>0</v>
      </c>
      <c r="O100" s="116">
        <v>0</v>
      </c>
    </row>
    <row r="101" spans="1:15" outlineLevel="2">
      <c r="A101" s="229" t="s">
        <v>1416</v>
      </c>
      <c r="B101" s="230" t="s">
        <v>1784</v>
      </c>
      <c r="C101" s="229" t="s">
        <v>1749</v>
      </c>
      <c r="D101" s="231">
        <v>45138</v>
      </c>
      <c r="E101" s="231">
        <v>45142</v>
      </c>
      <c r="F101" s="182">
        <v>1</v>
      </c>
      <c r="G101" s="76">
        <v>5</v>
      </c>
      <c r="H101" s="76">
        <v>0</v>
      </c>
      <c r="I101" s="76">
        <v>0</v>
      </c>
      <c r="J101" s="198">
        <v>0</v>
      </c>
      <c r="K101" s="198">
        <v>0</v>
      </c>
      <c r="L101" s="198">
        <f t="shared" si="2"/>
        <v>0</v>
      </c>
      <c r="O101" s="116">
        <v>0</v>
      </c>
    </row>
    <row r="102" spans="1:15" outlineLevel="2">
      <c r="A102" s="229" t="s">
        <v>1416</v>
      </c>
      <c r="B102" s="230" t="s">
        <v>1785</v>
      </c>
      <c r="C102" s="229" t="s">
        <v>1750</v>
      </c>
      <c r="D102" s="231">
        <v>45138</v>
      </c>
      <c r="E102" s="231">
        <v>45142</v>
      </c>
      <c r="F102" s="182">
        <v>1</v>
      </c>
      <c r="G102" s="76">
        <v>5</v>
      </c>
      <c r="H102" s="76">
        <v>0</v>
      </c>
      <c r="I102" s="76">
        <v>0</v>
      </c>
      <c r="J102" s="198">
        <v>0</v>
      </c>
      <c r="K102" s="198">
        <v>0</v>
      </c>
      <c r="L102" s="198">
        <f t="shared" si="2"/>
        <v>0</v>
      </c>
      <c r="O102" s="116">
        <v>0</v>
      </c>
    </row>
    <row r="103" spans="1:15" outlineLevel="2">
      <c r="A103" s="229" t="s">
        <v>1416</v>
      </c>
      <c r="B103" s="230" t="s">
        <v>1812</v>
      </c>
      <c r="C103" s="229" t="s">
        <v>1808</v>
      </c>
      <c r="D103" s="231">
        <v>45138</v>
      </c>
      <c r="E103" s="231">
        <v>45142</v>
      </c>
      <c r="F103" s="182">
        <v>1</v>
      </c>
      <c r="G103" s="76">
        <v>5</v>
      </c>
      <c r="H103" s="76">
        <v>0</v>
      </c>
      <c r="I103" s="76">
        <v>0</v>
      </c>
      <c r="J103" s="198">
        <v>0</v>
      </c>
      <c r="K103" s="198">
        <v>0</v>
      </c>
      <c r="L103" s="198">
        <f t="shared" ref="L103:L127" si="3">K103-J103</f>
        <v>0</v>
      </c>
      <c r="O103" s="116">
        <v>0</v>
      </c>
    </row>
    <row r="104" spans="1:15" outlineLevel="2">
      <c r="A104" s="229" t="s">
        <v>1416</v>
      </c>
      <c r="B104" s="230" t="s">
        <v>1804</v>
      </c>
      <c r="C104" s="229" t="s">
        <v>1809</v>
      </c>
      <c r="D104" s="231">
        <v>45138</v>
      </c>
      <c r="E104" s="231">
        <v>45142</v>
      </c>
      <c r="F104" s="182">
        <v>1</v>
      </c>
      <c r="G104" s="76">
        <v>5</v>
      </c>
      <c r="H104" s="76">
        <v>0</v>
      </c>
      <c r="I104" s="76">
        <v>0</v>
      </c>
      <c r="J104" s="198">
        <v>0</v>
      </c>
      <c r="K104" s="198">
        <v>0</v>
      </c>
      <c r="L104" s="198">
        <f t="shared" si="3"/>
        <v>0</v>
      </c>
      <c r="O104" s="116">
        <v>0</v>
      </c>
    </row>
    <row r="105" spans="1:15" outlineLevel="2">
      <c r="A105" s="229" t="s">
        <v>1416</v>
      </c>
      <c r="B105" s="230" t="s">
        <v>1805</v>
      </c>
      <c r="C105" s="229" t="s">
        <v>1810</v>
      </c>
      <c r="D105" s="231">
        <v>45138</v>
      </c>
      <c r="E105" s="231">
        <v>45142</v>
      </c>
      <c r="F105" s="182">
        <v>1</v>
      </c>
      <c r="G105" s="76">
        <v>5</v>
      </c>
      <c r="H105" s="76">
        <v>0</v>
      </c>
      <c r="I105" s="76">
        <v>0</v>
      </c>
      <c r="J105" s="198">
        <v>0</v>
      </c>
      <c r="K105" s="198">
        <v>0</v>
      </c>
      <c r="L105" s="198">
        <f t="shared" si="3"/>
        <v>0</v>
      </c>
      <c r="O105" s="116">
        <v>0</v>
      </c>
    </row>
    <row r="106" spans="1:15" outlineLevel="2">
      <c r="A106" s="229" t="s">
        <v>1416</v>
      </c>
      <c r="B106" s="230" t="s">
        <v>1787</v>
      </c>
      <c r="C106" s="229" t="s">
        <v>1640</v>
      </c>
      <c r="D106" s="231">
        <v>45139</v>
      </c>
      <c r="E106" s="231">
        <v>45149</v>
      </c>
      <c r="F106" s="182">
        <v>1</v>
      </c>
      <c r="G106" s="76">
        <v>9</v>
      </c>
      <c r="H106" s="76">
        <v>0</v>
      </c>
      <c r="I106" s="76">
        <v>0</v>
      </c>
      <c r="J106" s="198">
        <v>0</v>
      </c>
      <c r="K106" s="198">
        <v>0</v>
      </c>
      <c r="L106" s="198">
        <f t="shared" si="3"/>
        <v>0</v>
      </c>
      <c r="O106" s="116">
        <v>0</v>
      </c>
    </row>
    <row r="107" spans="1:15" outlineLevel="2">
      <c r="A107" s="229" t="s">
        <v>1416</v>
      </c>
      <c r="B107" s="230" t="s">
        <v>1788</v>
      </c>
      <c r="C107" s="229" t="s">
        <v>1751</v>
      </c>
      <c r="D107" s="231">
        <v>45145</v>
      </c>
      <c r="E107" s="231">
        <v>45156</v>
      </c>
      <c r="F107" s="182">
        <v>1</v>
      </c>
      <c r="G107" s="76">
        <v>9</v>
      </c>
      <c r="H107" s="76">
        <v>0</v>
      </c>
      <c r="I107" s="76">
        <v>0</v>
      </c>
      <c r="J107" s="198">
        <v>0</v>
      </c>
      <c r="K107" s="198">
        <v>0</v>
      </c>
      <c r="L107" s="198">
        <f t="shared" si="3"/>
        <v>0</v>
      </c>
      <c r="O107" s="116">
        <v>0</v>
      </c>
    </row>
    <row r="108" spans="1:15" outlineLevel="2">
      <c r="A108" s="229" t="s">
        <v>1416</v>
      </c>
      <c r="B108" s="230" t="s">
        <v>1790</v>
      </c>
      <c r="C108" s="229" t="s">
        <v>1752</v>
      </c>
      <c r="D108" s="231">
        <v>45145</v>
      </c>
      <c r="E108" s="231">
        <v>45156</v>
      </c>
      <c r="F108" s="182">
        <v>1</v>
      </c>
      <c r="G108" s="76">
        <v>9</v>
      </c>
      <c r="H108" s="76">
        <v>0</v>
      </c>
      <c r="I108" s="76">
        <v>0</v>
      </c>
      <c r="J108" s="198">
        <v>0</v>
      </c>
      <c r="K108" s="198">
        <v>0</v>
      </c>
      <c r="L108" s="198">
        <f t="shared" si="3"/>
        <v>0</v>
      </c>
      <c r="O108" s="116">
        <v>0</v>
      </c>
    </row>
    <row r="109" spans="1:15" outlineLevel="2">
      <c r="A109" s="229" t="s">
        <v>1416</v>
      </c>
      <c r="B109" s="230" t="s">
        <v>1791</v>
      </c>
      <c r="C109" s="229" t="s">
        <v>1753</v>
      </c>
      <c r="D109" s="231">
        <v>45159</v>
      </c>
      <c r="E109" s="231">
        <v>45169</v>
      </c>
      <c r="F109" s="182">
        <v>1</v>
      </c>
      <c r="G109" s="76">
        <v>9</v>
      </c>
      <c r="H109" s="76">
        <v>0</v>
      </c>
      <c r="I109" s="76">
        <v>0</v>
      </c>
      <c r="J109" s="198">
        <v>0</v>
      </c>
      <c r="K109" s="198">
        <v>0</v>
      </c>
      <c r="L109" s="198">
        <f t="shared" si="3"/>
        <v>0</v>
      </c>
      <c r="O109" s="116">
        <v>0</v>
      </c>
    </row>
    <row r="110" spans="1:15" outlineLevel="2">
      <c r="A110" s="229" t="s">
        <v>1416</v>
      </c>
      <c r="B110" s="230" t="s">
        <v>1793</v>
      </c>
      <c r="C110" s="229" t="s">
        <v>1754</v>
      </c>
      <c r="D110" s="231">
        <v>45145</v>
      </c>
      <c r="E110" s="231">
        <v>45149</v>
      </c>
      <c r="F110" s="182">
        <v>1</v>
      </c>
      <c r="G110" s="76">
        <v>5</v>
      </c>
      <c r="H110" s="76">
        <v>0</v>
      </c>
      <c r="I110" s="76">
        <v>0</v>
      </c>
      <c r="J110" s="198">
        <v>0</v>
      </c>
      <c r="K110" s="198">
        <v>0</v>
      </c>
      <c r="L110" s="198">
        <f t="shared" si="3"/>
        <v>0</v>
      </c>
      <c r="O110" s="116">
        <v>0</v>
      </c>
    </row>
    <row r="111" spans="1:15" outlineLevel="2">
      <c r="A111" s="229" t="s">
        <v>1416</v>
      </c>
      <c r="B111" s="230" t="s">
        <v>1794</v>
      </c>
      <c r="C111" s="229" t="s">
        <v>1737</v>
      </c>
      <c r="D111" s="231">
        <v>45145</v>
      </c>
      <c r="E111" s="231">
        <v>45156</v>
      </c>
      <c r="F111" s="182">
        <v>1</v>
      </c>
      <c r="G111" s="76">
        <v>9</v>
      </c>
      <c r="H111" s="76">
        <v>0</v>
      </c>
      <c r="I111" s="76">
        <v>0</v>
      </c>
      <c r="J111" s="198">
        <v>0</v>
      </c>
      <c r="K111" s="198">
        <v>0</v>
      </c>
      <c r="L111" s="198">
        <f t="shared" si="3"/>
        <v>0</v>
      </c>
      <c r="O111" s="116">
        <v>0</v>
      </c>
    </row>
    <row r="112" spans="1:15" outlineLevel="2">
      <c r="A112" s="229" t="s">
        <v>1416</v>
      </c>
      <c r="B112" s="230" t="s">
        <v>1796</v>
      </c>
      <c r="C112" s="229" t="s">
        <v>1747</v>
      </c>
      <c r="D112" s="231">
        <v>45166</v>
      </c>
      <c r="E112" s="231">
        <v>45173</v>
      </c>
      <c r="F112" s="182">
        <v>1</v>
      </c>
      <c r="G112" s="76">
        <v>6</v>
      </c>
      <c r="H112" s="76">
        <v>0</v>
      </c>
      <c r="I112" s="76">
        <v>0</v>
      </c>
      <c r="J112" s="198">
        <v>0</v>
      </c>
      <c r="K112" s="198">
        <v>0</v>
      </c>
      <c r="L112" s="198">
        <f t="shared" si="3"/>
        <v>0</v>
      </c>
      <c r="O112" s="116">
        <v>0</v>
      </c>
    </row>
    <row r="113" spans="1:15" outlineLevel="2">
      <c r="A113" s="229" t="s">
        <v>1416</v>
      </c>
      <c r="B113" s="230" t="s">
        <v>1799</v>
      </c>
      <c r="C113" s="229" t="s">
        <v>1900</v>
      </c>
      <c r="D113" s="231">
        <v>45112</v>
      </c>
      <c r="E113" s="231">
        <v>45128</v>
      </c>
      <c r="F113" s="182">
        <v>1</v>
      </c>
      <c r="G113" s="76">
        <v>13</v>
      </c>
      <c r="H113" s="76">
        <v>0</v>
      </c>
      <c r="I113" s="76">
        <v>0</v>
      </c>
      <c r="J113" s="198">
        <v>0</v>
      </c>
      <c r="K113" s="198">
        <v>0</v>
      </c>
      <c r="L113" s="198">
        <f t="shared" si="3"/>
        <v>0</v>
      </c>
      <c r="O113" s="116">
        <v>0</v>
      </c>
    </row>
    <row r="114" spans="1:15" outlineLevel="2">
      <c r="A114" s="229" t="s">
        <v>1416</v>
      </c>
      <c r="B114" s="230" t="s">
        <v>1800</v>
      </c>
      <c r="C114" s="229" t="s">
        <v>1901</v>
      </c>
      <c r="D114" s="231">
        <v>45112</v>
      </c>
      <c r="E114" s="231">
        <v>45128</v>
      </c>
      <c r="F114" s="182">
        <v>1</v>
      </c>
      <c r="G114" s="76">
        <v>13</v>
      </c>
      <c r="H114" s="76">
        <v>0</v>
      </c>
      <c r="I114" s="76">
        <v>0</v>
      </c>
      <c r="J114" s="198">
        <v>0</v>
      </c>
      <c r="K114" s="198">
        <v>0</v>
      </c>
      <c r="L114" s="198">
        <f t="shared" si="3"/>
        <v>0</v>
      </c>
      <c r="O114" s="116">
        <v>0</v>
      </c>
    </row>
    <row r="115" spans="1:15" outlineLevel="2">
      <c r="A115" s="229" t="s">
        <v>1416</v>
      </c>
      <c r="B115" s="230" t="s">
        <v>1466</v>
      </c>
      <c r="C115" s="229" t="s">
        <v>1648</v>
      </c>
      <c r="D115" s="231">
        <v>45175</v>
      </c>
      <c r="E115" s="231">
        <v>45184</v>
      </c>
      <c r="F115" s="182">
        <v>1</v>
      </c>
      <c r="G115" s="76">
        <v>8</v>
      </c>
      <c r="H115" s="76">
        <v>0</v>
      </c>
      <c r="I115" s="76">
        <v>0</v>
      </c>
      <c r="J115" s="198">
        <v>0</v>
      </c>
      <c r="K115" s="198">
        <v>0</v>
      </c>
      <c r="L115" s="198">
        <f t="shared" si="3"/>
        <v>0</v>
      </c>
      <c r="O115" s="116">
        <v>0</v>
      </c>
    </row>
    <row r="116" spans="1:15" outlineLevel="2">
      <c r="A116" s="229" t="s">
        <v>1416</v>
      </c>
      <c r="B116" s="230" t="s">
        <v>1467</v>
      </c>
      <c r="C116" s="229" t="s">
        <v>1649</v>
      </c>
      <c r="D116" s="231">
        <v>45175</v>
      </c>
      <c r="E116" s="231">
        <v>45184</v>
      </c>
      <c r="F116" s="182">
        <v>1</v>
      </c>
      <c r="G116" s="76">
        <v>8</v>
      </c>
      <c r="H116" s="76">
        <v>0</v>
      </c>
      <c r="I116" s="76">
        <v>0</v>
      </c>
      <c r="J116" s="198">
        <v>0</v>
      </c>
      <c r="K116" s="198">
        <v>0</v>
      </c>
      <c r="L116" s="198">
        <f t="shared" si="3"/>
        <v>0</v>
      </c>
      <c r="O116" s="116">
        <v>0</v>
      </c>
    </row>
    <row r="117" spans="1:15" outlineLevel="2">
      <c r="A117" s="229" t="s">
        <v>1416</v>
      </c>
      <c r="B117" s="230" t="s">
        <v>1848</v>
      </c>
      <c r="C117" s="229" t="s">
        <v>1650</v>
      </c>
      <c r="D117" s="231">
        <v>45175</v>
      </c>
      <c r="E117" s="231">
        <v>45184</v>
      </c>
      <c r="F117" s="182">
        <v>1</v>
      </c>
      <c r="G117" s="76">
        <v>8</v>
      </c>
      <c r="H117" s="76">
        <v>0</v>
      </c>
      <c r="I117" s="76">
        <v>0</v>
      </c>
      <c r="J117" s="198">
        <v>0</v>
      </c>
      <c r="K117" s="198">
        <v>0</v>
      </c>
      <c r="L117" s="198">
        <f t="shared" si="3"/>
        <v>0</v>
      </c>
      <c r="O117" s="116">
        <v>0</v>
      </c>
    </row>
    <row r="118" spans="1:15" outlineLevel="2">
      <c r="A118" s="229" t="s">
        <v>1416</v>
      </c>
      <c r="B118" s="230" t="s">
        <v>1849</v>
      </c>
      <c r="C118" s="229" t="s">
        <v>1651</v>
      </c>
      <c r="D118" s="231">
        <v>45175</v>
      </c>
      <c r="E118" s="231">
        <v>45184</v>
      </c>
      <c r="F118" s="182">
        <v>1</v>
      </c>
      <c r="G118" s="76">
        <v>8</v>
      </c>
      <c r="H118" s="76">
        <v>0</v>
      </c>
      <c r="I118" s="76">
        <v>0</v>
      </c>
      <c r="J118" s="198">
        <v>0</v>
      </c>
      <c r="K118" s="198">
        <v>0</v>
      </c>
      <c r="L118" s="198">
        <f t="shared" si="3"/>
        <v>0</v>
      </c>
      <c r="O118" s="116">
        <v>0</v>
      </c>
    </row>
    <row r="119" spans="1:15" outlineLevel="2">
      <c r="A119" s="229" t="s">
        <v>1416</v>
      </c>
      <c r="B119" s="230" t="s">
        <v>1850</v>
      </c>
      <c r="C119" s="229" t="s">
        <v>1690</v>
      </c>
      <c r="D119" s="231">
        <v>45180</v>
      </c>
      <c r="E119" s="231">
        <v>45184</v>
      </c>
      <c r="F119" s="182">
        <v>1</v>
      </c>
      <c r="G119" s="76">
        <v>5</v>
      </c>
      <c r="H119" s="76">
        <v>0</v>
      </c>
      <c r="I119" s="76">
        <v>0</v>
      </c>
      <c r="J119" s="198">
        <v>0</v>
      </c>
      <c r="K119" s="198">
        <v>0</v>
      </c>
      <c r="L119" s="198">
        <f t="shared" si="3"/>
        <v>0</v>
      </c>
      <c r="O119" s="116">
        <v>0</v>
      </c>
    </row>
    <row r="120" spans="1:15" outlineLevel="2">
      <c r="A120" s="229" t="s">
        <v>1416</v>
      </c>
      <c r="B120" s="230" t="s">
        <v>1851</v>
      </c>
      <c r="C120" s="229" t="s">
        <v>1716</v>
      </c>
      <c r="D120" s="231">
        <v>45180</v>
      </c>
      <c r="E120" s="231">
        <v>45184</v>
      </c>
      <c r="F120" s="182">
        <v>1</v>
      </c>
      <c r="G120" s="76">
        <v>5</v>
      </c>
      <c r="H120" s="76">
        <v>0</v>
      </c>
      <c r="I120" s="76">
        <v>0</v>
      </c>
      <c r="J120" s="198">
        <v>0</v>
      </c>
      <c r="K120" s="198">
        <v>0</v>
      </c>
      <c r="L120" s="198">
        <f t="shared" si="3"/>
        <v>0</v>
      </c>
      <c r="O120" s="116">
        <v>0</v>
      </c>
    </row>
    <row r="121" spans="1:15" outlineLevel="2">
      <c r="A121" s="229" t="s">
        <v>1416</v>
      </c>
      <c r="B121" s="230" t="s">
        <v>1470</v>
      </c>
      <c r="C121" s="229" t="s">
        <v>1657</v>
      </c>
      <c r="D121" s="231">
        <v>45175</v>
      </c>
      <c r="E121" s="231">
        <v>45184</v>
      </c>
      <c r="F121" s="182">
        <v>1</v>
      </c>
      <c r="G121" s="76">
        <v>8</v>
      </c>
      <c r="H121" s="76">
        <v>0</v>
      </c>
      <c r="I121" s="76">
        <v>0</v>
      </c>
      <c r="J121" s="198">
        <v>0</v>
      </c>
      <c r="K121" s="198">
        <v>0</v>
      </c>
      <c r="L121" s="198">
        <f t="shared" si="3"/>
        <v>0</v>
      </c>
      <c r="O121" s="116">
        <v>0</v>
      </c>
    </row>
    <row r="122" spans="1:15" outlineLevel="2">
      <c r="A122" s="229" t="s">
        <v>1416</v>
      </c>
      <c r="B122" s="230" t="s">
        <v>1635</v>
      </c>
      <c r="C122" s="229" t="s">
        <v>1658</v>
      </c>
      <c r="D122" s="231">
        <v>45175</v>
      </c>
      <c r="E122" s="231">
        <v>45184</v>
      </c>
      <c r="F122" s="182">
        <v>1</v>
      </c>
      <c r="G122" s="76">
        <v>8</v>
      </c>
      <c r="H122" s="76">
        <v>0</v>
      </c>
      <c r="I122" s="76">
        <v>0</v>
      </c>
      <c r="J122" s="198">
        <v>0</v>
      </c>
      <c r="K122" s="198">
        <v>0</v>
      </c>
      <c r="L122" s="198">
        <f t="shared" si="3"/>
        <v>0</v>
      </c>
      <c r="O122" s="116">
        <v>0</v>
      </c>
    </row>
    <row r="123" spans="1:15" outlineLevel="2">
      <c r="A123" s="229" t="s">
        <v>1416</v>
      </c>
      <c r="B123" s="230" t="s">
        <v>1636</v>
      </c>
      <c r="C123" s="229" t="s">
        <v>1659</v>
      </c>
      <c r="D123" s="231">
        <v>45175</v>
      </c>
      <c r="E123" s="231">
        <v>45184</v>
      </c>
      <c r="F123" s="182">
        <v>1</v>
      </c>
      <c r="G123" s="76">
        <v>8</v>
      </c>
      <c r="H123" s="76">
        <v>0</v>
      </c>
      <c r="I123" s="76">
        <v>0</v>
      </c>
      <c r="J123" s="198">
        <v>0</v>
      </c>
      <c r="K123" s="198">
        <v>0</v>
      </c>
      <c r="L123" s="198">
        <f t="shared" si="3"/>
        <v>0</v>
      </c>
      <c r="O123" s="116">
        <v>0</v>
      </c>
    </row>
    <row r="124" spans="1:15" outlineLevel="2">
      <c r="A124" s="229" t="s">
        <v>1416</v>
      </c>
      <c r="B124" s="230" t="s">
        <v>1637</v>
      </c>
      <c r="C124" s="229" t="s">
        <v>1651</v>
      </c>
      <c r="D124" s="231">
        <v>45175</v>
      </c>
      <c r="E124" s="231">
        <v>45184</v>
      </c>
      <c r="F124" s="182">
        <v>1</v>
      </c>
      <c r="G124" s="76">
        <v>8</v>
      </c>
      <c r="H124" s="76">
        <v>0</v>
      </c>
      <c r="I124" s="76">
        <v>0</v>
      </c>
      <c r="J124" s="198">
        <v>0</v>
      </c>
      <c r="K124" s="198">
        <v>0</v>
      </c>
      <c r="L124" s="198">
        <f t="shared" si="3"/>
        <v>0</v>
      </c>
      <c r="O124" s="116">
        <v>0</v>
      </c>
    </row>
    <row r="125" spans="1:15" outlineLevel="2">
      <c r="A125" s="229" t="s">
        <v>1416</v>
      </c>
      <c r="B125" s="230" t="s">
        <v>1473</v>
      </c>
      <c r="C125" s="229" t="s">
        <v>1662</v>
      </c>
      <c r="D125" s="231">
        <v>45193</v>
      </c>
      <c r="E125" s="231">
        <v>45201</v>
      </c>
      <c r="F125" s="182">
        <v>1</v>
      </c>
      <c r="G125" s="76">
        <v>4</v>
      </c>
      <c r="H125" s="76">
        <v>0</v>
      </c>
      <c r="I125" s="76">
        <v>0</v>
      </c>
      <c r="J125" s="198">
        <v>0</v>
      </c>
      <c r="K125" s="198">
        <v>0</v>
      </c>
      <c r="L125" s="198">
        <f t="shared" si="3"/>
        <v>0</v>
      </c>
      <c r="O125" s="116">
        <v>0</v>
      </c>
    </row>
    <row r="126" spans="1:15" outlineLevel="2">
      <c r="A126" s="229" t="s">
        <v>1416</v>
      </c>
      <c r="B126" s="230" t="s">
        <v>1652</v>
      </c>
      <c r="C126" s="229" t="s">
        <v>1663</v>
      </c>
      <c r="D126" s="231">
        <v>45194</v>
      </c>
      <c r="E126" s="231">
        <v>45201</v>
      </c>
      <c r="F126" s="182">
        <v>1</v>
      </c>
      <c r="G126" s="76">
        <v>4</v>
      </c>
      <c r="H126" s="76">
        <v>0</v>
      </c>
      <c r="I126" s="76">
        <v>0</v>
      </c>
      <c r="J126" s="198">
        <v>0</v>
      </c>
      <c r="K126" s="198">
        <v>0</v>
      </c>
      <c r="L126" s="198">
        <f t="shared" si="3"/>
        <v>0</v>
      </c>
      <c r="O126" s="116">
        <v>0</v>
      </c>
    </row>
    <row r="127" spans="1:15" outlineLevel="2">
      <c r="A127" s="229" t="s">
        <v>1416</v>
      </c>
      <c r="B127" s="230" t="s">
        <v>1852</v>
      </c>
      <c r="C127" s="229" t="s">
        <v>1671</v>
      </c>
      <c r="D127" s="231">
        <v>45196</v>
      </c>
      <c r="E127" s="231">
        <v>45201</v>
      </c>
      <c r="F127" s="182">
        <v>1</v>
      </c>
      <c r="G127" s="76">
        <v>2</v>
      </c>
      <c r="H127" s="76">
        <v>0</v>
      </c>
      <c r="I127" s="76">
        <v>0</v>
      </c>
      <c r="J127" s="198">
        <v>0</v>
      </c>
      <c r="K127" s="198">
        <v>0</v>
      </c>
      <c r="L127" s="198">
        <f t="shared" si="3"/>
        <v>0</v>
      </c>
      <c r="O127" s="116">
        <v>0</v>
      </c>
    </row>
    <row r="128" spans="1:15" outlineLevel="2">
      <c r="A128" s="229" t="s">
        <v>1416</v>
      </c>
      <c r="B128" s="230" t="s">
        <v>1853</v>
      </c>
      <c r="C128" s="229" t="s">
        <v>1664</v>
      </c>
      <c r="D128" s="231">
        <v>45197</v>
      </c>
      <c r="E128" s="231">
        <v>45212</v>
      </c>
      <c r="F128" s="182">
        <v>1</v>
      </c>
      <c r="G128" s="76">
        <v>8</v>
      </c>
      <c r="H128" s="76">
        <v>0</v>
      </c>
      <c r="I128" s="76">
        <v>0</v>
      </c>
      <c r="J128" s="198">
        <v>0</v>
      </c>
      <c r="K128" s="198">
        <v>0</v>
      </c>
      <c r="L128" s="198">
        <f t="shared" ref="L128:L154" si="4">K128-J128</f>
        <v>0</v>
      </c>
      <c r="O128" s="116">
        <v>0</v>
      </c>
    </row>
    <row r="129" spans="1:15" outlineLevel="2">
      <c r="A129" s="229" t="s">
        <v>1416</v>
      </c>
      <c r="B129" s="230" t="s">
        <v>1854</v>
      </c>
      <c r="C129" s="229" t="s">
        <v>1665</v>
      </c>
      <c r="D129" s="231">
        <v>45198</v>
      </c>
      <c r="E129" s="231">
        <v>45212</v>
      </c>
      <c r="F129" s="182">
        <v>1</v>
      </c>
      <c r="G129" s="76">
        <v>8</v>
      </c>
      <c r="H129" s="76">
        <v>0</v>
      </c>
      <c r="I129" s="76">
        <v>0</v>
      </c>
      <c r="J129" s="198">
        <v>0</v>
      </c>
      <c r="K129" s="198">
        <v>0</v>
      </c>
      <c r="L129" s="198">
        <f t="shared" si="4"/>
        <v>0</v>
      </c>
      <c r="O129" s="116">
        <v>0</v>
      </c>
    </row>
    <row r="130" spans="1:15" outlineLevel="2">
      <c r="A130" s="229" t="s">
        <v>1416</v>
      </c>
      <c r="B130" s="230" t="s">
        <v>1855</v>
      </c>
      <c r="C130" s="229" t="s">
        <v>1666</v>
      </c>
      <c r="D130" s="231">
        <v>45199</v>
      </c>
      <c r="E130" s="231">
        <v>45212</v>
      </c>
      <c r="F130" s="182">
        <v>1</v>
      </c>
      <c r="G130" s="76">
        <v>8</v>
      </c>
      <c r="H130" s="76">
        <v>0</v>
      </c>
      <c r="I130" s="76">
        <v>0</v>
      </c>
      <c r="J130" s="198">
        <v>0</v>
      </c>
      <c r="K130" s="198">
        <v>0</v>
      </c>
      <c r="L130" s="198">
        <f t="shared" si="4"/>
        <v>0</v>
      </c>
      <c r="O130" s="116">
        <v>0</v>
      </c>
    </row>
    <row r="131" spans="1:15" outlineLevel="2">
      <c r="A131" s="229" t="s">
        <v>1416</v>
      </c>
      <c r="B131" s="230" t="s">
        <v>1856</v>
      </c>
      <c r="C131" s="229" t="s">
        <v>1676</v>
      </c>
      <c r="D131" s="231">
        <v>45200</v>
      </c>
      <c r="E131" s="231">
        <v>45215</v>
      </c>
      <c r="F131" s="182">
        <v>1</v>
      </c>
      <c r="G131" s="76">
        <v>9</v>
      </c>
      <c r="H131" s="76">
        <v>0</v>
      </c>
      <c r="I131" s="76">
        <v>0</v>
      </c>
      <c r="J131" s="198">
        <v>0</v>
      </c>
      <c r="K131" s="198">
        <v>0</v>
      </c>
      <c r="L131" s="198">
        <f t="shared" si="4"/>
        <v>0</v>
      </c>
      <c r="O131" s="116">
        <v>0</v>
      </c>
    </row>
    <row r="132" spans="1:15" outlineLevel="2">
      <c r="A132" s="229" t="s">
        <v>1416</v>
      </c>
      <c r="B132" s="230" t="s">
        <v>1857</v>
      </c>
      <c r="C132" s="229" t="s">
        <v>1677</v>
      </c>
      <c r="D132" s="231">
        <v>45201</v>
      </c>
      <c r="E132" s="231">
        <v>45226</v>
      </c>
      <c r="F132" s="182">
        <v>1</v>
      </c>
      <c r="G132" s="76">
        <v>18</v>
      </c>
      <c r="H132" s="76">
        <v>0</v>
      </c>
      <c r="I132" s="76">
        <v>0</v>
      </c>
      <c r="J132" s="198">
        <v>0</v>
      </c>
      <c r="K132" s="198">
        <v>0</v>
      </c>
      <c r="L132" s="198">
        <f t="shared" si="4"/>
        <v>0</v>
      </c>
      <c r="O132" s="116">
        <v>0</v>
      </c>
    </row>
    <row r="133" spans="1:15" outlineLevel="2">
      <c r="A133" s="229" t="s">
        <v>1416</v>
      </c>
      <c r="B133" s="230" t="s">
        <v>1858</v>
      </c>
      <c r="C133" s="229" t="s">
        <v>1678</v>
      </c>
      <c r="D133" s="231">
        <v>45202</v>
      </c>
      <c r="E133" s="231">
        <v>45226</v>
      </c>
      <c r="F133" s="182">
        <v>1</v>
      </c>
      <c r="G133" s="76">
        <v>17</v>
      </c>
      <c r="H133" s="76">
        <v>0</v>
      </c>
      <c r="I133" s="76">
        <v>0</v>
      </c>
      <c r="J133" s="198">
        <v>0</v>
      </c>
      <c r="K133" s="198">
        <v>0</v>
      </c>
      <c r="L133" s="198">
        <f t="shared" si="4"/>
        <v>0</v>
      </c>
      <c r="O133" s="116">
        <v>0</v>
      </c>
    </row>
    <row r="134" spans="1:15" outlineLevel="2">
      <c r="A134" s="229" t="s">
        <v>1416</v>
      </c>
      <c r="B134" s="230" t="s">
        <v>1859</v>
      </c>
      <c r="C134" s="229" t="s">
        <v>1679</v>
      </c>
      <c r="D134" s="231">
        <v>45203</v>
      </c>
      <c r="E134" s="231">
        <v>45226</v>
      </c>
      <c r="F134" s="182">
        <v>1</v>
      </c>
      <c r="G134" s="76">
        <v>17</v>
      </c>
      <c r="H134" s="76">
        <v>0</v>
      </c>
      <c r="I134" s="76">
        <v>0</v>
      </c>
      <c r="J134" s="198">
        <v>0</v>
      </c>
      <c r="K134" s="198">
        <v>0</v>
      </c>
      <c r="L134" s="198">
        <f t="shared" si="4"/>
        <v>0</v>
      </c>
      <c r="O134" s="116">
        <v>0</v>
      </c>
    </row>
    <row r="135" spans="1:15" outlineLevel="2">
      <c r="A135" s="229" t="s">
        <v>1416</v>
      </c>
      <c r="B135" s="230" t="s">
        <v>1688</v>
      </c>
      <c r="C135" s="229" t="s">
        <v>1690</v>
      </c>
      <c r="D135" s="231">
        <v>45187</v>
      </c>
      <c r="E135" s="231">
        <v>45191</v>
      </c>
      <c r="F135" s="182">
        <v>1</v>
      </c>
      <c r="G135" s="76">
        <v>5</v>
      </c>
      <c r="H135" s="76">
        <v>0</v>
      </c>
      <c r="I135" s="76">
        <v>0</v>
      </c>
      <c r="J135" s="198">
        <v>0</v>
      </c>
      <c r="K135" s="198">
        <v>0</v>
      </c>
      <c r="L135" s="198">
        <f t="shared" si="4"/>
        <v>0</v>
      </c>
      <c r="O135" s="116">
        <v>0</v>
      </c>
    </row>
    <row r="136" spans="1:15" outlineLevel="2">
      <c r="A136" s="229" t="s">
        <v>1416</v>
      </c>
      <c r="B136" s="230" t="s">
        <v>1689</v>
      </c>
      <c r="C136" s="229" t="s">
        <v>1691</v>
      </c>
      <c r="D136" s="231">
        <v>45187</v>
      </c>
      <c r="E136" s="231">
        <v>45191</v>
      </c>
      <c r="F136" s="182">
        <v>1</v>
      </c>
      <c r="G136" s="76">
        <v>5</v>
      </c>
      <c r="H136" s="76">
        <v>0</v>
      </c>
      <c r="I136" s="76">
        <v>0</v>
      </c>
      <c r="J136" s="198">
        <v>0</v>
      </c>
      <c r="K136" s="198">
        <v>0</v>
      </c>
      <c r="L136" s="198">
        <f t="shared" si="4"/>
        <v>0</v>
      </c>
      <c r="O136" s="116">
        <v>0</v>
      </c>
    </row>
    <row r="137" spans="1:15" outlineLevel="2">
      <c r="A137" s="229" t="s">
        <v>1416</v>
      </c>
      <c r="B137" s="230" t="s">
        <v>1681</v>
      </c>
      <c r="C137" s="229" t="s">
        <v>1816</v>
      </c>
      <c r="D137" s="231">
        <v>45170</v>
      </c>
      <c r="E137" s="231">
        <v>45173</v>
      </c>
      <c r="F137" s="182">
        <v>1</v>
      </c>
      <c r="G137" s="76">
        <v>2</v>
      </c>
      <c r="H137" s="76">
        <v>0</v>
      </c>
      <c r="I137" s="76">
        <v>0</v>
      </c>
      <c r="J137" s="198">
        <v>0</v>
      </c>
      <c r="K137" s="198">
        <v>0</v>
      </c>
      <c r="L137" s="198">
        <f t="shared" si="4"/>
        <v>0</v>
      </c>
      <c r="O137" s="116">
        <v>0</v>
      </c>
    </row>
    <row r="138" spans="1:15" outlineLevel="2">
      <c r="A138" s="229" t="s">
        <v>1416</v>
      </c>
      <c r="B138" s="230" t="s">
        <v>1682</v>
      </c>
      <c r="C138" s="229" t="s">
        <v>1817</v>
      </c>
      <c r="D138" s="231">
        <v>45170</v>
      </c>
      <c r="E138" s="231">
        <v>45173</v>
      </c>
      <c r="F138" s="182">
        <v>1</v>
      </c>
      <c r="G138" s="76">
        <v>2</v>
      </c>
      <c r="H138" s="76">
        <v>0</v>
      </c>
      <c r="I138" s="76">
        <v>0</v>
      </c>
      <c r="J138" s="198">
        <v>0</v>
      </c>
      <c r="K138" s="198">
        <v>0</v>
      </c>
      <c r="L138" s="198">
        <f t="shared" si="4"/>
        <v>0</v>
      </c>
      <c r="O138" s="116">
        <v>0</v>
      </c>
    </row>
    <row r="139" spans="1:15" outlineLevel="2">
      <c r="A139" s="229" t="s">
        <v>1416</v>
      </c>
      <c r="B139" s="230" t="s">
        <v>1683</v>
      </c>
      <c r="C139" s="229" t="s">
        <v>1818</v>
      </c>
      <c r="D139" s="231">
        <v>45170</v>
      </c>
      <c r="E139" s="231">
        <v>45173</v>
      </c>
      <c r="F139" s="182">
        <v>1</v>
      </c>
      <c r="G139" s="76">
        <v>2</v>
      </c>
      <c r="H139" s="76">
        <v>0</v>
      </c>
      <c r="I139" s="76">
        <v>0</v>
      </c>
      <c r="J139" s="198">
        <v>0</v>
      </c>
      <c r="K139" s="198">
        <v>0</v>
      </c>
      <c r="L139" s="198">
        <f t="shared" si="4"/>
        <v>0</v>
      </c>
      <c r="O139" s="116">
        <v>0</v>
      </c>
    </row>
    <row r="140" spans="1:15" outlineLevel="2">
      <c r="A140" s="229" t="s">
        <v>1416</v>
      </c>
      <c r="B140" s="230" t="s">
        <v>1820</v>
      </c>
      <c r="C140" s="229" t="s">
        <v>1819</v>
      </c>
      <c r="D140" s="231">
        <v>45170</v>
      </c>
      <c r="E140" s="231">
        <v>45173</v>
      </c>
      <c r="F140" s="182">
        <v>1</v>
      </c>
      <c r="G140" s="76">
        <v>2</v>
      </c>
      <c r="H140" s="76">
        <v>0</v>
      </c>
      <c r="I140" s="76">
        <v>0</v>
      </c>
      <c r="J140" s="198">
        <v>0</v>
      </c>
      <c r="K140" s="198">
        <v>0</v>
      </c>
      <c r="L140" s="198">
        <f t="shared" si="4"/>
        <v>0</v>
      </c>
      <c r="O140" s="116">
        <v>0</v>
      </c>
    </row>
    <row r="141" spans="1:15" outlineLevel="2">
      <c r="A141" s="229" t="s">
        <v>1416</v>
      </c>
      <c r="B141" s="230" t="s">
        <v>1821</v>
      </c>
      <c r="C141" s="229" t="s">
        <v>1822</v>
      </c>
      <c r="D141" s="231">
        <v>45170</v>
      </c>
      <c r="E141" s="231">
        <v>45173</v>
      </c>
      <c r="F141" s="182">
        <v>1</v>
      </c>
      <c r="G141" s="76">
        <v>2</v>
      </c>
      <c r="H141" s="76">
        <v>0</v>
      </c>
      <c r="I141" s="76">
        <v>0</v>
      </c>
      <c r="J141" s="198">
        <v>0</v>
      </c>
      <c r="K141" s="198">
        <v>0</v>
      </c>
      <c r="L141" s="198">
        <f t="shared" si="4"/>
        <v>0</v>
      </c>
      <c r="O141" s="116">
        <v>0</v>
      </c>
    </row>
    <row r="142" spans="1:15" outlineLevel="2">
      <c r="A142" s="229" t="s">
        <v>1416</v>
      </c>
      <c r="B142" s="230" t="s">
        <v>1685</v>
      </c>
      <c r="C142" s="229" t="s">
        <v>1680</v>
      </c>
      <c r="D142" s="231">
        <v>45170</v>
      </c>
      <c r="E142" s="231">
        <v>45173</v>
      </c>
      <c r="F142" s="182">
        <v>1</v>
      </c>
      <c r="G142" s="76">
        <v>2</v>
      </c>
      <c r="H142" s="76">
        <v>0</v>
      </c>
      <c r="I142" s="76">
        <v>0</v>
      </c>
      <c r="J142" s="198">
        <v>0</v>
      </c>
      <c r="K142" s="198">
        <v>0</v>
      </c>
      <c r="L142" s="198">
        <f t="shared" si="4"/>
        <v>0</v>
      </c>
      <c r="O142" s="116">
        <v>0</v>
      </c>
    </row>
    <row r="143" spans="1:15" outlineLevel="2">
      <c r="A143" s="229" t="s">
        <v>1416</v>
      </c>
      <c r="B143" s="230" t="s">
        <v>1686</v>
      </c>
      <c r="C143" s="229" t="s">
        <v>1645</v>
      </c>
      <c r="D143" s="231">
        <v>45170</v>
      </c>
      <c r="E143" s="231">
        <v>45173</v>
      </c>
      <c r="F143" s="182">
        <v>1</v>
      </c>
      <c r="G143" s="76">
        <v>2</v>
      </c>
      <c r="H143" s="76">
        <v>0</v>
      </c>
      <c r="I143" s="76">
        <v>0</v>
      </c>
      <c r="J143" s="198">
        <v>0</v>
      </c>
      <c r="K143" s="198">
        <v>0</v>
      </c>
      <c r="L143" s="198">
        <f t="shared" si="4"/>
        <v>0</v>
      </c>
      <c r="O143" s="116">
        <v>0</v>
      </c>
    </row>
    <row r="144" spans="1:15" outlineLevel="2">
      <c r="A144" s="229" t="s">
        <v>1416</v>
      </c>
      <c r="B144" s="230" t="s">
        <v>1692</v>
      </c>
      <c r="C144" s="229" t="s">
        <v>1829</v>
      </c>
      <c r="D144" s="231">
        <v>45229</v>
      </c>
      <c r="E144" s="231">
        <v>45230</v>
      </c>
      <c r="F144" s="182">
        <v>1</v>
      </c>
      <c r="G144" s="76">
        <v>2</v>
      </c>
      <c r="H144" s="76">
        <v>0</v>
      </c>
      <c r="I144" s="76">
        <v>0</v>
      </c>
      <c r="J144" s="198">
        <v>0</v>
      </c>
      <c r="K144" s="198">
        <v>0</v>
      </c>
      <c r="L144" s="198">
        <f t="shared" si="4"/>
        <v>0</v>
      </c>
      <c r="O144" s="116">
        <v>0</v>
      </c>
    </row>
    <row r="145" spans="1:15" outlineLevel="2">
      <c r="A145" s="229" t="s">
        <v>1416</v>
      </c>
      <c r="B145" s="230" t="s">
        <v>1699</v>
      </c>
      <c r="C145" s="229" t="s">
        <v>1899</v>
      </c>
      <c r="D145" s="231">
        <v>45229</v>
      </c>
      <c r="E145" s="231">
        <v>45230</v>
      </c>
      <c r="F145" s="182">
        <v>1</v>
      </c>
      <c r="G145" s="76">
        <v>2</v>
      </c>
      <c r="H145" s="76">
        <v>0</v>
      </c>
      <c r="I145" s="76">
        <v>0</v>
      </c>
      <c r="J145" s="198">
        <v>0</v>
      </c>
      <c r="K145" s="198">
        <v>0</v>
      </c>
      <c r="L145" s="198">
        <f t="shared" si="4"/>
        <v>0</v>
      </c>
      <c r="O145" s="116">
        <v>0</v>
      </c>
    </row>
    <row r="146" spans="1:15" outlineLevel="2">
      <c r="A146" s="229" t="s">
        <v>1416</v>
      </c>
      <c r="B146" s="230" t="s">
        <v>1700</v>
      </c>
      <c r="C146" s="229" t="s">
        <v>1695</v>
      </c>
      <c r="D146" s="231">
        <v>45229</v>
      </c>
      <c r="E146" s="231">
        <v>45230</v>
      </c>
      <c r="F146" s="182">
        <v>1</v>
      </c>
      <c r="G146" s="76">
        <v>2</v>
      </c>
      <c r="H146" s="76">
        <v>0</v>
      </c>
      <c r="I146" s="76">
        <v>0</v>
      </c>
      <c r="J146" s="198">
        <v>0</v>
      </c>
      <c r="K146" s="198">
        <v>0</v>
      </c>
      <c r="L146" s="198">
        <f t="shared" si="4"/>
        <v>0</v>
      </c>
      <c r="O146" s="116">
        <v>0</v>
      </c>
    </row>
    <row r="147" spans="1:15" outlineLevel="2">
      <c r="A147" s="229" t="s">
        <v>1416</v>
      </c>
      <c r="B147" s="230" t="s">
        <v>1712</v>
      </c>
      <c r="C147" s="229" t="s">
        <v>1696</v>
      </c>
      <c r="D147" s="231">
        <v>45229</v>
      </c>
      <c r="E147" s="231">
        <v>45230</v>
      </c>
      <c r="F147" s="182">
        <v>1</v>
      </c>
      <c r="G147" s="76">
        <v>2</v>
      </c>
      <c r="H147" s="76">
        <v>0</v>
      </c>
      <c r="I147" s="76">
        <v>0</v>
      </c>
      <c r="J147" s="198">
        <v>0</v>
      </c>
      <c r="K147" s="198">
        <v>0</v>
      </c>
      <c r="L147" s="198">
        <f t="shared" si="4"/>
        <v>0</v>
      </c>
      <c r="O147" s="116">
        <v>0</v>
      </c>
    </row>
    <row r="148" spans="1:15" outlineLevel="2">
      <c r="A148" s="229" t="s">
        <v>1416</v>
      </c>
      <c r="B148" s="230" t="s">
        <v>1698</v>
      </c>
      <c r="C148" s="229" t="s">
        <v>1701</v>
      </c>
      <c r="D148" s="231">
        <v>45224</v>
      </c>
      <c r="E148" s="231">
        <v>45226</v>
      </c>
      <c r="F148" s="182">
        <v>1</v>
      </c>
      <c r="G148" s="76">
        <v>3</v>
      </c>
      <c r="H148" s="76">
        <v>0</v>
      </c>
      <c r="I148" s="76">
        <v>0</v>
      </c>
      <c r="J148" s="198">
        <v>0</v>
      </c>
      <c r="K148" s="198">
        <v>0</v>
      </c>
      <c r="L148" s="198">
        <f t="shared" si="4"/>
        <v>0</v>
      </c>
      <c r="O148" s="116">
        <v>0</v>
      </c>
    </row>
    <row r="149" spans="1:15" outlineLevel="2">
      <c r="A149" s="229" t="s">
        <v>1416</v>
      </c>
      <c r="B149" s="230" t="s">
        <v>1704</v>
      </c>
      <c r="C149" s="229" t="s">
        <v>1702</v>
      </c>
      <c r="D149" s="231">
        <v>45229</v>
      </c>
      <c r="E149" s="231">
        <v>45230</v>
      </c>
      <c r="F149" s="182">
        <v>1</v>
      </c>
      <c r="G149" s="76">
        <v>2</v>
      </c>
      <c r="H149" s="76">
        <v>0</v>
      </c>
      <c r="I149" s="76">
        <v>0</v>
      </c>
      <c r="J149" s="198">
        <v>0</v>
      </c>
      <c r="K149" s="198">
        <v>0</v>
      </c>
      <c r="L149" s="198">
        <f t="shared" si="4"/>
        <v>0</v>
      </c>
      <c r="O149" s="116">
        <v>0</v>
      </c>
    </row>
    <row r="150" spans="1:15" outlineLevel="2">
      <c r="A150" s="229" t="s">
        <v>1416</v>
      </c>
      <c r="B150" s="230" t="s">
        <v>1705</v>
      </c>
      <c r="C150" s="229" t="s">
        <v>1703</v>
      </c>
      <c r="D150" s="231">
        <v>45229</v>
      </c>
      <c r="E150" s="231">
        <v>45230</v>
      </c>
      <c r="F150" s="182">
        <v>1</v>
      </c>
      <c r="G150" s="76">
        <v>2</v>
      </c>
      <c r="H150" s="76">
        <v>0</v>
      </c>
      <c r="I150" s="76">
        <v>0</v>
      </c>
      <c r="J150" s="198">
        <v>0</v>
      </c>
      <c r="K150" s="198">
        <v>0</v>
      </c>
      <c r="L150" s="198">
        <f t="shared" si="4"/>
        <v>0</v>
      </c>
      <c r="O150" s="116">
        <v>0</v>
      </c>
    </row>
    <row r="151" spans="1:15" outlineLevel="2">
      <c r="A151" s="229" t="s">
        <v>1416</v>
      </c>
      <c r="B151" s="230" t="s">
        <v>1706</v>
      </c>
      <c r="C151" s="229" t="s">
        <v>1474</v>
      </c>
      <c r="D151" s="231">
        <v>45231</v>
      </c>
      <c r="E151" s="231">
        <v>45231</v>
      </c>
      <c r="F151" s="182">
        <v>1</v>
      </c>
      <c r="G151" s="76">
        <v>0</v>
      </c>
      <c r="H151" s="76">
        <v>0</v>
      </c>
      <c r="I151" s="76">
        <v>0</v>
      </c>
      <c r="J151" s="198">
        <v>0</v>
      </c>
      <c r="K151" s="198">
        <v>0</v>
      </c>
      <c r="L151" s="198">
        <f t="shared" si="4"/>
        <v>0</v>
      </c>
      <c r="O151" s="116">
        <v>0</v>
      </c>
    </row>
    <row r="152" spans="1:15" outlineLevel="2">
      <c r="A152" s="229" t="s">
        <v>1416</v>
      </c>
      <c r="B152" s="230" t="s">
        <v>1802</v>
      </c>
      <c r="C152" s="229" t="s">
        <v>1823</v>
      </c>
      <c r="D152" s="231">
        <v>45231</v>
      </c>
      <c r="E152" s="231">
        <v>45260</v>
      </c>
      <c r="F152" s="182">
        <v>1</v>
      </c>
      <c r="G152" s="76">
        <v>22</v>
      </c>
      <c r="H152" s="76">
        <v>0</v>
      </c>
      <c r="I152" s="76">
        <v>0</v>
      </c>
      <c r="J152" s="198">
        <v>0</v>
      </c>
      <c r="K152" s="198">
        <v>0</v>
      </c>
      <c r="L152" s="198">
        <f t="shared" si="4"/>
        <v>0</v>
      </c>
      <c r="O152" s="116">
        <v>0</v>
      </c>
    </row>
    <row r="153" spans="1:15" outlineLevel="1">
      <c r="A153" s="232" t="s">
        <v>1873</v>
      </c>
      <c r="B153" s="233"/>
      <c r="C153" s="234"/>
      <c r="D153" s="235"/>
      <c r="E153" s="235"/>
      <c r="F153" s="242"/>
      <c r="G153" s="237">
        <f>SUBTOTAL(9,G7:G152)</f>
        <v>647</v>
      </c>
      <c r="H153" s="237">
        <f>SUBTOTAL(9,H7:H152)</f>
        <v>28</v>
      </c>
      <c r="I153" s="237">
        <f>SUBTOTAL(9,I7:I152)</f>
        <v>8</v>
      </c>
      <c r="J153" s="236">
        <f>H153/G153</f>
        <v>4.3276661514683151E-2</v>
      </c>
      <c r="K153" s="236">
        <f>I153/G153</f>
        <v>1.2364760432766615E-2</v>
      </c>
      <c r="L153" s="240">
        <f t="shared" si="4"/>
        <v>-3.0911901081916535E-2</v>
      </c>
      <c r="M153" s="238"/>
      <c r="N153" s="238"/>
      <c r="O153" s="238">
        <f>SUBTOTAL(9,O7:O152)</f>
        <v>8</v>
      </c>
    </row>
    <row r="154" spans="1:15">
      <c r="A154" s="232" t="s">
        <v>1874</v>
      </c>
      <c r="B154" s="233"/>
      <c r="C154" s="234"/>
      <c r="D154" s="235"/>
      <c r="E154" s="235"/>
      <c r="F154" s="242"/>
      <c r="G154" s="237">
        <f>SUBTOTAL(9,G7:G152)</f>
        <v>647</v>
      </c>
      <c r="H154" s="237">
        <f>SUBTOTAL(9,H7:H152)</f>
        <v>28</v>
      </c>
      <c r="I154" s="237">
        <f>SUBTOTAL(9,I7:I152)</f>
        <v>8</v>
      </c>
      <c r="J154" s="236">
        <f>H154/G154</f>
        <v>4.3276661514683151E-2</v>
      </c>
      <c r="K154" s="236">
        <f>I154/G154</f>
        <v>1.2364760432766615E-2</v>
      </c>
      <c r="L154" s="240">
        <f t="shared" si="4"/>
        <v>-3.0911901081916535E-2</v>
      </c>
      <c r="M154" s="238"/>
      <c r="N154" s="238"/>
      <c r="O154" s="238">
        <f>SUBTOTAL(9,O7:O152)</f>
        <v>8</v>
      </c>
    </row>
  </sheetData>
  <sortState ref="A7:O160">
    <sortCondition ref="A7:A49"/>
    <sortCondition ref="B7:B49"/>
  </sortState>
  <dataConsolidate/>
  <phoneticPr fontId="2" type="noConversion"/>
  <hyperlinks>
    <hyperlink ref="B7" location="Schedule!$D$9" display="1.1.1.1.1"/>
    <hyperlink ref="B8" location="Schedule!$D$10" display="1.1.1.1.2"/>
    <hyperlink ref="B9" location="Schedule!$D$12" display="1.1.1.2.1"/>
    <hyperlink ref="B10" location="Schedule!$D$13" display="1.1.1.2.2"/>
    <hyperlink ref="B11" location="Schedule!$D$15" display="1.1.2.1"/>
    <hyperlink ref="B12" location="Schedule!$D$16" display="1.1.2.2"/>
    <hyperlink ref="B13" location="Schedule!$D$18" display="1.1.3.1"/>
    <hyperlink ref="B14" location="Schedule!$D$19" display="1.1.3.2"/>
    <hyperlink ref="B15" location="Schedule!$D$20" display="1.1.3.3"/>
    <hyperlink ref="B16" location="Schedule!$D$24" display="1.2.1.1.1"/>
    <hyperlink ref="B27" location="Schedule!$D$25" display="1.2.1.1.2"/>
    <hyperlink ref="B33" location="Schedule!$D$26" display="1.2.1.1.3"/>
    <hyperlink ref="B34" location="Schedule!$D$27" display="1.2.1.1.4"/>
    <hyperlink ref="B35" location="Schedule!$D$28" display="1.2.1.1.5"/>
    <hyperlink ref="B36" location="Schedule!$D$29" display="1.2.1.1.6"/>
    <hyperlink ref="B37" location="Schedule!$D$30" display="1.2.1.1.7"/>
    <hyperlink ref="B38" location="Schedule!$D$31" display="1.2.1.1.8"/>
    <hyperlink ref="B39" location="Schedule!$D$32" display="1.2.1.1.9"/>
    <hyperlink ref="B17" location="Schedule!$D$33" display="1.2.1.1.10"/>
    <hyperlink ref="B18" location="Schedule!$D$34" display="1.2.1.1.11"/>
    <hyperlink ref="B19" location="Schedule!$D$35" display="1.2.1.1.12"/>
    <hyperlink ref="B20" location="Schedule!$D$36" display="1.2.1.1.13"/>
    <hyperlink ref="B21" location="Schedule!$D$37" display="1.2.1.1.14"/>
    <hyperlink ref="B22" location="Schedule!$D$38" display="1.2.1.1.15"/>
    <hyperlink ref="B23" location="Schedule!$D$39" display="1.2.1.1.16"/>
    <hyperlink ref="B24" location="Schedule!$D$40" display="1.2.1.1.17"/>
    <hyperlink ref="B25" location="Schedule!$D$41" display="1.2.1.1.18"/>
    <hyperlink ref="B26" location="Schedule!$D$42" display="1.2.1.1.19"/>
    <hyperlink ref="B28" location="Schedule!$D$43" display="1.2.1.1.20"/>
    <hyperlink ref="B29" location="Schedule!$D$44" display="1.2.1.1.21"/>
    <hyperlink ref="B30" location="Schedule!$D$45" display="1.2.1.1.22"/>
    <hyperlink ref="B31" location="Schedule!$D$46" display="1.2.1.1.23"/>
    <hyperlink ref="B32" location="Schedule!$D$47" display="1.2.1.1.24"/>
    <hyperlink ref="B40" location="Schedule!$D$49" display="1.2.1.2.1"/>
    <hyperlink ref="B41" location="Schedule!$D$50" display="1.2.1.2.2"/>
    <hyperlink ref="B42" location="Schedule!$D$51" display="1.2.1.2.3"/>
    <hyperlink ref="B43" location="Schedule!$D$54" display="1.2.2.1.1"/>
    <hyperlink ref="B44" location="Schedule!$D$55" display="1.2.2.1.2"/>
    <hyperlink ref="B45" location="Schedule!$D$57" display="1.2.2.2.1"/>
    <hyperlink ref="B46" location="Schedule!$D$58" display="1.2.2.2.2"/>
    <hyperlink ref="B47" location="Schedule!$D$60" display="1.2.2.3.1"/>
    <hyperlink ref="B48" location="Schedule!$D$61" display="1.2.2.3.2"/>
    <hyperlink ref="B49" location="Schedule!$D$64" display="1.2.3.1.1"/>
    <hyperlink ref="B50" location="Schedule!$D$65" display="1.2.3.1.2"/>
    <hyperlink ref="B51" location="Schedule!$D$66" display="1.2.3.1.3"/>
    <hyperlink ref="B52" location="Schedule!$D$68" display="1.3.1"/>
    <hyperlink ref="B53" location="Schedule!$D$70" display="1.3.2.1"/>
    <hyperlink ref="B54" location="Schedule!$D$71" display="1.3.2.2"/>
    <hyperlink ref="B55" location="Schedule!$D$73" display="1.3.3.1"/>
    <hyperlink ref="B56" location="Schedule!$D$74" display="1.3.3.2"/>
    <hyperlink ref="B57" location="Schedule!$D$75" display="1.3.3.3"/>
    <hyperlink ref="B58" location="Schedule!$D$79" display="2.1.1.1"/>
    <hyperlink ref="B59" location="Schedule!$D$80" display="2.1.1.2"/>
    <hyperlink ref="B60" location="Schedule!$D$81" display="2.1.1.3"/>
    <hyperlink ref="B61" location="Schedule!$D$82" display="2.1.1.4"/>
    <hyperlink ref="B62" location="Schedule!$D$83" display="2.1.1.5"/>
    <hyperlink ref="B63" location="Schedule!$D$84" display="2.1.1.6"/>
    <hyperlink ref="B64" location="Schedule!$D$86" display="2.1.2.1"/>
    <hyperlink ref="B65" location="Schedule!$D$87" display="2.1.2.2"/>
    <hyperlink ref="B66" location="Schedule!$D$88" display="2.1.2.3"/>
    <hyperlink ref="B67" location="Schedule!$D$90" display="2.2.1"/>
    <hyperlink ref="B68" location="Schedule!$D$92" display="2.2.2.1"/>
    <hyperlink ref="B69" location="Schedule!$D$93" display="2.2.2.2"/>
    <hyperlink ref="B70" location="Schedule!$D$94" display="2.2.2.3"/>
    <hyperlink ref="B71" location="Schedule!$D$95" display="2.2.2.4"/>
    <hyperlink ref="B72" location="Schedule!$D$96" display="2.2.2.5"/>
    <hyperlink ref="B73" location="Schedule!$D$97" display="2.2.2.6"/>
    <hyperlink ref="B74" location="Schedule!$D$98" display="2.2.2.7"/>
    <hyperlink ref="B75" location="Schedule!$D$100" display="2.2.3.1"/>
    <hyperlink ref="B76" location="Schedule!$D$101" display="2.2.3.2"/>
    <hyperlink ref="B77" location="Schedule!$D$104" display="2.3.1.1"/>
    <hyperlink ref="B78" location="Schedule!$D$105" display="2.3.1.2"/>
    <hyperlink ref="B79" location="Schedule!$D$108" display="2.3.1.3.1.1"/>
    <hyperlink ref="B80" location="Schedule!$D$109" display="2.3.1.3.1.2"/>
    <hyperlink ref="B81" location="Schedule!$D$110" display="2.3.1.3.1.3"/>
    <hyperlink ref="B82" location="Schedule!$D$112" display="2.3.1.3.2.1"/>
    <hyperlink ref="B83" location="Schedule!$D$113" display="2.3.1.3.2.2"/>
    <hyperlink ref="B84" location="Schedule!$D$114" display="2.3.1.3.2.3"/>
    <hyperlink ref="B85" location="Schedule!$D$116" display="2.3.1.3.3.1"/>
    <hyperlink ref="B86" location="Schedule!$D$117" display="2.3.1.3.3.2"/>
    <hyperlink ref="B87" location="Schedule!$D$118" display="2.3.1.3.3.3"/>
    <hyperlink ref="B88" location="Schedule!$D$119" display="2.3.1.3.3.4"/>
    <hyperlink ref="B89" location="Schedule!$D$120" display="2.3.1.3.3.5"/>
    <hyperlink ref="B90" location="Schedule!$D$122" display="2.3.1.3.4.1"/>
    <hyperlink ref="B91" location="Schedule!$D$123" display="2.3.1.3.4.2"/>
    <hyperlink ref="B92" location="Schedule!$D$124" display="2.3.1.3.4.3"/>
    <hyperlink ref="B93" location="Schedule!$D$125" display="2.3.1.3.4.4"/>
    <hyperlink ref="B94" location="Schedule!$D$127" display="2.3.1.3.5.1"/>
    <hyperlink ref="B95" location="Schedule!$D$128" display="2.3.1.3.5.2"/>
    <hyperlink ref="B96" location="Schedule!$D$129" display="2.3.1.3.5.3"/>
    <hyperlink ref="B97" location="Schedule!$D$130" display="2.3.1.3.5.4"/>
    <hyperlink ref="B98" location="Schedule!$D$131" display="2.3.1.3.5.5"/>
    <hyperlink ref="B99" location="Schedule!$D$132" display="2.3.1.3.5.6"/>
    <hyperlink ref="B100" location="Schedule!$D$134" display="2.3.1.3.6.1"/>
    <hyperlink ref="B101" location="Schedule!$D$135" display="2.3.1.3.6.2"/>
    <hyperlink ref="B102" location="Schedule!$D$136" display="2.3.1.3.6.3"/>
    <hyperlink ref="B103" location="Schedule!$D$138" display="2.3.1.3.7.1"/>
    <hyperlink ref="B104" location="Schedule!$D$139" display="2.3.1.3.7.2"/>
    <hyperlink ref="B105" location="Schedule!$D$140" display="2.3.1.3.7.3"/>
    <hyperlink ref="B106" location="Schedule!$D$142" display="2.3.1.4.1"/>
    <hyperlink ref="B107" location="Schedule!$D$143" display="2.3.1.4.2"/>
    <hyperlink ref="B108" location="Schedule!$D$145" display="2.3.1.4.3.1"/>
    <hyperlink ref="B109" location="Schedule!$D$146" display="2.3.1.4.3.2"/>
    <hyperlink ref="B110" location="Schedule!$D$148" display="2.3.1.4.4.1"/>
    <hyperlink ref="B111" location="Schedule!$D$149" display="2.3.1.4.4.2"/>
    <hyperlink ref="B112" location="Schedule!$D$151" display="2.3.1.4.5"/>
    <hyperlink ref="B113" location="Schedule!$D$155" display="2.3.1.5.3"/>
    <hyperlink ref="B114" location="Schedule!$D$156" display="2.3.1.5.4"/>
    <hyperlink ref="B115" location="Schedule!$D$162" display="2.3.2.1"/>
    <hyperlink ref="B116" location="Schedule!$D$163" display="2.3.2.2"/>
    <hyperlink ref="B117" location="Schedule!$D$164" display="2.3.2.3"/>
    <hyperlink ref="B118" location="Schedule!$D$165" display="2.3.2.4"/>
    <hyperlink ref="B119" location="Schedule!$D$167" display="2.3.3.1"/>
    <hyperlink ref="B120" location="Schedule!$D$168" display="2.3.3.2"/>
    <hyperlink ref="B121" location="Schedule!$D$171" display="2.4.1.1"/>
    <hyperlink ref="B122" location="Schedule!$D$172" display="2.4.1.2"/>
    <hyperlink ref="B123" location="Schedule!$D$173" display="2.4.1.3"/>
    <hyperlink ref="B124" location="Schedule!$D$174" display="2.4.1.4"/>
    <hyperlink ref="B125" location="Schedule!$D$176" display="2.4.2.1"/>
    <hyperlink ref="B126" location="Schedule!$D$177" display="2.4.2.2"/>
    <hyperlink ref="B127" location="Schedule!$D$179" display="2.4.2.3.1"/>
    <hyperlink ref="B128" location="Schedule!$D$180" display="2.4.2.3.2"/>
    <hyperlink ref="B129" location="Schedule!$D$181" display="2.4.2.3.3"/>
    <hyperlink ref="B130" location="Schedule!$D$182" display="2.4.2.3.4"/>
    <hyperlink ref="B131" location="Schedule!$D$183" display="2.4.2.3.5"/>
    <hyperlink ref="B132" location="Schedule!$D$184" display="2.4.2.3.6"/>
    <hyperlink ref="B133" location="Schedule!$D$185" display="2.4.2.3.7"/>
    <hyperlink ref="B134" location="Schedule!$D$186" display="2.4.2.3.8"/>
    <hyperlink ref="B135" location="Schedule!$D$191" display="2.5.1.2.1"/>
    <hyperlink ref="B136" location="Schedule!$D$192" display="2.5.1.2.2"/>
    <hyperlink ref="B137" location="Schedule!$D$195" display="2.5.2.1.1"/>
    <hyperlink ref="B138" location="Schedule!$D$196" display="2.5.2.1.2"/>
    <hyperlink ref="B139" location="Schedule!$D$197" display="2.5.2.1.3"/>
    <hyperlink ref="B140" location="Schedule!$D$198" display="2.5.2.1.4"/>
    <hyperlink ref="B141" location="Schedule!$D$199" display="2.5.2.1.5"/>
    <hyperlink ref="B142" location="Schedule!$D$202" display="2.5.2.2.2"/>
    <hyperlink ref="B143" location="Schedule!$D$203" display="2.5.2.2.3"/>
    <hyperlink ref="B144" location="Schedule!$D$205" display="2.5.2.3.1"/>
    <hyperlink ref="B145" location="Schedule!$D$206" display="2.5.2.3.2"/>
    <hyperlink ref="B146" location="Schedule!$D$207" display="2.5.2.3.3"/>
    <hyperlink ref="B147" location="Schedule!$D$208" display="2.5.2.3.4"/>
    <hyperlink ref="B148" location="Schedule!$D$210" display="2.5.2.4.1"/>
    <hyperlink ref="B149" location="Schedule!$D$211" display="2.5.2.4.2"/>
    <hyperlink ref="B150" location="Schedule!$D$212" display="2.5.2.4.3"/>
    <hyperlink ref="B151" location="Schedule!$D$213" display="2.5.2.5"/>
    <hyperlink ref="B152" location="Schedule!$D$215" display="2.5.2.6.1"/>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60"/>
  <sheetViews>
    <sheetView showGridLines="0" zoomScale="85" zoomScaleNormal="85" workbookViewId="0">
      <pane ySplit="1" topLeftCell="A2" activePane="bottomLeft" state="frozenSplit"/>
      <selection activeCell="B6" sqref="B6"/>
      <selection pane="bottomLeft" activeCell="B6" sqref="B6"/>
    </sheetView>
  </sheetViews>
  <sheetFormatPr defaultColWidth="10" defaultRowHeight="15"/>
  <cols>
    <col min="1" max="1" width="31.625" style="68" customWidth="1"/>
    <col min="2" max="2" width="14.5" style="68" customWidth="1"/>
    <col min="3" max="3" width="4.625" style="249" bestFit="1"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62" t="s">
        <v>1417</v>
      </c>
      <c r="B1" s="1"/>
      <c r="C1" s="245"/>
      <c r="D1" s="1"/>
      <c r="E1" s="1"/>
      <c r="F1" s="1"/>
      <c r="G1" s="1"/>
      <c r="H1" s="1"/>
    </row>
    <row r="2" spans="1:9" s="65" customFormat="1" ht="78.75" customHeight="1">
      <c r="A2" s="307" t="s">
        <v>1418</v>
      </c>
      <c r="B2" s="307"/>
      <c r="C2" s="307"/>
      <c r="D2" s="307"/>
      <c r="E2" s="307"/>
      <c r="F2" s="307"/>
      <c r="G2" s="307"/>
      <c r="H2" s="307"/>
    </row>
    <row r="3" spans="1:9" s="65" customFormat="1" ht="24.75" customHeight="1">
      <c r="A3" s="308" t="s">
        <v>1419</v>
      </c>
      <c r="B3" s="308"/>
      <c r="C3" s="246"/>
      <c r="D3" s="308" t="s">
        <v>1420</v>
      </c>
      <c r="E3" s="308"/>
      <c r="G3" s="308" t="s">
        <v>1421</v>
      </c>
      <c r="H3" s="308"/>
    </row>
    <row r="4" spans="1:9" s="67" customFormat="1" ht="19.5" customHeight="1">
      <c r="A4" s="66" t="s">
        <v>1422</v>
      </c>
      <c r="B4" s="66" t="s">
        <v>1423</v>
      </c>
      <c r="D4" s="66" t="s">
        <v>1422</v>
      </c>
      <c r="E4" s="66" t="s">
        <v>1423</v>
      </c>
      <c r="G4" s="66" t="s">
        <v>1422</v>
      </c>
      <c r="H4" s="66" t="s">
        <v>1423</v>
      </c>
    </row>
    <row r="5" spans="1:9" s="79" customFormat="1" ht="16.5">
      <c r="A5" s="80" t="s">
        <v>1888</v>
      </c>
      <c r="B5" s="81">
        <v>45658</v>
      </c>
      <c r="C5" s="247" t="str">
        <f t="shared" ref="C5:C22" si="0">IF(B5&gt;0,TEXT(B5,"(aaa)"),"")</f>
        <v>(수)</v>
      </c>
      <c r="D5" s="80"/>
      <c r="E5" s="81"/>
      <c r="F5" s="79" t="str">
        <f t="shared" ref="F5:F22" si="1">IF(E5&gt;0,TEXT(E5,"(aaa)"),"")</f>
        <v/>
      </c>
      <c r="G5" s="80"/>
      <c r="H5" s="81"/>
      <c r="I5" s="79" t="str">
        <f t="shared" ref="I5:I22" si="2">IF(H5&gt;0,TEXT(H5,"(aaa)"),"")</f>
        <v/>
      </c>
    </row>
    <row r="6" spans="1:9" s="79" customFormat="1" ht="16.5">
      <c r="A6" s="80" t="s">
        <v>1889</v>
      </c>
      <c r="B6" s="81">
        <v>45684</v>
      </c>
      <c r="C6" s="247" t="str">
        <f t="shared" si="0"/>
        <v>(월)</v>
      </c>
      <c r="D6" s="80"/>
      <c r="E6" s="81"/>
      <c r="F6" s="79" t="str">
        <f t="shared" si="1"/>
        <v/>
      </c>
      <c r="G6" s="80"/>
      <c r="H6" s="81"/>
      <c r="I6" s="79" t="str">
        <f t="shared" si="2"/>
        <v/>
      </c>
    </row>
    <row r="7" spans="1:9" s="79" customFormat="1" ht="16.5">
      <c r="A7" s="80" t="s">
        <v>1889</v>
      </c>
      <c r="B7" s="81">
        <v>45685</v>
      </c>
      <c r="C7" s="247" t="str">
        <f t="shared" si="0"/>
        <v>(화)</v>
      </c>
      <c r="D7" s="80"/>
      <c r="E7" s="81"/>
      <c r="F7" s="79" t="str">
        <f t="shared" si="1"/>
        <v/>
      </c>
      <c r="G7" s="80"/>
      <c r="H7" s="81"/>
      <c r="I7" s="79" t="str">
        <f t="shared" si="2"/>
        <v/>
      </c>
    </row>
    <row r="8" spans="1:9" s="79" customFormat="1" ht="16.5">
      <c r="A8" s="80" t="s">
        <v>1889</v>
      </c>
      <c r="B8" s="81">
        <v>45686</v>
      </c>
      <c r="C8" s="247" t="str">
        <f t="shared" si="0"/>
        <v>(수)</v>
      </c>
      <c r="D8" s="80"/>
      <c r="E8" s="81"/>
      <c r="F8" s="79" t="str">
        <f t="shared" si="1"/>
        <v/>
      </c>
      <c r="G8" s="80"/>
      <c r="H8" s="81"/>
      <c r="I8" s="79" t="str">
        <f t="shared" si="2"/>
        <v/>
      </c>
    </row>
    <row r="9" spans="1:9" s="79" customFormat="1" ht="16.5">
      <c r="A9" s="80" t="s">
        <v>1889</v>
      </c>
      <c r="B9" s="81">
        <v>45687</v>
      </c>
      <c r="C9" s="247" t="str">
        <f t="shared" ref="C9" si="3">IF(B9&gt;0,TEXT(B9,"(aaa)"),"")</f>
        <v>(목)</v>
      </c>
      <c r="D9" s="80"/>
      <c r="E9" s="81"/>
      <c r="F9" s="79" t="str">
        <f t="shared" ref="F9" si="4">IF(E9&gt;0,TEXT(E9,"(aaa)"),"")</f>
        <v/>
      </c>
      <c r="G9" s="80"/>
      <c r="H9" s="81"/>
      <c r="I9" s="79" t="str">
        <f t="shared" ref="I9" si="5">IF(H9&gt;0,TEXT(H9,"(aaa)"),"")</f>
        <v/>
      </c>
    </row>
    <row r="10" spans="1:9" s="79" customFormat="1" ht="16.5">
      <c r="A10" s="80" t="s">
        <v>1890</v>
      </c>
      <c r="B10" s="81">
        <v>45717</v>
      </c>
      <c r="C10" s="247" t="str">
        <f t="shared" si="0"/>
        <v>(토)</v>
      </c>
      <c r="D10" s="80"/>
      <c r="E10" s="81"/>
      <c r="F10" s="79" t="str">
        <f t="shared" si="1"/>
        <v/>
      </c>
      <c r="G10" s="80"/>
      <c r="H10" s="81"/>
      <c r="I10" s="79" t="str">
        <f t="shared" si="2"/>
        <v/>
      </c>
    </row>
    <row r="11" spans="1:9" s="79" customFormat="1" ht="16.5">
      <c r="A11" s="80" t="s">
        <v>1890</v>
      </c>
      <c r="B11" s="81">
        <v>45719</v>
      </c>
      <c r="C11" s="247" t="str">
        <f t="shared" ref="C11" si="6">IF(B11&gt;0,TEXT(B11,"(aaa)"),"")</f>
        <v>(월)</v>
      </c>
      <c r="D11" s="80"/>
      <c r="E11" s="81"/>
      <c r="F11" s="79" t="str">
        <f t="shared" ref="F11" si="7">IF(E11&gt;0,TEXT(E11,"(aaa)"),"")</f>
        <v/>
      </c>
      <c r="G11" s="80"/>
      <c r="H11" s="81"/>
      <c r="I11" s="79" t="str">
        <f t="shared" ref="I11" si="8">IF(H11&gt;0,TEXT(H11,"(aaa)"),"")</f>
        <v/>
      </c>
    </row>
    <row r="12" spans="1:9" s="79" customFormat="1" ht="16.5">
      <c r="A12" s="80" t="s">
        <v>1891</v>
      </c>
      <c r="B12" s="81">
        <v>45782</v>
      </c>
      <c r="C12" s="247" t="str">
        <f t="shared" si="0"/>
        <v>(월)</v>
      </c>
      <c r="D12" s="80"/>
      <c r="E12" s="81"/>
      <c r="F12" s="79" t="str">
        <f t="shared" si="1"/>
        <v/>
      </c>
      <c r="G12" s="80"/>
      <c r="H12" s="81"/>
      <c r="I12" s="79" t="str">
        <f t="shared" si="2"/>
        <v/>
      </c>
    </row>
    <row r="13" spans="1:9" s="79" customFormat="1" ht="16.5">
      <c r="A13" s="80" t="s">
        <v>1892</v>
      </c>
      <c r="B13" s="81">
        <v>45783</v>
      </c>
      <c r="C13" s="247" t="str">
        <f t="shared" si="0"/>
        <v>(화)</v>
      </c>
      <c r="D13" s="80"/>
      <c r="E13" s="81"/>
      <c r="F13" s="79" t="str">
        <f t="shared" si="1"/>
        <v/>
      </c>
      <c r="G13" s="80"/>
      <c r="H13" s="81"/>
      <c r="I13" s="79" t="str">
        <f t="shared" si="2"/>
        <v/>
      </c>
    </row>
    <row r="14" spans="1:9" s="79" customFormat="1" ht="16.5">
      <c r="A14" s="80" t="s">
        <v>1969</v>
      </c>
      <c r="B14" s="81">
        <v>45811</v>
      </c>
      <c r="C14" s="247" t="str">
        <f t="shared" si="0"/>
        <v>(화)</v>
      </c>
      <c r="D14" s="80"/>
      <c r="E14" s="81"/>
      <c r="F14" s="79" t="str">
        <f t="shared" si="1"/>
        <v/>
      </c>
      <c r="G14" s="80"/>
      <c r="H14" s="81"/>
      <c r="I14" s="79" t="str">
        <f t="shared" si="2"/>
        <v/>
      </c>
    </row>
    <row r="15" spans="1:9" s="79" customFormat="1" ht="16.5">
      <c r="A15" s="80" t="s">
        <v>1893</v>
      </c>
      <c r="B15" s="81">
        <v>45814</v>
      </c>
      <c r="C15" s="247" t="str">
        <f t="shared" si="0"/>
        <v>(금)</v>
      </c>
      <c r="D15" s="80"/>
      <c r="E15" s="81"/>
      <c r="F15" s="79" t="str">
        <f t="shared" si="1"/>
        <v/>
      </c>
      <c r="G15" s="80"/>
      <c r="H15" s="81"/>
      <c r="I15" s="79" t="str">
        <f t="shared" si="2"/>
        <v/>
      </c>
    </row>
    <row r="16" spans="1:9" s="79" customFormat="1" ht="16.5">
      <c r="A16" s="80" t="s">
        <v>1894</v>
      </c>
      <c r="B16" s="81">
        <v>45884</v>
      </c>
      <c r="C16" s="247" t="str">
        <f t="shared" si="0"/>
        <v>(금)</v>
      </c>
      <c r="D16" s="80"/>
      <c r="E16" s="81"/>
      <c r="F16" s="79" t="str">
        <f t="shared" si="1"/>
        <v/>
      </c>
      <c r="G16" s="80"/>
      <c r="H16" s="81"/>
      <c r="I16" s="79" t="str">
        <f t="shared" si="2"/>
        <v/>
      </c>
    </row>
    <row r="17" spans="1:10" s="79" customFormat="1" ht="16.5">
      <c r="A17" s="80" t="s">
        <v>1896</v>
      </c>
      <c r="B17" s="81">
        <v>45933</v>
      </c>
      <c r="C17" s="247" t="str">
        <f t="shared" ref="C17" si="9">IF(B17&gt;0,TEXT(B17,"(aaa)"),"")</f>
        <v>(금)</v>
      </c>
      <c r="D17" s="80"/>
      <c r="E17" s="81"/>
      <c r="F17" s="79" t="str">
        <f t="shared" ref="F17" si="10">IF(E17&gt;0,TEXT(E17,"(aaa)"),"")</f>
        <v/>
      </c>
      <c r="G17" s="80"/>
      <c r="H17" s="81"/>
      <c r="I17" s="79" t="str">
        <f t="shared" ref="I17" si="11">IF(H17&gt;0,TEXT(H17,"(aaa)"),"")</f>
        <v/>
      </c>
    </row>
    <row r="18" spans="1:10" s="79" customFormat="1" ht="16.5">
      <c r="A18" s="80" t="s">
        <v>1895</v>
      </c>
      <c r="B18" s="81">
        <v>45936</v>
      </c>
      <c r="C18" s="247" t="str">
        <f t="shared" si="0"/>
        <v>(월)</v>
      </c>
      <c r="D18" s="80"/>
      <c r="E18" s="81"/>
      <c r="F18" s="79" t="str">
        <f t="shared" si="1"/>
        <v/>
      </c>
      <c r="G18" s="80"/>
      <c r="H18" s="81"/>
      <c r="I18" s="79" t="str">
        <f t="shared" si="2"/>
        <v/>
      </c>
    </row>
    <row r="19" spans="1:10" s="79" customFormat="1" ht="16.5">
      <c r="A19" s="80" t="s">
        <v>1895</v>
      </c>
      <c r="B19" s="81">
        <v>45937</v>
      </c>
      <c r="C19" s="247" t="str">
        <f t="shared" si="0"/>
        <v>(화)</v>
      </c>
      <c r="D19" s="80"/>
      <c r="E19" s="81"/>
      <c r="F19" s="79" t="str">
        <f t="shared" si="1"/>
        <v/>
      </c>
      <c r="G19" s="80"/>
      <c r="H19" s="81"/>
      <c r="I19" s="79" t="str">
        <f t="shared" si="2"/>
        <v/>
      </c>
    </row>
    <row r="20" spans="1:10" s="79" customFormat="1" ht="16.5">
      <c r="A20" s="80" t="s">
        <v>1895</v>
      </c>
      <c r="B20" s="81">
        <v>45938</v>
      </c>
      <c r="C20" s="247" t="str">
        <f t="shared" si="0"/>
        <v>(수)</v>
      </c>
      <c r="D20" s="80"/>
      <c r="E20" s="81"/>
      <c r="F20" s="79" t="str">
        <f t="shared" si="1"/>
        <v/>
      </c>
      <c r="G20" s="80"/>
      <c r="H20" s="81"/>
      <c r="I20" s="79" t="str">
        <f t="shared" si="2"/>
        <v/>
      </c>
    </row>
    <row r="21" spans="1:10" s="79" customFormat="1" ht="17.25">
      <c r="A21" s="80" t="s">
        <v>1897</v>
      </c>
      <c r="B21" s="81">
        <v>45939</v>
      </c>
      <c r="C21" s="247" t="str">
        <f t="shared" si="0"/>
        <v>(목)</v>
      </c>
      <c r="D21" s="80"/>
      <c r="E21" s="81"/>
      <c r="F21" s="79" t="str">
        <f t="shared" si="1"/>
        <v/>
      </c>
      <c r="G21" s="80"/>
      <c r="H21" s="81"/>
      <c r="I21" s="79" t="str">
        <f t="shared" si="2"/>
        <v/>
      </c>
      <c r="J21" s="82"/>
    </row>
    <row r="22" spans="1:10" s="79" customFormat="1" ht="17.25">
      <c r="A22" s="80" t="s">
        <v>1898</v>
      </c>
      <c r="B22" s="81">
        <v>46016</v>
      </c>
      <c r="C22" s="247" t="str">
        <f t="shared" si="0"/>
        <v>(목)</v>
      </c>
      <c r="D22" s="80"/>
      <c r="E22" s="81"/>
      <c r="F22" s="79" t="str">
        <f t="shared" si="1"/>
        <v/>
      </c>
      <c r="G22" s="80"/>
      <c r="H22" s="81"/>
      <c r="I22" s="79" t="str">
        <f t="shared" si="2"/>
        <v/>
      </c>
      <c r="J22" s="82"/>
    </row>
    <row r="23" spans="1:10" s="79" customFormat="1" ht="16.5">
      <c r="A23" s="80" t="s">
        <v>1597</v>
      </c>
      <c r="B23" s="184">
        <v>45843</v>
      </c>
      <c r="C23" s="247" t="str">
        <f t="shared" ref="C23:C26" si="12">IF(B23&gt;0,TEXT(B23,"(aaa)"),"")</f>
        <v>(토)</v>
      </c>
      <c r="D23" s="80"/>
      <c r="E23" s="81"/>
      <c r="F23" s="79" t="str">
        <f t="shared" ref="F23:F26" si="13">IF(E23&gt;0,TEXT(E23,"(aaa)"),"")</f>
        <v/>
      </c>
      <c r="G23" s="80"/>
      <c r="H23" s="81"/>
      <c r="I23" s="79" t="str">
        <f t="shared" ref="I23:I26" si="14">IF(H23&gt;0,TEXT(H23,"(aaa)"),"")</f>
        <v/>
      </c>
    </row>
    <row r="24" spans="1:10" s="79" customFormat="1" ht="16.5">
      <c r="A24" s="80" t="s">
        <v>1597</v>
      </c>
      <c r="B24" s="184">
        <v>45844</v>
      </c>
      <c r="C24" s="247" t="str">
        <f t="shared" si="12"/>
        <v>(일)</v>
      </c>
      <c r="D24" s="80"/>
      <c r="E24" s="81"/>
      <c r="F24" s="79" t="str">
        <f t="shared" si="13"/>
        <v/>
      </c>
      <c r="G24" s="80"/>
      <c r="H24" s="81"/>
      <c r="I24" s="79" t="str">
        <f t="shared" si="14"/>
        <v/>
      </c>
    </row>
    <row r="25" spans="1:10" s="79" customFormat="1" ht="16.5">
      <c r="A25" s="80" t="s">
        <v>1597</v>
      </c>
      <c r="B25" s="184">
        <v>45850</v>
      </c>
      <c r="C25" s="247" t="str">
        <f t="shared" si="12"/>
        <v>(토)</v>
      </c>
      <c r="D25" s="80"/>
      <c r="E25" s="81"/>
      <c r="F25" s="79" t="str">
        <f t="shared" si="13"/>
        <v/>
      </c>
      <c r="G25" s="80"/>
      <c r="H25" s="81"/>
      <c r="I25" s="79" t="str">
        <f t="shared" si="14"/>
        <v/>
      </c>
    </row>
    <row r="26" spans="1:10" s="79" customFormat="1" ht="16.5">
      <c r="A26" s="80" t="s">
        <v>1597</v>
      </c>
      <c r="B26" s="184">
        <v>45851</v>
      </c>
      <c r="C26" s="247" t="str">
        <f t="shared" si="12"/>
        <v>(일)</v>
      </c>
      <c r="D26" s="80"/>
      <c r="E26" s="81"/>
      <c r="F26" s="79" t="str">
        <f t="shared" si="13"/>
        <v/>
      </c>
      <c r="G26" s="80"/>
      <c r="H26" s="81"/>
      <c r="I26" s="79" t="str">
        <f t="shared" si="14"/>
        <v/>
      </c>
    </row>
    <row r="27" spans="1:10" s="79" customFormat="1" ht="16.5">
      <c r="A27" s="80" t="s">
        <v>1597</v>
      </c>
      <c r="B27" s="184">
        <v>45857</v>
      </c>
      <c r="C27" s="247" t="str">
        <f t="shared" ref="C27:C36" si="15">IF(B27&gt;0,TEXT(B27,"(aaa)"),"")</f>
        <v>(토)</v>
      </c>
      <c r="D27" s="80"/>
      <c r="E27" s="81"/>
      <c r="F27" s="79" t="str">
        <f t="shared" ref="F27:F44" si="16">IF(E27&gt;0,TEXT(E27,"(aaa)"),"")</f>
        <v/>
      </c>
      <c r="G27" s="80"/>
      <c r="H27" s="81"/>
      <c r="I27" s="79" t="str">
        <f t="shared" ref="I27:I44" si="17">IF(H27&gt;0,TEXT(H27,"(aaa)"),"")</f>
        <v/>
      </c>
    </row>
    <row r="28" spans="1:10" s="79" customFormat="1" ht="16.5">
      <c r="A28" s="80" t="s">
        <v>1597</v>
      </c>
      <c r="B28" s="184">
        <v>45858</v>
      </c>
      <c r="C28" s="247" t="str">
        <f t="shared" si="15"/>
        <v>(일)</v>
      </c>
      <c r="D28" s="80"/>
      <c r="E28" s="81"/>
      <c r="F28" s="79" t="str">
        <f t="shared" si="16"/>
        <v/>
      </c>
      <c r="G28" s="80"/>
      <c r="H28" s="81"/>
      <c r="I28" s="79" t="str">
        <f t="shared" si="17"/>
        <v/>
      </c>
    </row>
    <row r="29" spans="1:10" s="79" customFormat="1" ht="16.5">
      <c r="A29" s="80" t="s">
        <v>1597</v>
      </c>
      <c r="B29" s="184">
        <v>45864</v>
      </c>
      <c r="C29" s="247" t="str">
        <f t="shared" si="15"/>
        <v>(토)</v>
      </c>
      <c r="D29" s="80"/>
      <c r="E29" s="81"/>
      <c r="F29" s="79" t="str">
        <f t="shared" si="16"/>
        <v/>
      </c>
      <c r="G29" s="80"/>
      <c r="H29" s="81"/>
      <c r="I29" s="79" t="str">
        <f t="shared" si="17"/>
        <v/>
      </c>
    </row>
    <row r="30" spans="1:10" s="79" customFormat="1" ht="16.5">
      <c r="A30" s="80" t="s">
        <v>1597</v>
      </c>
      <c r="B30" s="184">
        <v>45865</v>
      </c>
      <c r="C30" s="247" t="str">
        <f t="shared" si="15"/>
        <v>(일)</v>
      </c>
      <c r="D30" s="80"/>
      <c r="E30" s="81"/>
      <c r="F30" s="79" t="str">
        <f t="shared" si="16"/>
        <v/>
      </c>
      <c r="G30" s="80"/>
      <c r="H30" s="81"/>
      <c r="I30" s="79" t="str">
        <f t="shared" si="17"/>
        <v/>
      </c>
    </row>
    <row r="31" spans="1:10" s="79" customFormat="1" ht="16.5">
      <c r="A31" s="80" t="s">
        <v>1597</v>
      </c>
      <c r="B31" s="184">
        <v>45871</v>
      </c>
      <c r="C31" s="247" t="str">
        <f t="shared" si="15"/>
        <v>(토)</v>
      </c>
      <c r="D31" s="80"/>
      <c r="E31" s="81"/>
      <c r="F31" s="79" t="str">
        <f t="shared" si="16"/>
        <v/>
      </c>
      <c r="G31" s="80"/>
      <c r="H31" s="81"/>
      <c r="I31" s="79" t="str">
        <f t="shared" si="17"/>
        <v/>
      </c>
    </row>
    <row r="32" spans="1:10" s="79" customFormat="1" ht="16.5">
      <c r="A32" s="80" t="s">
        <v>1597</v>
      </c>
      <c r="B32" s="184">
        <v>45872</v>
      </c>
      <c r="C32" s="247" t="str">
        <f t="shared" si="15"/>
        <v>(일)</v>
      </c>
      <c r="D32" s="80"/>
      <c r="E32" s="81"/>
      <c r="F32" s="79" t="str">
        <f t="shared" si="16"/>
        <v/>
      </c>
      <c r="G32" s="80"/>
      <c r="H32" s="81"/>
      <c r="I32" s="79" t="str">
        <f t="shared" si="17"/>
        <v/>
      </c>
    </row>
    <row r="33" spans="1:9" s="79" customFormat="1" ht="16.5">
      <c r="A33" s="80" t="s">
        <v>1597</v>
      </c>
      <c r="B33" s="184">
        <v>45878</v>
      </c>
      <c r="C33" s="247" t="str">
        <f t="shared" si="15"/>
        <v>(토)</v>
      </c>
      <c r="D33" s="80"/>
      <c r="E33" s="81"/>
      <c r="F33" s="79" t="str">
        <f t="shared" si="16"/>
        <v/>
      </c>
      <c r="G33" s="80"/>
      <c r="H33" s="81"/>
      <c r="I33" s="79" t="str">
        <f t="shared" si="17"/>
        <v/>
      </c>
    </row>
    <row r="34" spans="1:9" s="79" customFormat="1" ht="16.5">
      <c r="A34" s="80" t="s">
        <v>1597</v>
      </c>
      <c r="B34" s="184">
        <v>45879</v>
      </c>
      <c r="C34" s="247" t="str">
        <f t="shared" si="15"/>
        <v>(일)</v>
      </c>
      <c r="D34" s="80"/>
      <c r="E34" s="81"/>
      <c r="F34" s="79" t="str">
        <f t="shared" si="16"/>
        <v/>
      </c>
      <c r="G34" s="80"/>
      <c r="H34" s="81"/>
      <c r="I34" s="79" t="str">
        <f t="shared" si="17"/>
        <v/>
      </c>
    </row>
    <row r="35" spans="1:9" s="79" customFormat="1" ht="16.5">
      <c r="A35" s="80" t="s">
        <v>1597</v>
      </c>
      <c r="B35" s="184">
        <v>45885</v>
      </c>
      <c r="C35" s="247" t="str">
        <f t="shared" si="15"/>
        <v>(토)</v>
      </c>
      <c r="D35" s="80"/>
      <c r="E35" s="81"/>
      <c r="F35" s="79" t="str">
        <f t="shared" si="16"/>
        <v/>
      </c>
      <c r="G35" s="80"/>
      <c r="H35" s="81"/>
      <c r="I35" s="79" t="str">
        <f t="shared" si="17"/>
        <v/>
      </c>
    </row>
    <row r="36" spans="1:9" s="79" customFormat="1" ht="16.5">
      <c r="A36" s="80" t="s">
        <v>1597</v>
      </c>
      <c r="B36" s="184">
        <v>45886</v>
      </c>
      <c r="C36" s="247" t="str">
        <f t="shared" si="15"/>
        <v>(일)</v>
      </c>
      <c r="D36" s="80"/>
      <c r="E36" s="81"/>
      <c r="F36" s="79" t="str">
        <f t="shared" si="16"/>
        <v/>
      </c>
      <c r="G36" s="80"/>
      <c r="H36" s="81"/>
      <c r="I36" s="79" t="str">
        <f t="shared" si="17"/>
        <v/>
      </c>
    </row>
    <row r="37" spans="1:9" s="79" customFormat="1" ht="16.5">
      <c r="A37" s="80" t="s">
        <v>1597</v>
      </c>
      <c r="B37" s="184">
        <v>45892</v>
      </c>
      <c r="C37" s="247" t="str">
        <f t="shared" ref="C37:C44" si="18">IF(B37&gt;0,TEXT(B37,"(aaa)"),"")</f>
        <v>(토)</v>
      </c>
      <c r="D37" s="80"/>
      <c r="E37" s="81"/>
      <c r="F37" s="79" t="str">
        <f t="shared" si="16"/>
        <v/>
      </c>
      <c r="G37" s="80"/>
      <c r="H37" s="81"/>
      <c r="I37" s="79" t="str">
        <f t="shared" si="17"/>
        <v/>
      </c>
    </row>
    <row r="38" spans="1:9" s="79" customFormat="1" ht="16.5">
      <c r="A38" s="80" t="s">
        <v>1597</v>
      </c>
      <c r="B38" s="184">
        <v>45893</v>
      </c>
      <c r="C38" s="247" t="str">
        <f t="shared" si="18"/>
        <v>(일)</v>
      </c>
      <c r="D38" s="80"/>
      <c r="E38" s="81"/>
      <c r="F38" s="79" t="str">
        <f t="shared" si="16"/>
        <v/>
      </c>
      <c r="G38" s="80"/>
      <c r="H38" s="81"/>
      <c r="I38" s="79" t="str">
        <f t="shared" si="17"/>
        <v/>
      </c>
    </row>
    <row r="39" spans="1:9" s="79" customFormat="1" ht="16.5">
      <c r="A39" s="80" t="s">
        <v>1597</v>
      </c>
      <c r="B39" s="184">
        <v>45899</v>
      </c>
      <c r="C39" s="247" t="str">
        <f t="shared" si="18"/>
        <v>(토)</v>
      </c>
      <c r="D39" s="80"/>
      <c r="E39" s="81"/>
      <c r="F39" s="79" t="str">
        <f t="shared" si="16"/>
        <v/>
      </c>
      <c r="G39" s="80"/>
      <c r="H39" s="81"/>
      <c r="I39" s="79" t="str">
        <f t="shared" si="17"/>
        <v/>
      </c>
    </row>
    <row r="40" spans="1:9" s="79" customFormat="1" ht="16.5">
      <c r="A40" s="80" t="s">
        <v>1597</v>
      </c>
      <c r="B40" s="184">
        <v>45900</v>
      </c>
      <c r="C40" s="247" t="str">
        <f t="shared" si="18"/>
        <v>(일)</v>
      </c>
      <c r="D40" s="80"/>
      <c r="E40" s="81"/>
      <c r="F40" s="79" t="str">
        <f t="shared" si="16"/>
        <v/>
      </c>
      <c r="G40" s="80"/>
      <c r="H40" s="81"/>
      <c r="I40" s="79" t="str">
        <f t="shared" si="17"/>
        <v/>
      </c>
    </row>
    <row r="41" spans="1:9" s="79" customFormat="1" ht="16.5">
      <c r="A41" s="80" t="s">
        <v>1597</v>
      </c>
      <c r="B41" s="184">
        <v>45906</v>
      </c>
      <c r="C41" s="247" t="str">
        <f t="shared" si="18"/>
        <v>(토)</v>
      </c>
      <c r="D41" s="80"/>
      <c r="E41" s="81"/>
      <c r="F41" s="79" t="str">
        <f t="shared" si="16"/>
        <v/>
      </c>
      <c r="G41" s="80"/>
      <c r="H41" s="81"/>
      <c r="I41" s="79" t="str">
        <f t="shared" si="17"/>
        <v/>
      </c>
    </row>
    <row r="42" spans="1:9" s="79" customFormat="1" ht="16.5">
      <c r="A42" s="80" t="s">
        <v>1597</v>
      </c>
      <c r="B42" s="184">
        <v>45907</v>
      </c>
      <c r="C42" s="247" t="str">
        <f t="shared" si="18"/>
        <v>(일)</v>
      </c>
      <c r="D42" s="80"/>
      <c r="E42" s="81"/>
      <c r="F42" s="79" t="str">
        <f t="shared" si="16"/>
        <v/>
      </c>
      <c r="G42" s="80"/>
      <c r="H42" s="81"/>
      <c r="I42" s="79" t="str">
        <f t="shared" si="17"/>
        <v/>
      </c>
    </row>
    <row r="43" spans="1:9" s="79" customFormat="1" ht="16.5">
      <c r="A43" s="80" t="s">
        <v>1597</v>
      </c>
      <c r="B43" s="184">
        <v>45913</v>
      </c>
      <c r="C43" s="247" t="str">
        <f t="shared" si="18"/>
        <v>(토)</v>
      </c>
      <c r="D43" s="80"/>
      <c r="E43" s="81"/>
      <c r="F43" s="79" t="str">
        <f t="shared" si="16"/>
        <v/>
      </c>
      <c r="G43" s="80"/>
      <c r="H43" s="81"/>
      <c r="I43" s="79" t="str">
        <f t="shared" si="17"/>
        <v/>
      </c>
    </row>
    <row r="44" spans="1:9" s="79" customFormat="1" ht="16.5">
      <c r="A44" s="80" t="s">
        <v>1597</v>
      </c>
      <c r="B44" s="184">
        <v>45914</v>
      </c>
      <c r="C44" s="247" t="str">
        <f t="shared" si="18"/>
        <v>(일)</v>
      </c>
      <c r="D44" s="80"/>
      <c r="E44" s="81"/>
      <c r="F44" s="79" t="str">
        <f t="shared" si="16"/>
        <v/>
      </c>
      <c r="G44" s="80"/>
      <c r="H44" s="81"/>
      <c r="I44" s="79" t="str">
        <f t="shared" si="17"/>
        <v/>
      </c>
    </row>
    <row r="45" spans="1:9" s="79" customFormat="1" ht="16.5">
      <c r="A45" s="80" t="s">
        <v>1597</v>
      </c>
      <c r="B45" s="184">
        <v>45920</v>
      </c>
      <c r="C45" s="247" t="str">
        <f t="shared" ref="C45:C84" si="19">IF(B45&gt;0,TEXT(B45,"(aaa)"),"")</f>
        <v>(토)</v>
      </c>
      <c r="D45" s="80"/>
      <c r="E45" s="81"/>
      <c r="F45" s="79" t="str">
        <f t="shared" ref="F45:F115" si="20">IF(E45&gt;0,TEXT(E45,"(aaa)"),"")</f>
        <v/>
      </c>
      <c r="G45" s="80"/>
      <c r="H45" s="81"/>
      <c r="I45" s="79" t="str">
        <f t="shared" ref="I45:I115" si="21">IF(H45&gt;0,TEXT(H45,"(aaa)"),"")</f>
        <v/>
      </c>
    </row>
    <row r="46" spans="1:9" s="79" customFormat="1" ht="16.5">
      <c r="A46" s="80" t="s">
        <v>1597</v>
      </c>
      <c r="B46" s="184">
        <v>45921</v>
      </c>
      <c r="C46" s="247" t="str">
        <f t="shared" si="19"/>
        <v>(일)</v>
      </c>
      <c r="D46" s="80"/>
      <c r="E46" s="81"/>
      <c r="F46" s="79" t="str">
        <f t="shared" si="20"/>
        <v/>
      </c>
      <c r="G46" s="80"/>
      <c r="H46" s="81"/>
      <c r="I46" s="79" t="str">
        <f t="shared" si="21"/>
        <v/>
      </c>
    </row>
    <row r="47" spans="1:9" s="79" customFormat="1" ht="16.5">
      <c r="A47" s="80" t="s">
        <v>1597</v>
      </c>
      <c r="B47" s="184">
        <v>45927</v>
      </c>
      <c r="C47" s="247" t="str">
        <f t="shared" ref="C47:C54" si="22">IF(B47&gt;0,TEXT(B47,"(aaa)"),"")</f>
        <v>(토)</v>
      </c>
      <c r="D47" s="80"/>
      <c r="E47" s="81"/>
      <c r="F47" s="79" t="str">
        <f t="shared" ref="F47:F54" si="23">IF(E47&gt;0,TEXT(E47,"(aaa)"),"")</f>
        <v/>
      </c>
      <c r="G47" s="80"/>
      <c r="H47" s="81"/>
      <c r="I47" s="79" t="str">
        <f t="shared" ref="I47:I54" si="24">IF(H47&gt;0,TEXT(H47,"(aaa)"),"")</f>
        <v/>
      </c>
    </row>
    <row r="48" spans="1:9" s="79" customFormat="1" ht="16.5">
      <c r="A48" s="80" t="s">
        <v>1597</v>
      </c>
      <c r="B48" s="184">
        <v>45928</v>
      </c>
      <c r="C48" s="247" t="str">
        <f t="shared" si="22"/>
        <v>(일)</v>
      </c>
      <c r="D48" s="80"/>
      <c r="E48" s="81"/>
      <c r="F48" s="79" t="str">
        <f t="shared" si="23"/>
        <v/>
      </c>
      <c r="G48" s="80"/>
      <c r="H48" s="81"/>
      <c r="I48" s="79" t="str">
        <f t="shared" si="24"/>
        <v/>
      </c>
    </row>
    <row r="49" spans="1:9" s="79" customFormat="1" ht="16.5">
      <c r="A49" s="80" t="s">
        <v>1597</v>
      </c>
      <c r="B49" s="184">
        <v>45934</v>
      </c>
      <c r="C49" s="247" t="str">
        <f t="shared" si="22"/>
        <v>(토)</v>
      </c>
      <c r="D49" s="80"/>
      <c r="E49" s="81"/>
      <c r="F49" s="79" t="str">
        <f t="shared" si="23"/>
        <v/>
      </c>
      <c r="G49" s="80"/>
      <c r="H49" s="81"/>
      <c r="I49" s="79" t="str">
        <f t="shared" si="24"/>
        <v/>
      </c>
    </row>
    <row r="50" spans="1:9" s="79" customFormat="1" ht="16.5">
      <c r="A50" s="80" t="s">
        <v>1597</v>
      </c>
      <c r="B50" s="184">
        <v>45935</v>
      </c>
      <c r="C50" s="247" t="str">
        <f t="shared" si="22"/>
        <v>(일)</v>
      </c>
      <c r="D50" s="80"/>
      <c r="E50" s="81"/>
      <c r="F50" s="79" t="str">
        <f t="shared" si="23"/>
        <v/>
      </c>
      <c r="G50" s="80"/>
      <c r="H50" s="81"/>
      <c r="I50" s="79" t="str">
        <f t="shared" si="24"/>
        <v/>
      </c>
    </row>
    <row r="51" spans="1:9" s="79" customFormat="1" ht="16.5">
      <c r="A51" s="80" t="s">
        <v>1597</v>
      </c>
      <c r="B51" s="184">
        <v>45941</v>
      </c>
      <c r="C51" s="247" t="str">
        <f t="shared" si="22"/>
        <v>(토)</v>
      </c>
      <c r="D51" s="80"/>
      <c r="E51" s="81"/>
      <c r="F51" s="79" t="str">
        <f t="shared" si="23"/>
        <v/>
      </c>
      <c r="G51" s="80"/>
      <c r="H51" s="81"/>
      <c r="I51" s="79" t="str">
        <f t="shared" si="24"/>
        <v/>
      </c>
    </row>
    <row r="52" spans="1:9" s="79" customFormat="1" ht="16.5">
      <c r="A52" s="80" t="s">
        <v>1597</v>
      </c>
      <c r="B52" s="184">
        <v>45942</v>
      </c>
      <c r="C52" s="247" t="str">
        <f t="shared" si="22"/>
        <v>(일)</v>
      </c>
      <c r="D52" s="80"/>
      <c r="E52" s="81"/>
      <c r="F52" s="79" t="str">
        <f t="shared" si="23"/>
        <v/>
      </c>
      <c r="G52" s="80"/>
      <c r="H52" s="81"/>
      <c r="I52" s="79" t="str">
        <f t="shared" si="24"/>
        <v/>
      </c>
    </row>
    <row r="53" spans="1:9" s="79" customFormat="1" ht="16.5">
      <c r="A53" s="80" t="s">
        <v>1597</v>
      </c>
      <c r="B53" s="184">
        <v>45948</v>
      </c>
      <c r="C53" s="247" t="str">
        <f t="shared" si="22"/>
        <v>(토)</v>
      </c>
      <c r="D53" s="80"/>
      <c r="E53" s="81"/>
      <c r="F53" s="79" t="str">
        <f t="shared" si="23"/>
        <v/>
      </c>
      <c r="G53" s="80"/>
      <c r="H53" s="81"/>
      <c r="I53" s="79" t="str">
        <f t="shared" si="24"/>
        <v/>
      </c>
    </row>
    <row r="54" spans="1:9" s="79" customFormat="1" ht="16.5">
      <c r="A54" s="80" t="s">
        <v>1597</v>
      </c>
      <c r="B54" s="184">
        <v>45949</v>
      </c>
      <c r="C54" s="247" t="str">
        <f t="shared" si="22"/>
        <v>(일)</v>
      </c>
      <c r="D54" s="80"/>
      <c r="E54" s="81"/>
      <c r="F54" s="79" t="str">
        <f t="shared" si="23"/>
        <v/>
      </c>
      <c r="G54" s="80"/>
      <c r="H54" s="81"/>
      <c r="I54" s="79" t="str">
        <f t="shared" si="24"/>
        <v/>
      </c>
    </row>
    <row r="55" spans="1:9" s="79" customFormat="1" ht="16.5">
      <c r="A55" s="80" t="s">
        <v>1597</v>
      </c>
      <c r="B55" s="184">
        <v>45955</v>
      </c>
      <c r="C55" s="247" t="str">
        <f t="shared" si="19"/>
        <v>(토)</v>
      </c>
      <c r="D55" s="80"/>
      <c r="E55" s="81"/>
      <c r="F55" s="79" t="str">
        <f t="shared" si="20"/>
        <v/>
      </c>
      <c r="G55" s="80"/>
      <c r="H55" s="81"/>
      <c r="I55" s="79" t="str">
        <f t="shared" si="21"/>
        <v/>
      </c>
    </row>
    <row r="56" spans="1:9" s="79" customFormat="1" ht="16.5">
      <c r="A56" s="80" t="s">
        <v>1597</v>
      </c>
      <c r="B56" s="184">
        <v>45956</v>
      </c>
      <c r="C56" s="247" t="str">
        <f t="shared" si="19"/>
        <v>(일)</v>
      </c>
      <c r="D56" s="80"/>
      <c r="E56" s="81"/>
      <c r="F56" s="79" t="str">
        <f t="shared" si="20"/>
        <v/>
      </c>
      <c r="G56" s="80"/>
      <c r="H56" s="81"/>
      <c r="I56" s="79" t="str">
        <f t="shared" si="21"/>
        <v/>
      </c>
    </row>
    <row r="57" spans="1:9" s="79" customFormat="1" ht="16.5">
      <c r="A57" s="80" t="s">
        <v>1597</v>
      </c>
      <c r="B57" s="184">
        <v>45962</v>
      </c>
      <c r="C57" s="247" t="str">
        <f t="shared" si="19"/>
        <v>(토)</v>
      </c>
      <c r="D57" s="80"/>
      <c r="E57" s="81"/>
      <c r="F57" s="79" t="str">
        <f t="shared" si="20"/>
        <v/>
      </c>
      <c r="G57" s="80"/>
      <c r="H57" s="81"/>
      <c r="I57" s="79" t="str">
        <f t="shared" si="21"/>
        <v/>
      </c>
    </row>
    <row r="58" spans="1:9" s="79" customFormat="1" ht="16.5">
      <c r="A58" s="80" t="s">
        <v>1597</v>
      </c>
      <c r="B58" s="184">
        <v>45963</v>
      </c>
      <c r="C58" s="247" t="str">
        <f t="shared" si="19"/>
        <v>(일)</v>
      </c>
      <c r="D58" s="80"/>
      <c r="E58" s="81"/>
      <c r="F58" s="79" t="str">
        <f t="shared" si="20"/>
        <v/>
      </c>
      <c r="G58" s="80"/>
      <c r="H58" s="81"/>
      <c r="I58" s="79" t="str">
        <f t="shared" si="21"/>
        <v/>
      </c>
    </row>
    <row r="59" spans="1:9" s="79" customFormat="1" ht="16.5">
      <c r="A59" s="80" t="s">
        <v>1597</v>
      </c>
      <c r="B59" s="184">
        <v>45969</v>
      </c>
      <c r="C59" s="247" t="str">
        <f t="shared" ref="C59:C64" si="25">IF(B59&gt;0,TEXT(B59,"(aaa)"),"")</f>
        <v>(토)</v>
      </c>
      <c r="D59" s="80"/>
      <c r="E59" s="81"/>
      <c r="F59" s="79" t="str">
        <f t="shared" ref="F59:F64" si="26">IF(E59&gt;0,TEXT(E59,"(aaa)"),"")</f>
        <v/>
      </c>
      <c r="G59" s="80"/>
      <c r="H59" s="81"/>
      <c r="I59" s="79" t="str">
        <f t="shared" ref="I59:I64" si="27">IF(H59&gt;0,TEXT(H59,"(aaa)"),"")</f>
        <v/>
      </c>
    </row>
    <row r="60" spans="1:9" s="79" customFormat="1" ht="16.5">
      <c r="A60" s="80" t="s">
        <v>1597</v>
      </c>
      <c r="B60" s="184">
        <v>45970</v>
      </c>
      <c r="C60" s="247" t="str">
        <f t="shared" si="25"/>
        <v>(일)</v>
      </c>
      <c r="D60" s="80"/>
      <c r="E60" s="81"/>
      <c r="F60" s="79" t="str">
        <f t="shared" si="26"/>
        <v/>
      </c>
      <c r="G60" s="80"/>
      <c r="H60" s="81"/>
      <c r="I60" s="79" t="str">
        <f t="shared" si="27"/>
        <v/>
      </c>
    </row>
    <row r="61" spans="1:9" s="79" customFormat="1" ht="16.5">
      <c r="A61" s="80" t="s">
        <v>1597</v>
      </c>
      <c r="B61" s="184">
        <v>45976</v>
      </c>
      <c r="C61" s="247" t="str">
        <f t="shared" si="25"/>
        <v>(토)</v>
      </c>
      <c r="D61" s="80"/>
      <c r="E61" s="81"/>
      <c r="F61" s="79" t="str">
        <f t="shared" si="26"/>
        <v/>
      </c>
      <c r="G61" s="80"/>
      <c r="H61" s="81"/>
      <c r="I61" s="79" t="str">
        <f t="shared" si="27"/>
        <v/>
      </c>
    </row>
    <row r="62" spans="1:9" s="79" customFormat="1" ht="16.5">
      <c r="A62" s="80" t="s">
        <v>1597</v>
      </c>
      <c r="B62" s="184">
        <v>45977</v>
      </c>
      <c r="C62" s="247" t="str">
        <f t="shared" si="25"/>
        <v>(일)</v>
      </c>
      <c r="D62" s="80"/>
      <c r="E62" s="81"/>
      <c r="F62" s="79" t="str">
        <f t="shared" si="26"/>
        <v/>
      </c>
      <c r="G62" s="80"/>
      <c r="H62" s="81"/>
      <c r="I62" s="79" t="str">
        <f t="shared" si="27"/>
        <v/>
      </c>
    </row>
    <row r="63" spans="1:9" s="79" customFormat="1" ht="16.5">
      <c r="A63" s="80" t="s">
        <v>1597</v>
      </c>
      <c r="B63" s="184">
        <v>45983</v>
      </c>
      <c r="C63" s="247" t="str">
        <f t="shared" si="25"/>
        <v>(토)</v>
      </c>
      <c r="D63" s="80"/>
      <c r="E63" s="81"/>
      <c r="F63" s="79" t="str">
        <f t="shared" si="26"/>
        <v/>
      </c>
      <c r="G63" s="80"/>
      <c r="H63" s="81"/>
      <c r="I63" s="79" t="str">
        <f t="shared" si="27"/>
        <v/>
      </c>
    </row>
    <row r="64" spans="1:9" s="79" customFormat="1" ht="16.5">
      <c r="A64" s="80" t="s">
        <v>1597</v>
      </c>
      <c r="B64" s="184">
        <v>45984</v>
      </c>
      <c r="C64" s="247" t="str">
        <f t="shared" si="25"/>
        <v>(일)</v>
      </c>
      <c r="D64" s="80"/>
      <c r="E64" s="81"/>
      <c r="F64" s="79" t="str">
        <f t="shared" si="26"/>
        <v/>
      </c>
      <c r="G64" s="80"/>
      <c r="H64" s="81"/>
      <c r="I64" s="79" t="str">
        <f t="shared" si="27"/>
        <v/>
      </c>
    </row>
    <row r="65" spans="1:9" s="79" customFormat="1" ht="16.5">
      <c r="A65" s="80" t="s">
        <v>1597</v>
      </c>
      <c r="B65" s="184">
        <v>45990</v>
      </c>
      <c r="C65" s="247" t="str">
        <f t="shared" si="19"/>
        <v>(토)</v>
      </c>
      <c r="D65" s="80"/>
      <c r="E65" s="81"/>
      <c r="F65" s="79" t="str">
        <f t="shared" si="20"/>
        <v/>
      </c>
      <c r="G65" s="80"/>
      <c r="H65" s="81"/>
      <c r="I65" s="79" t="str">
        <f t="shared" si="21"/>
        <v/>
      </c>
    </row>
    <row r="66" spans="1:9" s="79" customFormat="1" ht="16.5">
      <c r="A66" s="80" t="s">
        <v>1597</v>
      </c>
      <c r="B66" s="184">
        <v>45991</v>
      </c>
      <c r="C66" s="247" t="str">
        <f t="shared" si="19"/>
        <v>(일)</v>
      </c>
      <c r="D66" s="80"/>
      <c r="E66" s="81"/>
      <c r="F66" s="79" t="str">
        <f t="shared" si="20"/>
        <v/>
      </c>
      <c r="G66" s="80"/>
      <c r="H66" s="81"/>
      <c r="I66" s="79" t="str">
        <f t="shared" si="21"/>
        <v/>
      </c>
    </row>
    <row r="67" spans="1:9" s="79" customFormat="1" ht="16.5">
      <c r="A67" s="80" t="s">
        <v>1597</v>
      </c>
      <c r="B67" s="184">
        <v>45997</v>
      </c>
      <c r="C67" s="247" t="str">
        <f t="shared" ref="C67:C70" si="28">IF(B67&gt;0,TEXT(B67,"(aaa)"),"")</f>
        <v>(토)</v>
      </c>
      <c r="D67" s="80"/>
      <c r="E67" s="81"/>
      <c r="F67" s="79" t="str">
        <f t="shared" ref="F67:F70" si="29">IF(E67&gt;0,TEXT(E67,"(aaa)"),"")</f>
        <v/>
      </c>
      <c r="G67" s="80"/>
      <c r="H67" s="81"/>
      <c r="I67" s="79" t="str">
        <f t="shared" ref="I67:I70" si="30">IF(H67&gt;0,TEXT(H67,"(aaa)"),"")</f>
        <v/>
      </c>
    </row>
    <row r="68" spans="1:9" s="79" customFormat="1" ht="16.5">
      <c r="A68" s="80" t="s">
        <v>1597</v>
      </c>
      <c r="B68" s="184">
        <v>45998</v>
      </c>
      <c r="C68" s="247" t="str">
        <f t="shared" si="28"/>
        <v>(일)</v>
      </c>
      <c r="D68" s="80"/>
      <c r="E68" s="81"/>
      <c r="F68" s="79" t="str">
        <f t="shared" si="29"/>
        <v/>
      </c>
      <c r="G68" s="80"/>
      <c r="H68" s="81"/>
      <c r="I68" s="79" t="str">
        <f t="shared" si="30"/>
        <v/>
      </c>
    </row>
    <row r="69" spans="1:9" s="79" customFormat="1" ht="16.5">
      <c r="A69" s="80" t="s">
        <v>1597</v>
      </c>
      <c r="B69" s="184">
        <v>46004</v>
      </c>
      <c r="C69" s="247" t="str">
        <f t="shared" si="28"/>
        <v>(토)</v>
      </c>
      <c r="D69" s="80"/>
      <c r="E69" s="81"/>
      <c r="F69" s="79" t="str">
        <f t="shared" si="29"/>
        <v/>
      </c>
      <c r="G69" s="80"/>
      <c r="H69" s="81"/>
      <c r="I69" s="79" t="str">
        <f t="shared" si="30"/>
        <v/>
      </c>
    </row>
    <row r="70" spans="1:9" s="79" customFormat="1" ht="16.5">
      <c r="A70" s="80" t="s">
        <v>1597</v>
      </c>
      <c r="B70" s="184">
        <v>46005</v>
      </c>
      <c r="C70" s="247" t="str">
        <f t="shared" si="28"/>
        <v>(일)</v>
      </c>
      <c r="D70" s="80"/>
      <c r="E70" s="81"/>
      <c r="F70" s="79" t="str">
        <f t="shared" si="29"/>
        <v/>
      </c>
      <c r="G70" s="80"/>
      <c r="H70" s="81"/>
      <c r="I70" s="79" t="str">
        <f t="shared" si="30"/>
        <v/>
      </c>
    </row>
    <row r="71" spans="1:9" s="79" customFormat="1" ht="16.5">
      <c r="A71" s="80" t="s">
        <v>1597</v>
      </c>
      <c r="B71" s="184">
        <v>46006</v>
      </c>
      <c r="C71" s="247" t="str">
        <f t="shared" ref="C71:C81" si="31">IF(B71&gt;0,TEXT(B71,"(aaa)"),"")</f>
        <v>(월)</v>
      </c>
      <c r="D71" s="80"/>
      <c r="E71" s="81"/>
      <c r="F71" s="79" t="str">
        <f t="shared" ref="F71:F81" si="32">IF(E71&gt;0,TEXT(E71,"(aaa)"),"")</f>
        <v/>
      </c>
      <c r="G71" s="80"/>
      <c r="H71" s="81"/>
      <c r="I71" s="79" t="str">
        <f t="shared" ref="I71:I81" si="33">IF(H71&gt;0,TEXT(H71,"(aaa)"),"")</f>
        <v/>
      </c>
    </row>
    <row r="72" spans="1:9" s="79" customFormat="1" ht="16.5">
      <c r="A72" s="80" t="s">
        <v>1597</v>
      </c>
      <c r="B72" s="184">
        <v>46011</v>
      </c>
      <c r="C72" s="247" t="str">
        <f t="shared" ref="C72:C79" si="34">IF(B72&gt;0,TEXT(B72,"(aaa)"),"")</f>
        <v>(토)</v>
      </c>
      <c r="D72" s="80"/>
      <c r="E72" s="81"/>
      <c r="F72" s="79" t="str">
        <f t="shared" ref="F72:F79" si="35">IF(E72&gt;0,TEXT(E72,"(aaa)"),"")</f>
        <v/>
      </c>
      <c r="G72" s="80"/>
      <c r="H72" s="81"/>
      <c r="I72" s="79" t="str">
        <f t="shared" ref="I72:I79" si="36">IF(H72&gt;0,TEXT(H72,"(aaa)"),"")</f>
        <v/>
      </c>
    </row>
    <row r="73" spans="1:9" s="79" customFormat="1" ht="16.5">
      <c r="A73" s="80" t="s">
        <v>1597</v>
      </c>
      <c r="B73" s="184">
        <v>46012</v>
      </c>
      <c r="C73" s="247" t="str">
        <f t="shared" si="34"/>
        <v>(일)</v>
      </c>
      <c r="D73" s="80"/>
      <c r="E73" s="81"/>
      <c r="F73" s="79" t="str">
        <f t="shared" si="35"/>
        <v/>
      </c>
      <c r="G73" s="80"/>
      <c r="H73" s="81"/>
      <c r="I73" s="79" t="str">
        <f t="shared" si="36"/>
        <v/>
      </c>
    </row>
    <row r="74" spans="1:9" s="79" customFormat="1" ht="16.5">
      <c r="A74" s="80" t="s">
        <v>1597</v>
      </c>
      <c r="B74" s="184">
        <v>46018</v>
      </c>
      <c r="C74" s="247" t="str">
        <f t="shared" si="34"/>
        <v>(토)</v>
      </c>
      <c r="D74" s="80"/>
      <c r="E74" s="81"/>
      <c r="F74" s="79" t="str">
        <f t="shared" si="35"/>
        <v/>
      </c>
      <c r="G74" s="80"/>
      <c r="H74" s="81"/>
      <c r="I74" s="79" t="str">
        <f t="shared" si="36"/>
        <v/>
      </c>
    </row>
    <row r="75" spans="1:9" s="79" customFormat="1" ht="16.5">
      <c r="A75" s="80" t="s">
        <v>1597</v>
      </c>
      <c r="B75" s="184">
        <v>46019</v>
      </c>
      <c r="C75" s="247" t="str">
        <f t="shared" si="34"/>
        <v>(일)</v>
      </c>
      <c r="D75" s="80"/>
      <c r="E75" s="81"/>
      <c r="F75" s="79" t="str">
        <f t="shared" si="35"/>
        <v/>
      </c>
      <c r="G75" s="80"/>
      <c r="H75" s="81"/>
      <c r="I75" s="79" t="str">
        <f t="shared" si="36"/>
        <v/>
      </c>
    </row>
    <row r="76" spans="1:9" s="79" customFormat="1" ht="16.5">
      <c r="A76" s="80" t="s">
        <v>1597</v>
      </c>
      <c r="B76" s="184">
        <v>46025</v>
      </c>
      <c r="C76" s="247" t="str">
        <f t="shared" si="34"/>
        <v>(토)</v>
      </c>
      <c r="D76" s="80"/>
      <c r="E76" s="81"/>
      <c r="F76" s="79" t="str">
        <f t="shared" si="35"/>
        <v/>
      </c>
      <c r="G76" s="80"/>
      <c r="H76" s="81"/>
      <c r="I76" s="79" t="str">
        <f t="shared" si="36"/>
        <v/>
      </c>
    </row>
    <row r="77" spans="1:9" s="79" customFormat="1" ht="16.5">
      <c r="A77" s="80" t="s">
        <v>1597</v>
      </c>
      <c r="B77" s="184">
        <v>46026</v>
      </c>
      <c r="C77" s="247" t="str">
        <f t="shared" si="34"/>
        <v>(일)</v>
      </c>
      <c r="D77" s="80"/>
      <c r="E77" s="81"/>
      <c r="F77" s="79" t="str">
        <f t="shared" si="35"/>
        <v/>
      </c>
      <c r="G77" s="80"/>
      <c r="H77" s="81"/>
      <c r="I77" s="79" t="str">
        <f t="shared" si="36"/>
        <v/>
      </c>
    </row>
    <row r="78" spans="1:9" s="79" customFormat="1" ht="16.5">
      <c r="A78" s="80" t="s">
        <v>1597</v>
      </c>
      <c r="B78" s="184">
        <v>46032</v>
      </c>
      <c r="C78" s="247" t="str">
        <f t="shared" si="34"/>
        <v>(토)</v>
      </c>
      <c r="D78" s="80"/>
      <c r="E78" s="81"/>
      <c r="F78" s="79" t="str">
        <f t="shared" si="35"/>
        <v/>
      </c>
      <c r="G78" s="80"/>
      <c r="H78" s="81"/>
      <c r="I78" s="79" t="str">
        <f t="shared" si="36"/>
        <v/>
      </c>
    </row>
    <row r="79" spans="1:9" s="79" customFormat="1" ht="16.5">
      <c r="A79" s="80" t="s">
        <v>1597</v>
      </c>
      <c r="B79" s="184">
        <v>46033</v>
      </c>
      <c r="C79" s="247" t="str">
        <f t="shared" si="34"/>
        <v>(일)</v>
      </c>
      <c r="D79" s="80"/>
      <c r="E79" s="81"/>
      <c r="F79" s="79" t="str">
        <f t="shared" si="35"/>
        <v/>
      </c>
      <c r="G79" s="80"/>
      <c r="H79" s="81"/>
      <c r="I79" s="79" t="str">
        <f t="shared" si="36"/>
        <v/>
      </c>
    </row>
    <row r="80" spans="1:9" s="79" customFormat="1" ht="16.5">
      <c r="A80" s="80" t="s">
        <v>1597</v>
      </c>
      <c r="B80" s="184">
        <v>46039</v>
      </c>
      <c r="C80" s="247" t="str">
        <f t="shared" si="31"/>
        <v>(토)</v>
      </c>
      <c r="D80" s="80"/>
      <c r="E80" s="81"/>
      <c r="F80" s="79" t="str">
        <f t="shared" si="32"/>
        <v/>
      </c>
      <c r="G80" s="80"/>
      <c r="H80" s="81"/>
      <c r="I80" s="79" t="str">
        <f t="shared" si="33"/>
        <v/>
      </c>
    </row>
    <row r="81" spans="1:9" s="79" customFormat="1" ht="16.5">
      <c r="A81" s="80" t="s">
        <v>1597</v>
      </c>
      <c r="B81" s="184">
        <v>46040</v>
      </c>
      <c r="C81" s="247" t="str">
        <f t="shared" si="31"/>
        <v>(일)</v>
      </c>
      <c r="D81" s="80"/>
      <c r="E81" s="81"/>
      <c r="F81" s="79" t="str">
        <f t="shared" si="32"/>
        <v/>
      </c>
      <c r="G81" s="80"/>
      <c r="H81" s="81"/>
      <c r="I81" s="79" t="str">
        <f t="shared" si="33"/>
        <v/>
      </c>
    </row>
    <row r="82" spans="1:9" s="79" customFormat="1" ht="16.5">
      <c r="A82" s="80" t="s">
        <v>1597</v>
      </c>
      <c r="B82" s="184">
        <v>46046</v>
      </c>
      <c r="C82" s="247" t="str">
        <f t="shared" si="19"/>
        <v>(토)</v>
      </c>
      <c r="D82" s="80"/>
      <c r="E82" s="81"/>
      <c r="F82" s="79" t="str">
        <f t="shared" si="20"/>
        <v/>
      </c>
      <c r="G82" s="80"/>
      <c r="H82" s="81"/>
      <c r="I82" s="79" t="str">
        <f t="shared" si="21"/>
        <v/>
      </c>
    </row>
    <row r="83" spans="1:9" s="79" customFormat="1" ht="16.5">
      <c r="A83" s="80" t="s">
        <v>1597</v>
      </c>
      <c r="B83" s="184">
        <v>46047</v>
      </c>
      <c r="C83" s="247" t="str">
        <f t="shared" si="19"/>
        <v>(일)</v>
      </c>
      <c r="D83" s="80"/>
      <c r="E83" s="81"/>
      <c r="F83" s="79" t="str">
        <f t="shared" si="20"/>
        <v/>
      </c>
      <c r="G83" s="80"/>
      <c r="H83" s="81"/>
      <c r="I83" s="79" t="str">
        <f t="shared" si="21"/>
        <v/>
      </c>
    </row>
    <row r="84" spans="1:9" s="79" customFormat="1" ht="16.5">
      <c r="A84" s="80" t="s">
        <v>1597</v>
      </c>
      <c r="B84" s="184">
        <v>46053</v>
      </c>
      <c r="C84" s="247" t="str">
        <f t="shared" si="19"/>
        <v>(토)</v>
      </c>
      <c r="D84" s="80"/>
      <c r="E84" s="81"/>
      <c r="F84" s="79" t="str">
        <f t="shared" si="20"/>
        <v/>
      </c>
      <c r="G84" s="80"/>
      <c r="H84" s="81"/>
      <c r="I84" s="79" t="str">
        <f t="shared" si="21"/>
        <v/>
      </c>
    </row>
    <row r="85" spans="1:9" s="79" customFormat="1" ht="16.5">
      <c r="A85" s="77"/>
      <c r="B85" s="78"/>
      <c r="C85" s="248" t="str">
        <f t="shared" ref="C85:C115" si="37">IF(B85&gt;0,TEXT(B85,"(aaa)"),"")</f>
        <v/>
      </c>
      <c r="D85" s="80"/>
      <c r="E85" s="81"/>
      <c r="F85" s="79" t="str">
        <f t="shared" si="20"/>
        <v/>
      </c>
      <c r="G85" s="80"/>
      <c r="H85" s="81"/>
      <c r="I85" s="79" t="str">
        <f t="shared" si="21"/>
        <v/>
      </c>
    </row>
    <row r="86" spans="1:9" s="79" customFormat="1" ht="16.5">
      <c r="A86" s="77"/>
      <c r="B86" s="78"/>
      <c r="C86" s="248" t="str">
        <f t="shared" si="37"/>
        <v/>
      </c>
      <c r="D86" s="80"/>
      <c r="E86" s="81"/>
      <c r="F86" s="79" t="str">
        <f t="shared" si="20"/>
        <v/>
      </c>
      <c r="G86" s="80"/>
      <c r="H86" s="81"/>
      <c r="I86" s="79" t="str">
        <f t="shared" si="21"/>
        <v/>
      </c>
    </row>
    <row r="87" spans="1:9" s="79" customFormat="1" ht="16.5">
      <c r="A87" s="77"/>
      <c r="B87" s="78"/>
      <c r="C87" s="248" t="str">
        <f t="shared" si="37"/>
        <v/>
      </c>
      <c r="D87" s="80"/>
      <c r="E87" s="81"/>
      <c r="F87" s="79" t="str">
        <f t="shared" si="20"/>
        <v/>
      </c>
      <c r="G87" s="80"/>
      <c r="H87" s="81"/>
      <c r="I87" s="79" t="str">
        <f t="shared" si="21"/>
        <v/>
      </c>
    </row>
    <row r="88" spans="1:9" s="79" customFormat="1" ht="16.5">
      <c r="A88" s="77"/>
      <c r="B88" s="78"/>
      <c r="C88" s="248" t="str">
        <f t="shared" si="37"/>
        <v/>
      </c>
      <c r="D88" s="80"/>
      <c r="E88" s="81"/>
      <c r="F88" s="79" t="str">
        <f t="shared" si="20"/>
        <v/>
      </c>
      <c r="G88" s="80"/>
      <c r="H88" s="81"/>
      <c r="I88" s="79" t="str">
        <f t="shared" si="21"/>
        <v/>
      </c>
    </row>
    <row r="89" spans="1:9" s="79" customFormat="1" ht="16.5">
      <c r="A89" s="77"/>
      <c r="B89" s="78"/>
      <c r="C89" s="248" t="str">
        <f t="shared" si="37"/>
        <v/>
      </c>
      <c r="D89" s="80"/>
      <c r="E89" s="81"/>
      <c r="F89" s="79" t="str">
        <f t="shared" si="20"/>
        <v/>
      </c>
      <c r="G89" s="80"/>
      <c r="H89" s="81"/>
      <c r="I89" s="79" t="str">
        <f t="shared" si="21"/>
        <v/>
      </c>
    </row>
    <row r="90" spans="1:9" s="79" customFormat="1" ht="16.5">
      <c r="A90" s="77"/>
      <c r="B90" s="78"/>
      <c r="C90" s="248" t="str">
        <f t="shared" si="37"/>
        <v/>
      </c>
      <c r="D90" s="80"/>
      <c r="E90" s="81"/>
      <c r="F90" s="79" t="str">
        <f t="shared" si="20"/>
        <v/>
      </c>
      <c r="G90" s="80"/>
      <c r="H90" s="81"/>
      <c r="I90" s="79" t="str">
        <f t="shared" si="21"/>
        <v/>
      </c>
    </row>
    <row r="91" spans="1:9" s="79" customFormat="1" ht="16.5">
      <c r="A91" s="77"/>
      <c r="B91" s="78"/>
      <c r="C91" s="248" t="str">
        <f t="shared" si="37"/>
        <v/>
      </c>
      <c r="D91" s="80"/>
      <c r="E91" s="81"/>
      <c r="F91" s="79" t="str">
        <f t="shared" si="20"/>
        <v/>
      </c>
      <c r="G91" s="80"/>
      <c r="H91" s="81"/>
      <c r="I91" s="79" t="str">
        <f t="shared" si="21"/>
        <v/>
      </c>
    </row>
    <row r="92" spans="1:9" s="79" customFormat="1" ht="16.5">
      <c r="A92" s="77"/>
      <c r="B92" s="78"/>
      <c r="C92" s="248" t="str">
        <f t="shared" si="37"/>
        <v/>
      </c>
      <c r="D92" s="80"/>
      <c r="E92" s="81"/>
      <c r="F92" s="79" t="str">
        <f t="shared" si="20"/>
        <v/>
      </c>
      <c r="G92" s="80"/>
      <c r="H92" s="81"/>
      <c r="I92" s="79" t="str">
        <f t="shared" si="21"/>
        <v/>
      </c>
    </row>
    <row r="93" spans="1:9" s="79" customFormat="1" ht="16.5">
      <c r="A93" s="77"/>
      <c r="B93" s="78"/>
      <c r="C93" s="248" t="str">
        <f t="shared" si="37"/>
        <v/>
      </c>
      <c r="D93" s="80"/>
      <c r="E93" s="81"/>
      <c r="F93" s="79" t="str">
        <f t="shared" si="20"/>
        <v/>
      </c>
      <c r="G93" s="80"/>
      <c r="H93" s="81"/>
      <c r="I93" s="79" t="str">
        <f t="shared" si="21"/>
        <v/>
      </c>
    </row>
    <row r="94" spans="1:9" s="79" customFormat="1" ht="16.5">
      <c r="A94" s="77"/>
      <c r="B94" s="78"/>
      <c r="C94" s="248" t="str">
        <f t="shared" si="37"/>
        <v/>
      </c>
      <c r="D94" s="80"/>
      <c r="E94" s="81"/>
      <c r="F94" s="79" t="str">
        <f t="shared" si="20"/>
        <v/>
      </c>
      <c r="G94" s="80"/>
      <c r="H94" s="81"/>
      <c r="I94" s="79" t="str">
        <f t="shared" si="21"/>
        <v/>
      </c>
    </row>
    <row r="95" spans="1:9" s="79" customFormat="1" ht="16.5">
      <c r="A95" s="77"/>
      <c r="B95" s="78"/>
      <c r="C95" s="248" t="str">
        <f t="shared" si="37"/>
        <v/>
      </c>
      <c r="D95" s="80"/>
      <c r="E95" s="81"/>
      <c r="F95" s="79" t="str">
        <f t="shared" si="20"/>
        <v/>
      </c>
      <c r="G95" s="80"/>
      <c r="H95" s="81"/>
      <c r="I95" s="79" t="str">
        <f t="shared" si="21"/>
        <v/>
      </c>
    </row>
    <row r="96" spans="1:9" s="79" customFormat="1" ht="16.5">
      <c r="A96" s="77"/>
      <c r="B96" s="78"/>
      <c r="C96" s="248" t="str">
        <f t="shared" si="37"/>
        <v/>
      </c>
      <c r="D96" s="80"/>
      <c r="E96" s="81"/>
      <c r="F96" s="79" t="str">
        <f t="shared" si="20"/>
        <v/>
      </c>
      <c r="G96" s="80"/>
      <c r="H96" s="81"/>
      <c r="I96" s="79" t="str">
        <f t="shared" si="21"/>
        <v/>
      </c>
    </row>
    <row r="97" spans="1:9" s="79" customFormat="1" ht="16.5">
      <c r="A97" s="80"/>
      <c r="B97" s="81"/>
      <c r="C97" s="248" t="str">
        <f t="shared" si="37"/>
        <v/>
      </c>
      <c r="D97" s="80"/>
      <c r="E97" s="81"/>
      <c r="F97" s="79" t="str">
        <f t="shared" si="20"/>
        <v/>
      </c>
      <c r="G97" s="80"/>
      <c r="H97" s="81"/>
      <c r="I97" s="79" t="str">
        <f t="shared" si="21"/>
        <v/>
      </c>
    </row>
    <row r="98" spans="1:9" s="79" customFormat="1" ht="16.5">
      <c r="A98" s="80"/>
      <c r="B98" s="81"/>
      <c r="C98" s="248" t="str">
        <f t="shared" si="37"/>
        <v/>
      </c>
      <c r="D98" s="80"/>
      <c r="E98" s="81"/>
      <c r="F98" s="79" t="str">
        <f t="shared" si="20"/>
        <v/>
      </c>
      <c r="G98" s="80"/>
      <c r="H98" s="81"/>
      <c r="I98" s="79" t="str">
        <f t="shared" si="21"/>
        <v/>
      </c>
    </row>
    <row r="99" spans="1:9" s="79" customFormat="1" ht="16.5">
      <c r="A99" s="80"/>
      <c r="B99" s="81"/>
      <c r="C99" s="248" t="str">
        <f t="shared" si="37"/>
        <v/>
      </c>
      <c r="D99" s="80"/>
      <c r="E99" s="81"/>
      <c r="F99" s="79" t="str">
        <f t="shared" si="20"/>
        <v/>
      </c>
      <c r="G99" s="80"/>
      <c r="H99" s="81"/>
      <c r="I99" s="79" t="str">
        <f t="shared" si="21"/>
        <v/>
      </c>
    </row>
    <row r="100" spans="1:9" s="79" customFormat="1" ht="16.5">
      <c r="A100" s="80"/>
      <c r="B100" s="81"/>
      <c r="C100" s="248" t="str">
        <f t="shared" si="37"/>
        <v/>
      </c>
      <c r="D100" s="80"/>
      <c r="E100" s="81"/>
      <c r="F100" s="79" t="str">
        <f t="shared" si="20"/>
        <v/>
      </c>
      <c r="G100" s="80"/>
      <c r="H100" s="81"/>
      <c r="I100" s="79" t="str">
        <f t="shared" si="21"/>
        <v/>
      </c>
    </row>
    <row r="101" spans="1:9" s="79" customFormat="1" ht="16.5">
      <c r="A101" s="80"/>
      <c r="B101" s="81"/>
      <c r="C101" s="248" t="str">
        <f t="shared" si="37"/>
        <v/>
      </c>
      <c r="D101" s="80"/>
      <c r="E101" s="81"/>
      <c r="F101" s="79" t="str">
        <f t="shared" si="20"/>
        <v/>
      </c>
      <c r="G101" s="80"/>
      <c r="H101" s="81"/>
      <c r="I101" s="79" t="str">
        <f t="shared" si="21"/>
        <v/>
      </c>
    </row>
    <row r="102" spans="1:9" s="79" customFormat="1" ht="16.5">
      <c r="A102" s="80"/>
      <c r="B102" s="81"/>
      <c r="C102" s="248" t="str">
        <f t="shared" si="37"/>
        <v/>
      </c>
      <c r="D102" s="80"/>
      <c r="E102" s="81"/>
      <c r="F102" s="79" t="str">
        <f t="shared" si="20"/>
        <v/>
      </c>
      <c r="G102" s="80"/>
      <c r="H102" s="81"/>
      <c r="I102" s="79" t="str">
        <f t="shared" si="21"/>
        <v/>
      </c>
    </row>
    <row r="103" spans="1:9" s="79" customFormat="1" ht="16.5">
      <c r="A103" s="80"/>
      <c r="B103" s="81"/>
      <c r="C103" s="248" t="str">
        <f t="shared" si="37"/>
        <v/>
      </c>
      <c r="D103" s="80"/>
      <c r="E103" s="81"/>
      <c r="F103" s="79" t="str">
        <f t="shared" si="20"/>
        <v/>
      </c>
      <c r="G103" s="80"/>
      <c r="H103" s="81"/>
      <c r="I103" s="79" t="str">
        <f t="shared" si="21"/>
        <v/>
      </c>
    </row>
    <row r="104" spans="1:9" s="79" customFormat="1" ht="16.5">
      <c r="A104" s="80"/>
      <c r="B104" s="81"/>
      <c r="C104" s="248" t="str">
        <f t="shared" si="37"/>
        <v/>
      </c>
      <c r="D104" s="80"/>
      <c r="E104" s="81"/>
      <c r="F104" s="79" t="str">
        <f t="shared" si="20"/>
        <v/>
      </c>
      <c r="G104" s="80"/>
      <c r="H104" s="81"/>
      <c r="I104" s="79" t="str">
        <f t="shared" si="21"/>
        <v/>
      </c>
    </row>
    <row r="105" spans="1:9" s="79" customFormat="1" ht="16.5">
      <c r="A105" s="80"/>
      <c r="B105" s="81"/>
      <c r="C105" s="248" t="str">
        <f t="shared" si="37"/>
        <v/>
      </c>
      <c r="D105" s="80"/>
      <c r="E105" s="81"/>
      <c r="F105" s="79" t="str">
        <f t="shared" si="20"/>
        <v/>
      </c>
      <c r="G105" s="80"/>
      <c r="H105" s="81"/>
      <c r="I105" s="79" t="str">
        <f t="shared" si="21"/>
        <v/>
      </c>
    </row>
    <row r="106" spans="1:9" s="79" customFormat="1" ht="16.5">
      <c r="A106" s="80"/>
      <c r="B106" s="81"/>
      <c r="C106" s="248" t="str">
        <f t="shared" si="37"/>
        <v/>
      </c>
      <c r="D106" s="80"/>
      <c r="E106" s="81"/>
      <c r="F106" s="79" t="str">
        <f t="shared" si="20"/>
        <v/>
      </c>
      <c r="G106" s="80"/>
      <c r="H106" s="81"/>
      <c r="I106" s="79" t="str">
        <f t="shared" si="21"/>
        <v/>
      </c>
    </row>
    <row r="107" spans="1:9" s="79" customFormat="1" ht="16.5">
      <c r="A107" s="80"/>
      <c r="B107" s="81"/>
      <c r="C107" s="248" t="str">
        <f t="shared" si="37"/>
        <v/>
      </c>
      <c r="D107" s="80"/>
      <c r="E107" s="81"/>
      <c r="F107" s="79" t="str">
        <f t="shared" si="20"/>
        <v/>
      </c>
      <c r="G107" s="80"/>
      <c r="H107" s="81"/>
      <c r="I107" s="79" t="str">
        <f t="shared" si="21"/>
        <v/>
      </c>
    </row>
    <row r="108" spans="1:9" s="79" customFormat="1" ht="16.5">
      <c r="A108" s="80"/>
      <c r="B108" s="81"/>
      <c r="C108" s="248" t="str">
        <f t="shared" si="37"/>
        <v/>
      </c>
      <c r="D108" s="80"/>
      <c r="E108" s="81"/>
      <c r="F108" s="79" t="str">
        <f t="shared" si="20"/>
        <v/>
      </c>
      <c r="G108" s="80"/>
      <c r="H108" s="81"/>
      <c r="I108" s="79" t="str">
        <f t="shared" si="21"/>
        <v/>
      </c>
    </row>
    <row r="109" spans="1:9" s="79" customFormat="1" ht="16.5">
      <c r="A109" s="80"/>
      <c r="B109" s="81"/>
      <c r="C109" s="248" t="str">
        <f t="shared" si="37"/>
        <v/>
      </c>
      <c r="D109" s="80"/>
      <c r="E109" s="81"/>
      <c r="F109" s="79" t="str">
        <f t="shared" si="20"/>
        <v/>
      </c>
      <c r="G109" s="80"/>
      <c r="H109" s="81"/>
      <c r="I109" s="79" t="str">
        <f t="shared" si="21"/>
        <v/>
      </c>
    </row>
    <row r="110" spans="1:9" s="79" customFormat="1" ht="16.5">
      <c r="A110" s="80"/>
      <c r="B110" s="81"/>
      <c r="C110" s="248" t="str">
        <f t="shared" si="37"/>
        <v/>
      </c>
      <c r="D110" s="80"/>
      <c r="E110" s="81"/>
      <c r="F110" s="79" t="str">
        <f t="shared" si="20"/>
        <v/>
      </c>
      <c r="G110" s="80"/>
      <c r="H110" s="81"/>
      <c r="I110" s="79" t="str">
        <f t="shared" si="21"/>
        <v/>
      </c>
    </row>
    <row r="111" spans="1:9" s="79" customFormat="1" ht="16.5">
      <c r="A111" s="80"/>
      <c r="B111" s="81"/>
      <c r="C111" s="248" t="str">
        <f t="shared" si="37"/>
        <v/>
      </c>
      <c r="D111" s="80"/>
      <c r="E111" s="81"/>
      <c r="F111" s="79" t="str">
        <f t="shared" si="20"/>
        <v/>
      </c>
      <c r="G111" s="80"/>
      <c r="H111" s="81"/>
      <c r="I111" s="79" t="str">
        <f t="shared" si="21"/>
        <v/>
      </c>
    </row>
    <row r="112" spans="1:9" s="79" customFormat="1" ht="16.5">
      <c r="A112" s="80"/>
      <c r="B112" s="81"/>
      <c r="C112" s="248" t="str">
        <f t="shared" si="37"/>
        <v/>
      </c>
      <c r="D112" s="80"/>
      <c r="E112" s="81"/>
      <c r="F112" s="79" t="str">
        <f t="shared" si="20"/>
        <v/>
      </c>
      <c r="G112" s="80"/>
      <c r="H112" s="81"/>
      <c r="I112" s="79" t="str">
        <f t="shared" si="21"/>
        <v/>
      </c>
    </row>
    <row r="113" spans="1:9" s="79" customFormat="1" ht="16.5">
      <c r="A113" s="80"/>
      <c r="B113" s="81"/>
      <c r="C113" s="248" t="str">
        <f t="shared" si="37"/>
        <v/>
      </c>
      <c r="D113" s="80"/>
      <c r="E113" s="81"/>
      <c r="F113" s="79" t="str">
        <f t="shared" si="20"/>
        <v/>
      </c>
      <c r="G113" s="80"/>
      <c r="H113" s="81"/>
      <c r="I113" s="79" t="str">
        <f t="shared" si="21"/>
        <v/>
      </c>
    </row>
    <row r="114" spans="1:9" s="79" customFormat="1" ht="16.5">
      <c r="A114" s="80"/>
      <c r="B114" s="81"/>
      <c r="C114" s="248" t="str">
        <f t="shared" si="37"/>
        <v/>
      </c>
      <c r="D114" s="80"/>
      <c r="E114" s="81"/>
      <c r="F114" s="79" t="str">
        <f t="shared" si="20"/>
        <v/>
      </c>
      <c r="G114" s="80"/>
      <c r="H114" s="81"/>
      <c r="I114" s="79" t="str">
        <f t="shared" si="21"/>
        <v/>
      </c>
    </row>
    <row r="115" spans="1:9" s="79" customFormat="1" ht="16.5">
      <c r="A115" s="80"/>
      <c r="B115" s="81"/>
      <c r="C115" s="248" t="str">
        <f t="shared" si="37"/>
        <v/>
      </c>
      <c r="D115" s="80"/>
      <c r="E115" s="81"/>
      <c r="F115" s="79" t="str">
        <f t="shared" si="20"/>
        <v/>
      </c>
      <c r="G115" s="80"/>
      <c r="H115" s="81"/>
      <c r="I115" s="79" t="str">
        <f t="shared" si="21"/>
        <v/>
      </c>
    </row>
    <row r="116" spans="1:9" s="79" customFormat="1" ht="16.5">
      <c r="A116" s="80"/>
      <c r="B116" s="81"/>
      <c r="C116" s="248" t="str">
        <f t="shared" ref="C116:C159" si="38">IF(B116&gt;0,TEXT(B116,"(aaa)"),"")</f>
        <v/>
      </c>
      <c r="D116" s="80"/>
      <c r="E116" s="81"/>
      <c r="F116" s="79" t="str">
        <f t="shared" ref="F116:F159" si="39">IF(E116&gt;0,TEXT(E116,"(aaa)"),"")</f>
        <v/>
      </c>
      <c r="G116" s="80"/>
      <c r="H116" s="81"/>
      <c r="I116" s="79" t="str">
        <f t="shared" ref="I116:I159" si="40">IF(H116&gt;0,TEXT(H116,"(aaa)"),"")</f>
        <v/>
      </c>
    </row>
    <row r="117" spans="1:9" s="79" customFormat="1" ht="16.5">
      <c r="A117" s="80"/>
      <c r="B117" s="81"/>
      <c r="C117" s="248" t="str">
        <f t="shared" si="38"/>
        <v/>
      </c>
      <c r="D117" s="80"/>
      <c r="E117" s="81"/>
      <c r="F117" s="79" t="str">
        <f t="shared" si="39"/>
        <v/>
      </c>
      <c r="G117" s="80"/>
      <c r="H117" s="81"/>
      <c r="I117" s="79" t="str">
        <f t="shared" si="40"/>
        <v/>
      </c>
    </row>
    <row r="118" spans="1:9" s="79" customFormat="1" ht="16.5">
      <c r="A118" s="80"/>
      <c r="B118" s="81"/>
      <c r="C118" s="248" t="str">
        <f t="shared" si="38"/>
        <v/>
      </c>
      <c r="D118" s="80"/>
      <c r="E118" s="81"/>
      <c r="F118" s="79" t="str">
        <f t="shared" si="39"/>
        <v/>
      </c>
      <c r="G118" s="80"/>
      <c r="H118" s="81"/>
      <c r="I118" s="79" t="str">
        <f t="shared" si="40"/>
        <v/>
      </c>
    </row>
    <row r="119" spans="1:9" s="79" customFormat="1" ht="16.5">
      <c r="A119" s="80"/>
      <c r="B119" s="81"/>
      <c r="C119" s="248" t="str">
        <f t="shared" si="38"/>
        <v/>
      </c>
      <c r="D119" s="80"/>
      <c r="E119" s="81"/>
      <c r="F119" s="79" t="str">
        <f t="shared" si="39"/>
        <v/>
      </c>
      <c r="G119" s="80"/>
      <c r="H119" s="81"/>
      <c r="I119" s="79" t="str">
        <f t="shared" si="40"/>
        <v/>
      </c>
    </row>
    <row r="120" spans="1:9" s="79" customFormat="1" ht="16.5">
      <c r="A120" s="80"/>
      <c r="B120" s="81"/>
      <c r="C120" s="248" t="str">
        <f t="shared" si="38"/>
        <v/>
      </c>
      <c r="D120" s="80"/>
      <c r="E120" s="81"/>
      <c r="F120" s="79" t="str">
        <f t="shared" si="39"/>
        <v/>
      </c>
      <c r="G120" s="80"/>
      <c r="H120" s="81"/>
      <c r="I120" s="79" t="str">
        <f t="shared" si="40"/>
        <v/>
      </c>
    </row>
    <row r="121" spans="1:9" s="79" customFormat="1" ht="16.5">
      <c r="A121" s="80"/>
      <c r="B121" s="81"/>
      <c r="C121" s="248" t="str">
        <f t="shared" si="38"/>
        <v/>
      </c>
      <c r="D121" s="80"/>
      <c r="E121" s="81"/>
      <c r="F121" s="79" t="str">
        <f t="shared" si="39"/>
        <v/>
      </c>
      <c r="G121" s="80"/>
      <c r="H121" s="81"/>
      <c r="I121" s="79" t="str">
        <f t="shared" si="40"/>
        <v/>
      </c>
    </row>
    <row r="122" spans="1:9" s="79" customFormat="1" ht="16.5">
      <c r="A122" s="80"/>
      <c r="B122" s="81"/>
      <c r="C122" s="248" t="str">
        <f t="shared" si="38"/>
        <v/>
      </c>
      <c r="D122" s="80"/>
      <c r="E122" s="81"/>
      <c r="F122" s="79" t="str">
        <f t="shared" si="39"/>
        <v/>
      </c>
      <c r="G122" s="80"/>
      <c r="H122" s="81"/>
      <c r="I122" s="79" t="str">
        <f t="shared" si="40"/>
        <v/>
      </c>
    </row>
    <row r="123" spans="1:9" s="79" customFormat="1" ht="16.5">
      <c r="A123" s="80"/>
      <c r="B123" s="81"/>
      <c r="C123" s="248" t="str">
        <f t="shared" si="38"/>
        <v/>
      </c>
      <c r="D123" s="80"/>
      <c r="E123" s="81"/>
      <c r="F123" s="79" t="str">
        <f t="shared" si="39"/>
        <v/>
      </c>
      <c r="G123" s="80"/>
      <c r="H123" s="81"/>
      <c r="I123" s="79" t="str">
        <f t="shared" si="40"/>
        <v/>
      </c>
    </row>
    <row r="124" spans="1:9" s="79" customFormat="1" ht="16.5">
      <c r="A124" s="80"/>
      <c r="B124" s="81"/>
      <c r="C124" s="248" t="str">
        <f t="shared" si="38"/>
        <v/>
      </c>
      <c r="D124" s="80"/>
      <c r="E124" s="81"/>
      <c r="F124" s="79" t="str">
        <f t="shared" si="39"/>
        <v/>
      </c>
      <c r="G124" s="80"/>
      <c r="H124" s="81"/>
      <c r="I124" s="79" t="str">
        <f t="shared" si="40"/>
        <v/>
      </c>
    </row>
    <row r="125" spans="1:9" s="79" customFormat="1" ht="16.5">
      <c r="A125" s="80"/>
      <c r="B125" s="81"/>
      <c r="C125" s="248" t="str">
        <f t="shared" si="38"/>
        <v/>
      </c>
      <c r="D125" s="80"/>
      <c r="E125" s="81"/>
      <c r="F125" s="79" t="str">
        <f t="shared" si="39"/>
        <v/>
      </c>
      <c r="G125" s="80"/>
      <c r="H125" s="81"/>
      <c r="I125" s="79" t="str">
        <f t="shared" si="40"/>
        <v/>
      </c>
    </row>
    <row r="126" spans="1:9" s="79" customFormat="1" ht="16.5">
      <c r="A126" s="80"/>
      <c r="B126" s="81"/>
      <c r="C126" s="248" t="str">
        <f t="shared" si="38"/>
        <v/>
      </c>
      <c r="D126" s="80"/>
      <c r="E126" s="81"/>
      <c r="F126" s="79" t="str">
        <f t="shared" si="39"/>
        <v/>
      </c>
      <c r="G126" s="80"/>
      <c r="H126" s="81"/>
      <c r="I126" s="79" t="str">
        <f t="shared" si="40"/>
        <v/>
      </c>
    </row>
    <row r="127" spans="1:9" s="79" customFormat="1" ht="16.5">
      <c r="A127" s="80"/>
      <c r="B127" s="81"/>
      <c r="C127" s="248" t="str">
        <f t="shared" si="38"/>
        <v/>
      </c>
      <c r="D127" s="80"/>
      <c r="E127" s="81"/>
      <c r="F127" s="79" t="str">
        <f t="shared" si="39"/>
        <v/>
      </c>
      <c r="G127" s="80"/>
      <c r="H127" s="81"/>
      <c r="I127" s="79" t="str">
        <f t="shared" si="40"/>
        <v/>
      </c>
    </row>
    <row r="128" spans="1:9" s="79" customFormat="1" ht="16.5">
      <c r="A128" s="80"/>
      <c r="B128" s="81"/>
      <c r="C128" s="248" t="str">
        <f t="shared" si="38"/>
        <v/>
      </c>
      <c r="D128" s="80"/>
      <c r="E128" s="81"/>
      <c r="F128" s="79" t="str">
        <f t="shared" si="39"/>
        <v/>
      </c>
      <c r="G128" s="80"/>
      <c r="H128" s="81"/>
      <c r="I128" s="79" t="str">
        <f t="shared" si="40"/>
        <v/>
      </c>
    </row>
    <row r="129" spans="1:9" s="79" customFormat="1" ht="16.5">
      <c r="A129" s="80"/>
      <c r="B129" s="81"/>
      <c r="C129" s="248" t="str">
        <f t="shared" si="38"/>
        <v/>
      </c>
      <c r="D129" s="80"/>
      <c r="E129" s="81"/>
      <c r="F129" s="79" t="str">
        <f t="shared" si="39"/>
        <v/>
      </c>
      <c r="G129" s="80"/>
      <c r="H129" s="81"/>
      <c r="I129" s="79" t="str">
        <f t="shared" si="40"/>
        <v/>
      </c>
    </row>
    <row r="130" spans="1:9" s="79" customFormat="1" ht="16.5">
      <c r="A130" s="80"/>
      <c r="B130" s="81"/>
      <c r="C130" s="248" t="str">
        <f t="shared" si="38"/>
        <v/>
      </c>
      <c r="D130" s="80"/>
      <c r="E130" s="81"/>
      <c r="F130" s="79" t="str">
        <f t="shared" si="39"/>
        <v/>
      </c>
      <c r="G130" s="80"/>
      <c r="H130" s="81"/>
      <c r="I130" s="79" t="str">
        <f t="shared" si="40"/>
        <v/>
      </c>
    </row>
    <row r="131" spans="1:9" s="79" customFormat="1" ht="16.5">
      <c r="A131" s="80"/>
      <c r="B131" s="81"/>
      <c r="C131" s="248" t="str">
        <f t="shared" si="38"/>
        <v/>
      </c>
      <c r="D131" s="80"/>
      <c r="E131" s="81"/>
      <c r="F131" s="79" t="str">
        <f t="shared" si="39"/>
        <v/>
      </c>
      <c r="G131" s="80"/>
      <c r="H131" s="81"/>
      <c r="I131" s="79" t="str">
        <f t="shared" si="40"/>
        <v/>
      </c>
    </row>
    <row r="132" spans="1:9" s="79" customFormat="1" ht="16.5">
      <c r="A132" s="80"/>
      <c r="B132" s="81"/>
      <c r="C132" s="248" t="str">
        <f t="shared" si="38"/>
        <v/>
      </c>
      <c r="D132" s="80"/>
      <c r="E132" s="81"/>
      <c r="F132" s="79" t="str">
        <f t="shared" si="39"/>
        <v/>
      </c>
      <c r="G132" s="80"/>
      <c r="H132" s="81"/>
      <c r="I132" s="79" t="str">
        <f t="shared" si="40"/>
        <v/>
      </c>
    </row>
    <row r="133" spans="1:9" s="79" customFormat="1" ht="16.5">
      <c r="A133" s="80"/>
      <c r="B133" s="81"/>
      <c r="C133" s="248" t="str">
        <f t="shared" si="38"/>
        <v/>
      </c>
      <c r="D133" s="80"/>
      <c r="E133" s="81"/>
      <c r="F133" s="79" t="str">
        <f t="shared" si="39"/>
        <v/>
      </c>
      <c r="G133" s="80"/>
      <c r="H133" s="81"/>
      <c r="I133" s="79" t="str">
        <f t="shared" si="40"/>
        <v/>
      </c>
    </row>
    <row r="134" spans="1:9" s="79" customFormat="1" ht="16.5">
      <c r="A134" s="80"/>
      <c r="B134" s="81"/>
      <c r="C134" s="248" t="str">
        <f t="shared" si="38"/>
        <v/>
      </c>
      <c r="D134" s="80"/>
      <c r="E134" s="81"/>
      <c r="F134" s="79" t="str">
        <f t="shared" si="39"/>
        <v/>
      </c>
      <c r="G134" s="80"/>
      <c r="H134" s="81"/>
      <c r="I134" s="79" t="str">
        <f t="shared" si="40"/>
        <v/>
      </c>
    </row>
    <row r="135" spans="1:9" s="79" customFormat="1" ht="16.5">
      <c r="A135" s="80"/>
      <c r="B135" s="81"/>
      <c r="C135" s="248" t="str">
        <f t="shared" si="38"/>
        <v/>
      </c>
      <c r="D135" s="80"/>
      <c r="E135" s="81"/>
      <c r="F135" s="79" t="str">
        <f t="shared" si="39"/>
        <v/>
      </c>
      <c r="G135" s="80"/>
      <c r="H135" s="81"/>
      <c r="I135" s="79" t="str">
        <f t="shared" si="40"/>
        <v/>
      </c>
    </row>
    <row r="136" spans="1:9" s="79" customFormat="1" ht="16.5">
      <c r="A136" s="80"/>
      <c r="B136" s="81"/>
      <c r="C136" s="248" t="str">
        <f t="shared" si="38"/>
        <v/>
      </c>
      <c r="D136" s="80"/>
      <c r="E136" s="81"/>
      <c r="F136" s="79" t="str">
        <f t="shared" si="39"/>
        <v/>
      </c>
      <c r="G136" s="80"/>
      <c r="H136" s="81"/>
      <c r="I136" s="79" t="str">
        <f t="shared" si="40"/>
        <v/>
      </c>
    </row>
    <row r="137" spans="1:9" s="79" customFormat="1" ht="16.5">
      <c r="A137" s="80"/>
      <c r="B137" s="81"/>
      <c r="C137" s="248" t="str">
        <f t="shared" si="38"/>
        <v/>
      </c>
      <c r="D137" s="80"/>
      <c r="E137" s="81"/>
      <c r="F137" s="79" t="str">
        <f t="shared" si="39"/>
        <v/>
      </c>
      <c r="G137" s="80"/>
      <c r="H137" s="81"/>
      <c r="I137" s="79" t="str">
        <f t="shared" si="40"/>
        <v/>
      </c>
    </row>
    <row r="138" spans="1:9" s="79" customFormat="1" ht="16.5">
      <c r="A138" s="80"/>
      <c r="B138" s="81"/>
      <c r="C138" s="248" t="str">
        <f t="shared" si="38"/>
        <v/>
      </c>
      <c r="D138" s="80"/>
      <c r="E138" s="81"/>
      <c r="F138" s="79" t="str">
        <f t="shared" si="39"/>
        <v/>
      </c>
      <c r="G138" s="80"/>
      <c r="H138" s="81"/>
      <c r="I138" s="79" t="str">
        <f t="shared" si="40"/>
        <v/>
      </c>
    </row>
    <row r="139" spans="1:9" s="79" customFormat="1" ht="16.5">
      <c r="A139" s="80"/>
      <c r="B139" s="81"/>
      <c r="C139" s="248" t="str">
        <f t="shared" si="38"/>
        <v/>
      </c>
      <c r="D139" s="80"/>
      <c r="E139" s="81"/>
      <c r="F139" s="79" t="str">
        <f t="shared" si="39"/>
        <v/>
      </c>
      <c r="G139" s="80"/>
      <c r="H139" s="81"/>
      <c r="I139" s="79" t="str">
        <f t="shared" si="40"/>
        <v/>
      </c>
    </row>
    <row r="140" spans="1:9" s="79" customFormat="1" ht="16.5">
      <c r="A140" s="80"/>
      <c r="B140" s="81"/>
      <c r="C140" s="248" t="str">
        <f t="shared" si="38"/>
        <v/>
      </c>
      <c r="D140" s="80"/>
      <c r="E140" s="81"/>
      <c r="F140" s="79" t="str">
        <f t="shared" si="39"/>
        <v/>
      </c>
      <c r="G140" s="80"/>
      <c r="H140" s="81"/>
      <c r="I140" s="79" t="str">
        <f t="shared" si="40"/>
        <v/>
      </c>
    </row>
    <row r="141" spans="1:9" s="79" customFormat="1" ht="16.5">
      <c r="A141" s="80"/>
      <c r="B141" s="81"/>
      <c r="C141" s="248" t="str">
        <f t="shared" si="38"/>
        <v/>
      </c>
      <c r="D141" s="80"/>
      <c r="E141" s="81"/>
      <c r="F141" s="79" t="str">
        <f t="shared" si="39"/>
        <v/>
      </c>
      <c r="G141" s="80"/>
      <c r="H141" s="81"/>
      <c r="I141" s="79" t="str">
        <f t="shared" si="40"/>
        <v/>
      </c>
    </row>
    <row r="142" spans="1:9" s="79" customFormat="1" ht="16.5">
      <c r="A142" s="80"/>
      <c r="B142" s="81"/>
      <c r="C142" s="248" t="str">
        <f t="shared" si="38"/>
        <v/>
      </c>
      <c r="D142" s="80"/>
      <c r="E142" s="81"/>
      <c r="F142" s="79" t="str">
        <f t="shared" si="39"/>
        <v/>
      </c>
      <c r="G142" s="80"/>
      <c r="H142" s="81"/>
      <c r="I142" s="79" t="str">
        <f t="shared" si="40"/>
        <v/>
      </c>
    </row>
    <row r="143" spans="1:9" s="79" customFormat="1" ht="16.5">
      <c r="A143" s="80"/>
      <c r="B143" s="81"/>
      <c r="C143" s="248" t="str">
        <f t="shared" si="38"/>
        <v/>
      </c>
      <c r="D143" s="80"/>
      <c r="E143" s="81"/>
      <c r="F143" s="79" t="str">
        <f t="shared" si="39"/>
        <v/>
      </c>
      <c r="G143" s="80"/>
      <c r="H143" s="81"/>
      <c r="I143" s="79" t="str">
        <f t="shared" si="40"/>
        <v/>
      </c>
    </row>
    <row r="144" spans="1:9" s="79" customFormat="1" ht="16.5">
      <c r="A144" s="80"/>
      <c r="B144" s="81"/>
      <c r="C144" s="248" t="str">
        <f t="shared" si="38"/>
        <v/>
      </c>
      <c r="D144" s="80"/>
      <c r="E144" s="81"/>
      <c r="F144" s="79" t="str">
        <f t="shared" si="39"/>
        <v/>
      </c>
      <c r="G144" s="80"/>
      <c r="H144" s="81"/>
      <c r="I144" s="79" t="str">
        <f t="shared" si="40"/>
        <v/>
      </c>
    </row>
    <row r="145" spans="1:9" s="79" customFormat="1" ht="16.5">
      <c r="A145" s="80"/>
      <c r="B145" s="81"/>
      <c r="C145" s="248" t="str">
        <f t="shared" si="38"/>
        <v/>
      </c>
      <c r="D145" s="80"/>
      <c r="E145" s="81"/>
      <c r="F145" s="79" t="str">
        <f t="shared" si="39"/>
        <v/>
      </c>
      <c r="G145" s="80"/>
      <c r="H145" s="81"/>
      <c r="I145" s="79" t="str">
        <f t="shared" si="40"/>
        <v/>
      </c>
    </row>
    <row r="146" spans="1:9" s="79" customFormat="1" ht="16.5">
      <c r="A146" s="80"/>
      <c r="B146" s="81"/>
      <c r="C146" s="248" t="str">
        <f t="shared" si="38"/>
        <v/>
      </c>
      <c r="D146" s="80"/>
      <c r="E146" s="81"/>
      <c r="F146" s="79" t="str">
        <f t="shared" si="39"/>
        <v/>
      </c>
      <c r="G146" s="80"/>
      <c r="H146" s="81"/>
      <c r="I146" s="79" t="str">
        <f t="shared" si="40"/>
        <v/>
      </c>
    </row>
    <row r="147" spans="1:9" s="79" customFormat="1" ht="16.5">
      <c r="A147" s="80"/>
      <c r="B147" s="81"/>
      <c r="C147" s="248" t="str">
        <f t="shared" si="38"/>
        <v/>
      </c>
      <c r="D147" s="80"/>
      <c r="E147" s="81"/>
      <c r="F147" s="79" t="str">
        <f t="shared" si="39"/>
        <v/>
      </c>
      <c r="G147" s="80"/>
      <c r="H147" s="81"/>
      <c r="I147" s="79" t="str">
        <f t="shared" si="40"/>
        <v/>
      </c>
    </row>
    <row r="148" spans="1:9" s="79" customFormat="1" ht="16.5">
      <c r="A148" s="80"/>
      <c r="B148" s="81"/>
      <c r="C148" s="248" t="str">
        <f t="shared" si="38"/>
        <v/>
      </c>
      <c r="D148" s="80"/>
      <c r="E148" s="81"/>
      <c r="F148" s="79" t="str">
        <f t="shared" si="39"/>
        <v/>
      </c>
      <c r="G148" s="80"/>
      <c r="H148" s="81"/>
      <c r="I148" s="79" t="str">
        <f t="shared" si="40"/>
        <v/>
      </c>
    </row>
    <row r="149" spans="1:9" s="79" customFormat="1" ht="16.5">
      <c r="A149" s="80"/>
      <c r="B149" s="81"/>
      <c r="C149" s="248" t="str">
        <f t="shared" si="38"/>
        <v/>
      </c>
      <c r="D149" s="80"/>
      <c r="E149" s="81"/>
      <c r="F149" s="79" t="str">
        <f t="shared" si="39"/>
        <v/>
      </c>
      <c r="G149" s="80"/>
      <c r="H149" s="81"/>
      <c r="I149" s="79" t="str">
        <f t="shared" si="40"/>
        <v/>
      </c>
    </row>
    <row r="150" spans="1:9" s="79" customFormat="1" ht="16.5">
      <c r="A150" s="80"/>
      <c r="B150" s="81"/>
      <c r="C150" s="248" t="str">
        <f t="shared" si="38"/>
        <v/>
      </c>
      <c r="D150" s="80"/>
      <c r="E150" s="81"/>
      <c r="F150" s="79" t="str">
        <f t="shared" si="39"/>
        <v/>
      </c>
      <c r="G150" s="80"/>
      <c r="H150" s="81"/>
      <c r="I150" s="79" t="str">
        <f t="shared" si="40"/>
        <v/>
      </c>
    </row>
    <row r="151" spans="1:9" s="79" customFormat="1" ht="16.5">
      <c r="A151" s="80"/>
      <c r="B151" s="81"/>
      <c r="C151" s="248" t="str">
        <f t="shared" si="38"/>
        <v/>
      </c>
      <c r="D151" s="80"/>
      <c r="E151" s="81"/>
      <c r="F151" s="79" t="str">
        <f t="shared" si="39"/>
        <v/>
      </c>
      <c r="G151" s="80"/>
      <c r="H151" s="81"/>
      <c r="I151" s="79" t="str">
        <f t="shared" si="40"/>
        <v/>
      </c>
    </row>
    <row r="152" spans="1:9" s="79" customFormat="1" ht="16.5">
      <c r="A152" s="80"/>
      <c r="B152" s="81"/>
      <c r="C152" s="248" t="str">
        <f t="shared" si="38"/>
        <v/>
      </c>
      <c r="D152" s="80"/>
      <c r="E152" s="81"/>
      <c r="F152" s="79" t="str">
        <f t="shared" si="39"/>
        <v/>
      </c>
      <c r="G152" s="80"/>
      <c r="H152" s="81"/>
      <c r="I152" s="79" t="str">
        <f t="shared" si="40"/>
        <v/>
      </c>
    </row>
    <row r="153" spans="1:9" s="79" customFormat="1" ht="16.5">
      <c r="A153" s="80"/>
      <c r="B153" s="81"/>
      <c r="C153" s="248" t="str">
        <f t="shared" si="38"/>
        <v/>
      </c>
      <c r="D153" s="80"/>
      <c r="E153" s="81"/>
      <c r="F153" s="79" t="str">
        <f t="shared" si="39"/>
        <v/>
      </c>
      <c r="G153" s="80"/>
      <c r="H153" s="81"/>
      <c r="I153" s="79" t="str">
        <f t="shared" si="40"/>
        <v/>
      </c>
    </row>
    <row r="154" spans="1:9" s="79" customFormat="1" ht="16.5">
      <c r="A154" s="80"/>
      <c r="B154" s="81"/>
      <c r="C154" s="248" t="str">
        <f t="shared" si="38"/>
        <v/>
      </c>
      <c r="D154" s="80"/>
      <c r="E154" s="81"/>
      <c r="F154" s="79" t="str">
        <f t="shared" si="39"/>
        <v/>
      </c>
      <c r="G154" s="80"/>
      <c r="H154" s="81"/>
      <c r="I154" s="79" t="str">
        <f t="shared" si="40"/>
        <v/>
      </c>
    </row>
    <row r="155" spans="1:9" s="79" customFormat="1" ht="16.5">
      <c r="A155" s="80"/>
      <c r="B155" s="81"/>
      <c r="C155" s="248" t="str">
        <f t="shared" si="38"/>
        <v/>
      </c>
      <c r="D155" s="80"/>
      <c r="E155" s="81"/>
      <c r="F155" s="79" t="str">
        <f t="shared" si="39"/>
        <v/>
      </c>
      <c r="G155" s="80"/>
      <c r="H155" s="81"/>
      <c r="I155" s="79" t="str">
        <f t="shared" si="40"/>
        <v/>
      </c>
    </row>
    <row r="156" spans="1:9" s="79" customFormat="1" ht="16.5">
      <c r="A156" s="80"/>
      <c r="B156" s="81"/>
      <c r="C156" s="248" t="str">
        <f t="shared" si="38"/>
        <v/>
      </c>
      <c r="D156" s="80"/>
      <c r="E156" s="81"/>
      <c r="F156" s="79" t="str">
        <f t="shared" si="39"/>
        <v/>
      </c>
      <c r="G156" s="80"/>
      <c r="H156" s="81"/>
      <c r="I156" s="79" t="str">
        <f t="shared" si="40"/>
        <v/>
      </c>
    </row>
    <row r="157" spans="1:9" s="79" customFormat="1" ht="16.5">
      <c r="A157" s="80"/>
      <c r="B157" s="83"/>
      <c r="C157" s="248" t="str">
        <f t="shared" si="38"/>
        <v/>
      </c>
      <c r="D157" s="80"/>
      <c r="E157" s="83"/>
      <c r="F157" s="79" t="str">
        <f t="shared" si="39"/>
        <v/>
      </c>
      <c r="G157" s="80"/>
      <c r="H157" s="83"/>
      <c r="I157" s="79" t="str">
        <f t="shared" si="40"/>
        <v/>
      </c>
    </row>
    <row r="158" spans="1:9" s="79" customFormat="1" ht="16.5">
      <c r="A158" s="80"/>
      <c r="B158" s="83"/>
      <c r="C158" s="248" t="str">
        <f t="shared" si="38"/>
        <v/>
      </c>
      <c r="D158" s="80"/>
      <c r="E158" s="83"/>
      <c r="F158" s="79" t="str">
        <f t="shared" si="39"/>
        <v/>
      </c>
      <c r="G158" s="80"/>
      <c r="H158" s="83"/>
      <c r="I158" s="79" t="str">
        <f t="shared" si="40"/>
        <v/>
      </c>
    </row>
    <row r="159" spans="1:9" s="79" customFormat="1" ht="16.5">
      <c r="A159" s="80"/>
      <c r="B159" s="83"/>
      <c r="C159" s="248" t="str">
        <f t="shared" si="38"/>
        <v/>
      </c>
      <c r="D159" s="80"/>
      <c r="E159" s="83"/>
      <c r="F159" s="79" t="str">
        <f t="shared" si="39"/>
        <v/>
      </c>
      <c r="G159" s="80"/>
      <c r="H159" s="83"/>
      <c r="I159" s="79" t="str">
        <f t="shared" si="40"/>
        <v/>
      </c>
    </row>
    <row r="160" spans="1:9" s="79" customFormat="1" ht="16.5">
      <c r="A160" s="79" t="s">
        <v>1424</v>
      </c>
      <c r="C160" s="248"/>
      <c r="D160" s="79" t="s">
        <v>1424</v>
      </c>
      <c r="G160" s="79" t="s">
        <v>1424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59" bestFit="1" customWidth="1"/>
    <col min="2" max="2" width="8.375" style="160" bestFit="1" customWidth="1"/>
    <col min="3" max="3" width="15.75" style="161" customWidth="1"/>
    <col min="4" max="4" width="47.125" style="162" customWidth="1"/>
    <col min="5" max="5" width="56.125" style="162" customWidth="1"/>
    <col min="6" max="6" width="57.375" style="159" customWidth="1"/>
    <col min="7" max="26" width="73.375" style="159"/>
    <col min="27" max="27" width="73.375" style="159" hidden="1" customWidth="1"/>
    <col min="28" max="29" width="73.375" style="159"/>
    <col min="30" max="30" width="0" style="159" hidden="1" customWidth="1"/>
    <col min="31" max="16384" width="73.375" style="159"/>
  </cols>
  <sheetData>
    <row r="1" spans="1:6" s="157" customFormat="1">
      <c r="A1" s="157" t="s">
        <v>423</v>
      </c>
      <c r="B1" s="157" t="s">
        <v>424</v>
      </c>
      <c r="C1" s="158" t="s">
        <v>425</v>
      </c>
      <c r="D1" s="158" t="s">
        <v>18</v>
      </c>
      <c r="E1" s="158" t="s">
        <v>19</v>
      </c>
      <c r="F1" s="157" t="s">
        <v>620</v>
      </c>
    </row>
    <row r="2" spans="1:6" ht="84">
      <c r="A2" s="159" t="s">
        <v>1908</v>
      </c>
      <c r="B2" s="160">
        <v>1</v>
      </c>
      <c r="C2" s="161" t="s">
        <v>494</v>
      </c>
      <c r="D2" s="162" t="s">
        <v>426</v>
      </c>
      <c r="E2" s="162" t="s">
        <v>796</v>
      </c>
      <c r="F2" s="162" t="s">
        <v>796</v>
      </c>
    </row>
    <row r="3" spans="1:6" ht="96">
      <c r="A3" s="163">
        <v>650</v>
      </c>
      <c r="B3" s="160">
        <v>2</v>
      </c>
      <c r="C3" s="161" t="s">
        <v>494</v>
      </c>
      <c r="D3" s="162" t="s">
        <v>419</v>
      </c>
      <c r="E3" s="162" t="s">
        <v>797</v>
      </c>
      <c r="F3" s="162" t="s">
        <v>797</v>
      </c>
    </row>
    <row r="4" spans="1:6" ht="60">
      <c r="B4" s="160">
        <v>3</v>
      </c>
      <c r="C4" s="161" t="s">
        <v>494</v>
      </c>
      <c r="D4" s="162" t="s">
        <v>427</v>
      </c>
      <c r="E4" s="162" t="s">
        <v>798</v>
      </c>
      <c r="F4" s="162" t="s">
        <v>798</v>
      </c>
    </row>
    <row r="5" spans="1:6" ht="60">
      <c r="B5" s="160">
        <v>4</v>
      </c>
      <c r="C5" s="161" t="s">
        <v>494</v>
      </c>
      <c r="D5" s="162" t="s">
        <v>428</v>
      </c>
      <c r="E5" s="162" t="s">
        <v>799</v>
      </c>
      <c r="F5" s="162" t="s">
        <v>799</v>
      </c>
    </row>
    <row r="6" spans="1:6" ht="60">
      <c r="B6" s="160">
        <v>5</v>
      </c>
      <c r="C6" s="161" t="s">
        <v>494</v>
      </c>
      <c r="D6" s="162" t="s">
        <v>429</v>
      </c>
      <c r="E6" s="162" t="s">
        <v>800</v>
      </c>
      <c r="F6" s="162" t="s">
        <v>800</v>
      </c>
    </row>
    <row r="7" spans="1:6" ht="48">
      <c r="B7" s="160">
        <v>6</v>
      </c>
      <c r="C7" s="161" t="s">
        <v>494</v>
      </c>
      <c r="D7" s="162" t="s">
        <v>430</v>
      </c>
      <c r="E7" s="162" t="s">
        <v>801</v>
      </c>
      <c r="F7" s="162" t="s">
        <v>801</v>
      </c>
    </row>
    <row r="8" spans="1:6">
      <c r="B8" s="160">
        <v>7</v>
      </c>
      <c r="C8" s="161" t="s">
        <v>494</v>
      </c>
      <c r="D8" s="162" t="s">
        <v>421</v>
      </c>
      <c r="E8" s="162" t="s">
        <v>802</v>
      </c>
      <c r="F8" s="162" t="s">
        <v>802</v>
      </c>
    </row>
    <row r="9" spans="1:6" ht="48">
      <c r="B9" s="160">
        <v>8</v>
      </c>
      <c r="C9" s="161" t="s">
        <v>585</v>
      </c>
      <c r="D9" s="162" t="s">
        <v>582</v>
      </c>
      <c r="E9" s="180" t="s">
        <v>1346</v>
      </c>
      <c r="F9" s="180" t="s">
        <v>1346</v>
      </c>
    </row>
    <row r="10" spans="1:6" ht="48">
      <c r="B10" s="160">
        <v>9</v>
      </c>
      <c r="C10" s="161" t="s">
        <v>585</v>
      </c>
      <c r="D10" s="162" t="s">
        <v>574</v>
      </c>
      <c r="E10" s="162" t="s">
        <v>803</v>
      </c>
      <c r="F10" s="162" t="s">
        <v>803</v>
      </c>
    </row>
    <row r="11" spans="1:6" ht="60">
      <c r="B11" s="160">
        <v>10</v>
      </c>
      <c r="C11" s="161" t="s">
        <v>585</v>
      </c>
      <c r="D11" s="162" t="s">
        <v>583</v>
      </c>
      <c r="E11" s="162" t="s">
        <v>804</v>
      </c>
      <c r="F11" s="162" t="s">
        <v>804</v>
      </c>
    </row>
    <row r="12" spans="1:6" ht="48">
      <c r="B12" s="160">
        <v>11</v>
      </c>
      <c r="C12" s="161" t="s">
        <v>585</v>
      </c>
      <c r="D12" s="162" t="s">
        <v>577</v>
      </c>
      <c r="E12" s="162" t="s">
        <v>805</v>
      </c>
      <c r="F12" s="162" t="s">
        <v>805</v>
      </c>
    </row>
    <row r="13" spans="1:6" ht="84">
      <c r="B13" s="160">
        <v>12</v>
      </c>
      <c r="C13" s="161" t="s">
        <v>585</v>
      </c>
      <c r="D13" s="162" t="s">
        <v>578</v>
      </c>
      <c r="E13" s="162" t="s">
        <v>806</v>
      </c>
      <c r="F13" s="162" t="s">
        <v>806</v>
      </c>
    </row>
    <row r="14" spans="1:6" ht="48">
      <c r="B14" s="160">
        <v>13</v>
      </c>
      <c r="C14" s="161" t="s">
        <v>494</v>
      </c>
      <c r="D14" s="162" t="s">
        <v>731</v>
      </c>
      <c r="E14" s="162" t="s">
        <v>807</v>
      </c>
      <c r="F14" s="162" t="s">
        <v>807</v>
      </c>
    </row>
    <row r="15" spans="1:6" ht="36">
      <c r="B15" s="160">
        <v>14</v>
      </c>
      <c r="C15" s="161" t="s">
        <v>494</v>
      </c>
      <c r="D15" s="162" t="s">
        <v>732</v>
      </c>
      <c r="E15" s="162" t="s">
        <v>808</v>
      </c>
      <c r="F15" s="162" t="s">
        <v>808</v>
      </c>
    </row>
    <row r="16" spans="1:6">
      <c r="B16" s="160">
        <v>15</v>
      </c>
      <c r="C16" s="161" t="s">
        <v>494</v>
      </c>
      <c r="D16" s="162" t="s">
        <v>733</v>
      </c>
      <c r="E16" s="162" t="s">
        <v>809</v>
      </c>
      <c r="F16" s="162" t="s">
        <v>809</v>
      </c>
    </row>
    <row r="17" spans="1:6">
      <c r="B17" s="160">
        <v>101</v>
      </c>
      <c r="D17" s="162" t="s">
        <v>20</v>
      </c>
      <c r="E17" s="162" t="s">
        <v>810</v>
      </c>
      <c r="F17" s="162" t="s">
        <v>810</v>
      </c>
    </row>
    <row r="18" spans="1:6">
      <c r="B18" s="160">
        <v>102</v>
      </c>
      <c r="D18" s="162" t="s">
        <v>21</v>
      </c>
      <c r="E18" s="162" t="s">
        <v>811</v>
      </c>
      <c r="F18" s="162" t="s">
        <v>811</v>
      </c>
    </row>
    <row r="19" spans="1:6">
      <c r="B19" s="160">
        <v>103</v>
      </c>
      <c r="D19" s="162" t="s">
        <v>22</v>
      </c>
      <c r="E19" s="162" t="s">
        <v>812</v>
      </c>
      <c r="F19" s="162" t="s">
        <v>812</v>
      </c>
    </row>
    <row r="20" spans="1:6">
      <c r="B20" s="160">
        <v>104</v>
      </c>
      <c r="D20" s="162" t="s">
        <v>23</v>
      </c>
      <c r="E20" s="162" t="s">
        <v>813</v>
      </c>
      <c r="F20" s="162" t="s">
        <v>813</v>
      </c>
    </row>
    <row r="21" spans="1:6">
      <c r="B21" s="160">
        <v>105</v>
      </c>
      <c r="D21" s="162" t="s">
        <v>24</v>
      </c>
      <c r="E21" s="162" t="s">
        <v>814</v>
      </c>
      <c r="F21" s="162" t="s">
        <v>814</v>
      </c>
    </row>
    <row r="22" spans="1:6">
      <c r="B22" s="160">
        <v>106</v>
      </c>
      <c r="D22" s="162" t="s">
        <v>343</v>
      </c>
      <c r="E22" s="162" t="s">
        <v>815</v>
      </c>
      <c r="F22" s="162" t="s">
        <v>815</v>
      </c>
    </row>
    <row r="23" spans="1:6" ht="36">
      <c r="B23" s="160">
        <v>107</v>
      </c>
      <c r="D23" s="162" t="s">
        <v>344</v>
      </c>
      <c r="E23" s="162" t="s">
        <v>816</v>
      </c>
      <c r="F23" s="162" t="s">
        <v>816</v>
      </c>
    </row>
    <row r="24" spans="1:6" ht="36">
      <c r="B24" s="160">
        <v>108</v>
      </c>
      <c r="D24" s="162" t="s">
        <v>345</v>
      </c>
      <c r="E24" s="162" t="s">
        <v>817</v>
      </c>
      <c r="F24" s="162" t="s">
        <v>817</v>
      </c>
    </row>
    <row r="25" spans="1:6">
      <c r="B25" s="160">
        <v>109</v>
      </c>
      <c r="D25" s="162" t="s">
        <v>25</v>
      </c>
      <c r="E25" s="162" t="s">
        <v>818</v>
      </c>
      <c r="F25" s="162" t="s">
        <v>818</v>
      </c>
    </row>
    <row r="26" spans="1:6">
      <c r="B26" s="160">
        <v>110</v>
      </c>
      <c r="D26" s="162" t="s">
        <v>26</v>
      </c>
      <c r="E26" s="162" t="s">
        <v>819</v>
      </c>
      <c r="F26" s="162" t="s">
        <v>819</v>
      </c>
    </row>
    <row r="27" spans="1:6">
      <c r="B27" s="160">
        <v>111</v>
      </c>
      <c r="D27" s="162" t="s">
        <v>27</v>
      </c>
      <c r="E27" s="162" t="s">
        <v>820</v>
      </c>
      <c r="F27" s="162" t="s">
        <v>820</v>
      </c>
    </row>
    <row r="28" spans="1:6">
      <c r="A28" s="164"/>
      <c r="B28" s="160">
        <v>112</v>
      </c>
      <c r="C28" s="165" t="s">
        <v>414</v>
      </c>
      <c r="D28" s="163" t="s">
        <v>431</v>
      </c>
      <c r="E28" s="163" t="s">
        <v>821</v>
      </c>
      <c r="F28" s="163" t="s">
        <v>821</v>
      </c>
    </row>
    <row r="29" spans="1:6">
      <c r="B29" s="160">
        <v>113</v>
      </c>
      <c r="D29" s="162" t="s">
        <v>28</v>
      </c>
      <c r="E29" s="162" t="s">
        <v>821</v>
      </c>
      <c r="F29" s="162" t="s">
        <v>821</v>
      </c>
    </row>
    <row r="30" spans="1:6">
      <c r="B30" s="160">
        <v>114</v>
      </c>
      <c r="C30" s="161" t="s">
        <v>543</v>
      </c>
      <c r="D30" s="162" t="s">
        <v>548</v>
      </c>
      <c r="E30" s="162" t="s">
        <v>822</v>
      </c>
      <c r="F30" s="162" t="s">
        <v>822</v>
      </c>
    </row>
    <row r="31" spans="1:6">
      <c r="B31" s="160">
        <v>115</v>
      </c>
      <c r="D31" s="162" t="s">
        <v>603</v>
      </c>
      <c r="E31" s="162" t="s">
        <v>823</v>
      </c>
      <c r="F31" s="162" t="s">
        <v>823</v>
      </c>
    </row>
    <row r="32" spans="1:6">
      <c r="B32" s="160">
        <v>116</v>
      </c>
      <c r="D32" s="162" t="s">
        <v>29</v>
      </c>
      <c r="E32" s="162" t="s">
        <v>824</v>
      </c>
      <c r="F32" s="162" t="s">
        <v>824</v>
      </c>
    </row>
    <row r="33" spans="2:6">
      <c r="B33" s="160">
        <v>117</v>
      </c>
      <c r="D33" s="162" t="s">
        <v>30</v>
      </c>
      <c r="E33" s="162" t="s">
        <v>825</v>
      </c>
      <c r="F33" s="162" t="s">
        <v>825</v>
      </c>
    </row>
    <row r="34" spans="2:6" ht="24">
      <c r="B34" s="160">
        <v>118</v>
      </c>
      <c r="D34" s="162" t="s">
        <v>346</v>
      </c>
      <c r="E34" s="162" t="s">
        <v>826</v>
      </c>
      <c r="F34" s="162" t="s">
        <v>826</v>
      </c>
    </row>
    <row r="35" spans="2:6">
      <c r="B35" s="160">
        <v>119</v>
      </c>
      <c r="D35" s="162" t="s">
        <v>514</v>
      </c>
      <c r="E35" s="162" t="s">
        <v>827</v>
      </c>
      <c r="F35" s="162" t="s">
        <v>827</v>
      </c>
    </row>
    <row r="36" spans="2:6">
      <c r="B36" s="160">
        <v>120</v>
      </c>
      <c r="D36" s="162" t="s">
        <v>500</v>
      </c>
      <c r="E36" s="162" t="s">
        <v>828</v>
      </c>
      <c r="F36" s="162" t="s">
        <v>828</v>
      </c>
    </row>
    <row r="37" spans="2:6" ht="24">
      <c r="B37" s="160">
        <v>121</v>
      </c>
      <c r="D37" s="162" t="s">
        <v>31</v>
      </c>
      <c r="E37" s="162" t="s">
        <v>829</v>
      </c>
      <c r="F37" s="162" t="s">
        <v>829</v>
      </c>
    </row>
    <row r="38" spans="2:6">
      <c r="B38" s="160">
        <v>122</v>
      </c>
      <c r="D38" s="162" t="s">
        <v>32</v>
      </c>
      <c r="E38" s="162" t="s">
        <v>830</v>
      </c>
      <c r="F38" s="162" t="s">
        <v>830</v>
      </c>
    </row>
    <row r="39" spans="2:6">
      <c r="B39" s="160">
        <v>123</v>
      </c>
      <c r="D39" s="162" t="s">
        <v>341</v>
      </c>
      <c r="E39" s="162" t="s">
        <v>831</v>
      </c>
      <c r="F39" s="162" t="s">
        <v>831</v>
      </c>
    </row>
    <row r="40" spans="2:6">
      <c r="B40" s="160">
        <v>124</v>
      </c>
      <c r="D40" s="162" t="s">
        <v>33</v>
      </c>
      <c r="E40" s="162" t="s">
        <v>832</v>
      </c>
      <c r="F40" s="162" t="s">
        <v>832</v>
      </c>
    </row>
    <row r="41" spans="2:6" ht="24">
      <c r="B41" s="160">
        <v>125</v>
      </c>
      <c r="D41" s="162" t="s">
        <v>516</v>
      </c>
      <c r="E41" s="162" t="s">
        <v>833</v>
      </c>
      <c r="F41" s="162" t="s">
        <v>833</v>
      </c>
    </row>
    <row r="42" spans="2:6" ht="24">
      <c r="B42" s="160">
        <v>126</v>
      </c>
      <c r="D42" s="162" t="s">
        <v>515</v>
      </c>
      <c r="E42" s="162" t="s">
        <v>834</v>
      </c>
      <c r="F42" s="162" t="s">
        <v>834</v>
      </c>
    </row>
    <row r="43" spans="2:6" ht="24">
      <c r="B43" s="160">
        <v>127</v>
      </c>
      <c r="D43" s="162" t="s">
        <v>34</v>
      </c>
      <c r="E43" s="162" t="s">
        <v>835</v>
      </c>
      <c r="F43" s="162" t="s">
        <v>835</v>
      </c>
    </row>
    <row r="44" spans="2:6" ht="24">
      <c r="B44" s="160">
        <v>128</v>
      </c>
      <c r="D44" s="162" t="s">
        <v>35</v>
      </c>
      <c r="E44" s="162" t="s">
        <v>836</v>
      </c>
      <c r="F44" s="162" t="s">
        <v>836</v>
      </c>
    </row>
    <row r="45" spans="2:6" ht="24">
      <c r="B45" s="160">
        <v>129</v>
      </c>
      <c r="D45" s="162" t="s">
        <v>342</v>
      </c>
      <c r="E45" s="162" t="s">
        <v>837</v>
      </c>
      <c r="F45" s="162" t="s">
        <v>837</v>
      </c>
    </row>
    <row r="46" spans="2:6">
      <c r="B46" s="160">
        <v>130</v>
      </c>
      <c r="D46" s="162" t="s">
        <v>36</v>
      </c>
      <c r="E46" s="162" t="s">
        <v>838</v>
      </c>
      <c r="F46" s="162" t="s">
        <v>838</v>
      </c>
    </row>
    <row r="47" spans="2:6">
      <c r="B47" s="160">
        <v>131</v>
      </c>
      <c r="D47" s="162" t="s">
        <v>347</v>
      </c>
      <c r="E47" s="162" t="s">
        <v>839</v>
      </c>
      <c r="F47" s="162" t="s">
        <v>839</v>
      </c>
    </row>
    <row r="48" spans="2:6">
      <c r="B48" s="160">
        <v>132</v>
      </c>
      <c r="D48" s="162" t="s">
        <v>37</v>
      </c>
      <c r="E48" s="162" t="s">
        <v>840</v>
      </c>
      <c r="F48" s="162" t="s">
        <v>840</v>
      </c>
    </row>
    <row r="49" spans="2:6">
      <c r="B49" s="160">
        <v>133</v>
      </c>
      <c r="D49" s="162" t="s">
        <v>629</v>
      </c>
      <c r="E49" s="162" t="s">
        <v>841</v>
      </c>
      <c r="F49" s="162" t="s">
        <v>841</v>
      </c>
    </row>
    <row r="50" spans="2:6">
      <c r="B50" s="160">
        <v>134</v>
      </c>
      <c r="D50" s="162" t="s">
        <v>628</v>
      </c>
      <c r="E50" s="162" t="s">
        <v>842</v>
      </c>
      <c r="F50" s="162" t="s">
        <v>842</v>
      </c>
    </row>
    <row r="51" spans="2:6">
      <c r="B51" s="160">
        <v>135</v>
      </c>
      <c r="D51" s="163" t="s">
        <v>627</v>
      </c>
      <c r="E51" s="166">
        <v>43435</v>
      </c>
      <c r="F51" s="166">
        <v>43435</v>
      </c>
    </row>
    <row r="52" spans="2:6">
      <c r="B52" s="160">
        <v>136</v>
      </c>
      <c r="D52" s="163" t="s">
        <v>348</v>
      </c>
      <c r="E52" s="166">
        <v>43465</v>
      </c>
      <c r="F52" s="166">
        <v>43465</v>
      </c>
    </row>
    <row r="53" spans="2:6">
      <c r="B53" s="160">
        <v>137</v>
      </c>
      <c r="D53" s="162" t="s">
        <v>38</v>
      </c>
      <c r="E53" s="162" t="s">
        <v>38</v>
      </c>
      <c r="F53" s="162" t="s">
        <v>38</v>
      </c>
    </row>
    <row r="54" spans="2:6">
      <c r="B54" s="160">
        <v>138</v>
      </c>
      <c r="D54" s="162" t="s">
        <v>39</v>
      </c>
      <c r="E54" s="162" t="s">
        <v>843</v>
      </c>
      <c r="F54" s="162" t="s">
        <v>843</v>
      </c>
    </row>
    <row r="55" spans="2:6">
      <c r="B55" s="160">
        <v>139</v>
      </c>
      <c r="C55" s="161" t="s">
        <v>432</v>
      </c>
      <c r="D55" s="162" t="s">
        <v>433</v>
      </c>
      <c r="E55" s="162" t="s">
        <v>844</v>
      </c>
      <c r="F55" s="162" t="s">
        <v>844</v>
      </c>
    </row>
    <row r="56" spans="2:6" ht="24">
      <c r="B56" s="160">
        <v>140</v>
      </c>
      <c r="D56" s="162" t="s">
        <v>40</v>
      </c>
      <c r="E56" s="162" t="s">
        <v>845</v>
      </c>
      <c r="F56" s="162" t="s">
        <v>845</v>
      </c>
    </row>
    <row r="57" spans="2:6" ht="24">
      <c r="B57" s="160">
        <v>141</v>
      </c>
      <c r="D57" s="162" t="s">
        <v>41</v>
      </c>
      <c r="E57" s="162" t="s">
        <v>846</v>
      </c>
      <c r="F57" s="162" t="s">
        <v>846</v>
      </c>
    </row>
    <row r="58" spans="2:6">
      <c r="B58" s="160">
        <v>142</v>
      </c>
      <c r="D58" s="162" t="s">
        <v>496</v>
      </c>
      <c r="E58" s="162" t="s">
        <v>847</v>
      </c>
      <c r="F58" s="162" t="s">
        <v>847</v>
      </c>
    </row>
    <row r="59" spans="2:6">
      <c r="B59" s="160">
        <v>143</v>
      </c>
      <c r="C59" s="161" t="s">
        <v>466</v>
      </c>
      <c r="D59" s="159" t="s">
        <v>349</v>
      </c>
      <c r="E59" s="167" t="s">
        <v>848</v>
      </c>
      <c r="F59" s="167" t="s">
        <v>848</v>
      </c>
    </row>
    <row r="60" spans="2:6">
      <c r="B60" s="160">
        <v>144</v>
      </c>
      <c r="D60" s="162" t="s">
        <v>42</v>
      </c>
      <c r="E60" s="162" t="s">
        <v>849</v>
      </c>
      <c r="F60" s="162" t="s">
        <v>849</v>
      </c>
    </row>
    <row r="61" spans="2:6" ht="24">
      <c r="B61" s="160">
        <v>145</v>
      </c>
      <c r="D61" s="162" t="s">
        <v>43</v>
      </c>
      <c r="E61" s="162" t="s">
        <v>850</v>
      </c>
      <c r="F61" s="162" t="s">
        <v>850</v>
      </c>
    </row>
    <row r="62" spans="2:6">
      <c r="B62" s="160">
        <v>146</v>
      </c>
      <c r="D62" s="162" t="s">
        <v>44</v>
      </c>
      <c r="E62" s="162" t="s">
        <v>851</v>
      </c>
      <c r="F62" s="162" t="s">
        <v>851</v>
      </c>
    </row>
    <row r="63" spans="2:6" ht="24">
      <c r="B63" s="160">
        <v>147</v>
      </c>
      <c r="D63" s="162" t="s">
        <v>45</v>
      </c>
      <c r="E63" s="162" t="s">
        <v>852</v>
      </c>
      <c r="F63" s="162" t="s">
        <v>852</v>
      </c>
    </row>
    <row r="64" spans="2:6">
      <c r="B64" s="160">
        <v>148</v>
      </c>
      <c r="D64" s="162" t="s">
        <v>497</v>
      </c>
      <c r="E64" s="162" t="s">
        <v>853</v>
      </c>
      <c r="F64" s="162" t="s">
        <v>853</v>
      </c>
    </row>
    <row r="65" spans="1:6">
      <c r="B65" s="160">
        <v>149</v>
      </c>
      <c r="D65" s="162" t="s">
        <v>498</v>
      </c>
      <c r="E65" s="162" t="s">
        <v>854</v>
      </c>
      <c r="F65" s="162" t="s">
        <v>854</v>
      </c>
    </row>
    <row r="66" spans="1:6">
      <c r="B66" s="160">
        <v>150</v>
      </c>
      <c r="D66" s="162" t="s">
        <v>46</v>
      </c>
      <c r="E66" s="162" t="s">
        <v>855</v>
      </c>
      <c r="F66" s="162" t="s">
        <v>855</v>
      </c>
    </row>
    <row r="67" spans="1:6">
      <c r="B67" s="160">
        <v>151</v>
      </c>
      <c r="C67" s="161" t="s">
        <v>466</v>
      </c>
      <c r="D67" s="159" t="s">
        <v>350</v>
      </c>
      <c r="E67" s="167" t="s">
        <v>856</v>
      </c>
      <c r="F67" s="167" t="s">
        <v>856</v>
      </c>
    </row>
    <row r="68" spans="1:6">
      <c r="B68" s="160">
        <v>152</v>
      </c>
      <c r="D68" s="162" t="s">
        <v>47</v>
      </c>
      <c r="E68" s="162" t="s">
        <v>857</v>
      </c>
      <c r="F68" s="162" t="s">
        <v>857</v>
      </c>
    </row>
    <row r="69" spans="1:6">
      <c r="B69" s="160">
        <v>153</v>
      </c>
      <c r="D69" s="162" t="s">
        <v>48</v>
      </c>
      <c r="E69" s="162" t="s">
        <v>858</v>
      </c>
      <c r="F69" s="162" t="s">
        <v>858</v>
      </c>
    </row>
    <row r="70" spans="1:6">
      <c r="B70" s="160">
        <v>154</v>
      </c>
      <c r="D70" s="162" t="s">
        <v>49</v>
      </c>
      <c r="E70" s="162" t="s">
        <v>859</v>
      </c>
      <c r="F70" s="162" t="s">
        <v>859</v>
      </c>
    </row>
    <row r="71" spans="1:6" ht="24">
      <c r="B71" s="160">
        <v>155</v>
      </c>
      <c r="D71" s="162" t="s">
        <v>50</v>
      </c>
      <c r="E71" s="162" t="s">
        <v>860</v>
      </c>
      <c r="F71" s="162" t="s">
        <v>860</v>
      </c>
    </row>
    <row r="72" spans="1:6">
      <c r="B72" s="160">
        <v>156</v>
      </c>
      <c r="C72" s="161" t="s">
        <v>466</v>
      </c>
      <c r="D72" s="159" t="s">
        <v>464</v>
      </c>
      <c r="E72" s="167" t="s">
        <v>861</v>
      </c>
      <c r="F72" s="167" t="s">
        <v>861</v>
      </c>
    </row>
    <row r="73" spans="1:6">
      <c r="B73" s="160">
        <v>157</v>
      </c>
      <c r="C73" s="161" t="s">
        <v>466</v>
      </c>
      <c r="D73" s="159" t="s">
        <v>463</v>
      </c>
      <c r="E73" s="167" t="s">
        <v>862</v>
      </c>
      <c r="F73" s="167" t="s">
        <v>862</v>
      </c>
    </row>
    <row r="74" spans="1:6">
      <c r="B74" s="160">
        <v>158</v>
      </c>
      <c r="D74" s="162" t="s">
        <v>351</v>
      </c>
      <c r="E74" s="162" t="s">
        <v>863</v>
      </c>
      <c r="F74" s="162" t="s">
        <v>863</v>
      </c>
    </row>
    <row r="75" spans="1:6">
      <c r="A75" s="168"/>
      <c r="B75" s="160">
        <v>159</v>
      </c>
      <c r="C75" s="165" t="s">
        <v>414</v>
      </c>
      <c r="D75" s="163" t="s">
        <v>434</v>
      </c>
      <c r="E75" s="163" t="s">
        <v>864</v>
      </c>
      <c r="F75" s="163" t="s">
        <v>864</v>
      </c>
    </row>
    <row r="76" spans="1:6">
      <c r="B76" s="160">
        <v>160</v>
      </c>
      <c r="D76" s="162" t="s">
        <v>51</v>
      </c>
      <c r="E76" s="163" t="s">
        <v>865</v>
      </c>
      <c r="F76" s="163" t="s">
        <v>865</v>
      </c>
    </row>
    <row r="77" spans="1:6">
      <c r="B77" s="160">
        <v>161</v>
      </c>
      <c r="D77" s="162" t="s">
        <v>52</v>
      </c>
      <c r="E77" s="163" t="s">
        <v>866</v>
      </c>
      <c r="F77" s="163" t="s">
        <v>866</v>
      </c>
    </row>
    <row r="78" spans="1:6">
      <c r="B78" s="160">
        <v>162</v>
      </c>
      <c r="D78" s="162" t="s">
        <v>510</v>
      </c>
      <c r="E78" s="162" t="s">
        <v>867</v>
      </c>
      <c r="F78" s="162" t="s">
        <v>867</v>
      </c>
    </row>
    <row r="79" spans="1:6">
      <c r="B79" s="160">
        <v>163</v>
      </c>
      <c r="D79" s="162" t="s">
        <v>508</v>
      </c>
      <c r="E79" s="162" t="s">
        <v>868</v>
      </c>
      <c r="F79" s="162" t="s">
        <v>868</v>
      </c>
    </row>
    <row r="80" spans="1:6">
      <c r="B80" s="160">
        <v>164</v>
      </c>
      <c r="D80" s="162" t="s">
        <v>507</v>
      </c>
      <c r="E80" s="162" t="s">
        <v>869</v>
      </c>
      <c r="F80" s="162" t="s">
        <v>869</v>
      </c>
    </row>
    <row r="81" spans="1:6">
      <c r="A81" s="168"/>
      <c r="B81" s="160">
        <v>165</v>
      </c>
      <c r="C81" s="165" t="s">
        <v>414</v>
      </c>
      <c r="D81" s="163" t="s">
        <v>435</v>
      </c>
      <c r="E81" s="163" t="s">
        <v>870</v>
      </c>
      <c r="F81" s="163" t="s">
        <v>870</v>
      </c>
    </row>
    <row r="82" spans="1:6">
      <c r="A82" s="168"/>
      <c r="B82" s="160">
        <v>166</v>
      </c>
      <c r="C82" s="165" t="s">
        <v>414</v>
      </c>
      <c r="D82" s="163" t="s">
        <v>436</v>
      </c>
      <c r="E82" s="163" t="s">
        <v>871</v>
      </c>
      <c r="F82" s="163" t="s">
        <v>871</v>
      </c>
    </row>
    <row r="83" spans="1:6">
      <c r="A83" s="168"/>
      <c r="B83" s="160">
        <v>167</v>
      </c>
      <c r="C83" s="165" t="s">
        <v>414</v>
      </c>
      <c r="D83" s="163" t="s">
        <v>437</v>
      </c>
      <c r="E83" s="163" t="s">
        <v>872</v>
      </c>
      <c r="F83" s="163" t="s">
        <v>872</v>
      </c>
    </row>
    <row r="84" spans="1:6">
      <c r="A84" s="168"/>
      <c r="B84" s="160">
        <v>168</v>
      </c>
      <c r="C84" s="165" t="s">
        <v>414</v>
      </c>
      <c r="D84" s="163" t="s">
        <v>422</v>
      </c>
      <c r="E84" s="163" t="s">
        <v>873</v>
      </c>
      <c r="F84" s="163" t="s">
        <v>873</v>
      </c>
    </row>
    <row r="85" spans="1:6">
      <c r="B85" s="160">
        <v>169</v>
      </c>
      <c r="D85" s="162" t="s">
        <v>53</v>
      </c>
      <c r="E85" s="162" t="s">
        <v>874</v>
      </c>
      <c r="F85" s="162" t="s">
        <v>874</v>
      </c>
    </row>
    <row r="86" spans="1:6">
      <c r="B86" s="160">
        <v>170</v>
      </c>
      <c r="D86" s="162" t="s">
        <v>54</v>
      </c>
      <c r="E86" s="162" t="s">
        <v>875</v>
      </c>
      <c r="F86" s="162" t="s">
        <v>875</v>
      </c>
    </row>
    <row r="87" spans="1:6">
      <c r="B87" s="160">
        <v>171</v>
      </c>
      <c r="D87" s="162" t="s">
        <v>438</v>
      </c>
      <c r="E87" s="162" t="s">
        <v>876</v>
      </c>
      <c r="F87" s="162" t="s">
        <v>876</v>
      </c>
    </row>
    <row r="88" spans="1:6">
      <c r="B88" s="160">
        <v>172</v>
      </c>
      <c r="D88" s="162" t="s">
        <v>55</v>
      </c>
      <c r="E88" s="162" t="s">
        <v>877</v>
      </c>
      <c r="F88" s="162" t="s">
        <v>877</v>
      </c>
    </row>
    <row r="89" spans="1:6">
      <c r="B89" s="160">
        <v>173</v>
      </c>
      <c r="D89" s="162" t="s">
        <v>56</v>
      </c>
      <c r="E89" s="162" t="s">
        <v>878</v>
      </c>
      <c r="F89" s="162" t="s">
        <v>878</v>
      </c>
    </row>
    <row r="90" spans="1:6">
      <c r="B90" s="160">
        <v>174</v>
      </c>
      <c r="D90" s="162" t="s">
        <v>57</v>
      </c>
      <c r="E90" s="162" t="s">
        <v>879</v>
      </c>
      <c r="F90" s="162" t="s">
        <v>879</v>
      </c>
    </row>
    <row r="91" spans="1:6">
      <c r="B91" s="160">
        <v>175</v>
      </c>
      <c r="D91" s="162" t="s">
        <v>58</v>
      </c>
      <c r="E91" s="162" t="s">
        <v>880</v>
      </c>
      <c r="F91" s="162" t="s">
        <v>880</v>
      </c>
    </row>
    <row r="92" spans="1:6" ht="24">
      <c r="B92" s="160">
        <v>176</v>
      </c>
      <c r="D92" s="162" t="s">
        <v>59</v>
      </c>
      <c r="E92" s="162" t="s">
        <v>881</v>
      </c>
      <c r="F92" s="162" t="s">
        <v>881</v>
      </c>
    </row>
    <row r="93" spans="1:6">
      <c r="B93" s="160">
        <v>177</v>
      </c>
      <c r="D93" s="162" t="s">
        <v>60</v>
      </c>
      <c r="E93" s="162" t="s">
        <v>882</v>
      </c>
      <c r="F93" s="162" t="s">
        <v>882</v>
      </c>
    </row>
    <row r="94" spans="1:6">
      <c r="B94" s="160">
        <v>178</v>
      </c>
      <c r="D94" s="162" t="s">
        <v>61</v>
      </c>
      <c r="E94" s="162" t="s">
        <v>883</v>
      </c>
      <c r="F94" s="162" t="s">
        <v>883</v>
      </c>
    </row>
    <row r="95" spans="1:6">
      <c r="B95" s="160">
        <v>179</v>
      </c>
      <c r="D95" s="162" t="s">
        <v>62</v>
      </c>
      <c r="E95" s="162" t="s">
        <v>884</v>
      </c>
      <c r="F95" s="162" t="s">
        <v>884</v>
      </c>
    </row>
    <row r="96" spans="1:6">
      <c r="B96" s="160">
        <v>180</v>
      </c>
      <c r="D96" s="162" t="s">
        <v>352</v>
      </c>
      <c r="E96" s="162" t="s">
        <v>885</v>
      </c>
      <c r="F96" s="162" t="s">
        <v>885</v>
      </c>
    </row>
    <row r="97" spans="2:6">
      <c r="B97" s="160">
        <v>181</v>
      </c>
      <c r="C97" s="161" t="s">
        <v>543</v>
      </c>
      <c r="D97" s="162" t="s">
        <v>564</v>
      </c>
      <c r="E97" s="162" t="s">
        <v>886</v>
      </c>
      <c r="F97" s="162" t="s">
        <v>886</v>
      </c>
    </row>
    <row r="98" spans="2:6" ht="36">
      <c r="B98" s="160">
        <v>182</v>
      </c>
      <c r="C98" s="161" t="s">
        <v>543</v>
      </c>
      <c r="D98" s="162" t="s">
        <v>584</v>
      </c>
      <c r="E98" s="162" t="s">
        <v>887</v>
      </c>
      <c r="F98" s="162" t="s">
        <v>887</v>
      </c>
    </row>
    <row r="99" spans="2:6">
      <c r="B99" s="160">
        <v>183</v>
      </c>
      <c r="D99" s="162" t="s">
        <v>63</v>
      </c>
      <c r="E99" s="162" t="s">
        <v>888</v>
      </c>
      <c r="F99" s="162" t="s">
        <v>888</v>
      </c>
    </row>
    <row r="100" spans="2:6">
      <c r="B100" s="160">
        <v>184</v>
      </c>
      <c r="D100" s="162" t="s">
        <v>617</v>
      </c>
      <c r="E100" s="162" t="s">
        <v>889</v>
      </c>
      <c r="F100" s="162" t="s">
        <v>889</v>
      </c>
    </row>
    <row r="101" spans="2:6">
      <c r="B101" s="160">
        <v>185</v>
      </c>
      <c r="D101" s="162" t="s">
        <v>64</v>
      </c>
      <c r="E101" s="162" t="s">
        <v>890</v>
      </c>
      <c r="F101" s="162" t="s">
        <v>890</v>
      </c>
    </row>
    <row r="102" spans="2:6" ht="24">
      <c r="B102" s="160">
        <v>186</v>
      </c>
      <c r="D102" s="162" t="s">
        <v>65</v>
      </c>
      <c r="E102" s="162" t="s">
        <v>891</v>
      </c>
      <c r="F102" s="162" t="s">
        <v>891</v>
      </c>
    </row>
    <row r="103" spans="2:6" ht="24">
      <c r="B103" s="160">
        <v>187</v>
      </c>
      <c r="D103" s="162" t="s">
        <v>66</v>
      </c>
      <c r="E103" s="162" t="s">
        <v>892</v>
      </c>
      <c r="F103" s="162" t="s">
        <v>892</v>
      </c>
    </row>
    <row r="104" spans="2:6" ht="24">
      <c r="B104" s="160">
        <v>188</v>
      </c>
      <c r="D104" s="162" t="s">
        <v>67</v>
      </c>
      <c r="E104" s="162" t="s">
        <v>893</v>
      </c>
      <c r="F104" s="162" t="s">
        <v>893</v>
      </c>
    </row>
    <row r="105" spans="2:6">
      <c r="B105" s="160">
        <v>189</v>
      </c>
      <c r="D105" s="162" t="s">
        <v>68</v>
      </c>
      <c r="E105" s="162" t="s">
        <v>894</v>
      </c>
      <c r="F105" s="162" t="s">
        <v>894</v>
      </c>
    </row>
    <row r="106" spans="2:6">
      <c r="B106" s="160">
        <v>190</v>
      </c>
      <c r="C106" s="161" t="s">
        <v>543</v>
      </c>
      <c r="D106" s="162" t="s">
        <v>562</v>
      </c>
      <c r="E106" s="162" t="s">
        <v>895</v>
      </c>
      <c r="F106" s="162" t="s">
        <v>895</v>
      </c>
    </row>
    <row r="107" spans="2:6">
      <c r="B107" s="160">
        <v>191</v>
      </c>
      <c r="D107" s="162" t="s">
        <v>590</v>
      </c>
      <c r="E107" s="162" t="s">
        <v>896</v>
      </c>
      <c r="F107" s="162" t="s">
        <v>896</v>
      </c>
    </row>
    <row r="108" spans="2:6">
      <c r="B108" s="160">
        <v>192</v>
      </c>
      <c r="D108" s="162" t="s">
        <v>456</v>
      </c>
      <c r="E108" s="162" t="s">
        <v>897</v>
      </c>
      <c r="F108" s="162" t="s">
        <v>897</v>
      </c>
    </row>
    <row r="109" spans="2:6">
      <c r="B109" s="160">
        <v>193</v>
      </c>
      <c r="D109" s="162" t="s">
        <v>457</v>
      </c>
      <c r="E109" s="162" t="s">
        <v>898</v>
      </c>
      <c r="F109" s="162" t="s">
        <v>898</v>
      </c>
    </row>
    <row r="110" spans="2:6">
      <c r="B110" s="160">
        <v>194</v>
      </c>
      <c r="D110" s="162" t="s">
        <v>69</v>
      </c>
      <c r="E110" s="162" t="s">
        <v>899</v>
      </c>
      <c r="F110" s="162" t="s">
        <v>899</v>
      </c>
    </row>
    <row r="111" spans="2:6">
      <c r="B111" s="160">
        <v>195</v>
      </c>
      <c r="D111" s="162" t="s">
        <v>70</v>
      </c>
      <c r="E111" s="162" t="s">
        <v>900</v>
      </c>
      <c r="F111" s="162" t="s">
        <v>900</v>
      </c>
    </row>
    <row r="112" spans="2:6">
      <c r="B112" s="160">
        <v>196</v>
      </c>
      <c r="D112" s="162" t="s">
        <v>353</v>
      </c>
      <c r="E112" s="162" t="s">
        <v>901</v>
      </c>
      <c r="F112" s="162" t="s">
        <v>901</v>
      </c>
    </row>
    <row r="113" spans="2:6" ht="24">
      <c r="B113" s="160">
        <v>197</v>
      </c>
      <c r="D113" s="162" t="s">
        <v>354</v>
      </c>
      <c r="E113" s="162" t="s">
        <v>902</v>
      </c>
      <c r="F113" s="162" t="s">
        <v>902</v>
      </c>
    </row>
    <row r="114" spans="2:6" ht="24">
      <c r="B114" s="160">
        <v>198</v>
      </c>
      <c r="D114" s="162" t="s">
        <v>71</v>
      </c>
      <c r="E114" s="162" t="s">
        <v>903</v>
      </c>
      <c r="F114" s="162" t="s">
        <v>903</v>
      </c>
    </row>
    <row r="115" spans="2:6">
      <c r="B115" s="160">
        <v>199</v>
      </c>
      <c r="D115" s="162" t="s">
        <v>619</v>
      </c>
      <c r="E115" s="162" t="s">
        <v>904</v>
      </c>
      <c r="F115" s="162" t="s">
        <v>904</v>
      </c>
    </row>
    <row r="116" spans="2:6">
      <c r="B116" s="160">
        <v>200</v>
      </c>
      <c r="D116" s="162" t="s">
        <v>72</v>
      </c>
      <c r="E116" s="162" t="s">
        <v>73</v>
      </c>
      <c r="F116" s="162" t="s">
        <v>73</v>
      </c>
    </row>
    <row r="117" spans="2:6">
      <c r="B117" s="160">
        <v>201</v>
      </c>
      <c r="D117" s="162" t="s">
        <v>613</v>
      </c>
      <c r="E117" s="162" t="s">
        <v>905</v>
      </c>
      <c r="F117" s="162" t="s">
        <v>905</v>
      </c>
    </row>
    <row r="118" spans="2:6">
      <c r="B118" s="160">
        <v>202</v>
      </c>
      <c r="D118" s="162" t="s">
        <v>355</v>
      </c>
      <c r="E118" s="162" t="s">
        <v>906</v>
      </c>
      <c r="F118" s="162" t="s">
        <v>906</v>
      </c>
    </row>
    <row r="119" spans="2:6">
      <c r="B119" s="160">
        <v>203</v>
      </c>
      <c r="D119" s="162" t="s">
        <v>356</v>
      </c>
      <c r="E119" s="162" t="s">
        <v>907</v>
      </c>
      <c r="F119" s="162" t="s">
        <v>907</v>
      </c>
    </row>
    <row r="120" spans="2:6">
      <c r="B120" s="160">
        <v>204</v>
      </c>
      <c r="D120" s="162" t="s">
        <v>357</v>
      </c>
      <c r="E120" s="162" t="s">
        <v>908</v>
      </c>
      <c r="F120" s="162" t="s">
        <v>908</v>
      </c>
    </row>
    <row r="121" spans="2:6">
      <c r="B121" s="160">
        <v>205</v>
      </c>
      <c r="D121" s="162" t="s">
        <v>604</v>
      </c>
      <c r="E121" s="162" t="s">
        <v>909</v>
      </c>
      <c r="F121" s="162" t="s">
        <v>909</v>
      </c>
    </row>
    <row r="122" spans="2:6">
      <c r="B122" s="160">
        <v>206</v>
      </c>
      <c r="D122" s="162" t="s">
        <v>597</v>
      </c>
      <c r="E122" s="162" t="s">
        <v>910</v>
      </c>
      <c r="F122" s="162" t="s">
        <v>910</v>
      </c>
    </row>
    <row r="123" spans="2:6">
      <c r="B123" s="160">
        <v>207</v>
      </c>
      <c r="D123" s="162" t="s">
        <v>74</v>
      </c>
      <c r="E123" s="162" t="s">
        <v>911</v>
      </c>
      <c r="F123" s="162" t="s">
        <v>911</v>
      </c>
    </row>
    <row r="124" spans="2:6" ht="24">
      <c r="B124" s="160">
        <v>208</v>
      </c>
      <c r="D124" s="162" t="s">
        <v>75</v>
      </c>
      <c r="E124" s="162" t="s">
        <v>912</v>
      </c>
      <c r="F124" s="162" t="s">
        <v>912</v>
      </c>
    </row>
    <row r="125" spans="2:6" ht="24">
      <c r="B125" s="160">
        <v>209</v>
      </c>
      <c r="D125" s="162" t="s">
        <v>76</v>
      </c>
      <c r="E125" s="162" t="s">
        <v>913</v>
      </c>
      <c r="F125" s="162" t="s">
        <v>913</v>
      </c>
    </row>
    <row r="126" spans="2:6">
      <c r="B126" s="160">
        <v>210</v>
      </c>
      <c r="D126" s="162" t="s">
        <v>458</v>
      </c>
      <c r="E126" s="162" t="s">
        <v>914</v>
      </c>
      <c r="F126" s="162" t="s">
        <v>914</v>
      </c>
    </row>
    <row r="127" spans="2:6">
      <c r="B127" s="160">
        <v>211</v>
      </c>
      <c r="D127" s="162" t="s">
        <v>77</v>
      </c>
      <c r="E127" s="162" t="s">
        <v>77</v>
      </c>
      <c r="F127" s="162" t="s">
        <v>77</v>
      </c>
    </row>
    <row r="128" spans="2:6">
      <c r="B128" s="160">
        <v>212</v>
      </c>
      <c r="D128" s="162" t="s">
        <v>78</v>
      </c>
      <c r="E128" s="162" t="s">
        <v>915</v>
      </c>
      <c r="F128" s="162" t="s">
        <v>915</v>
      </c>
    </row>
    <row r="129" spans="2:6">
      <c r="B129" s="160">
        <v>213</v>
      </c>
      <c r="D129" s="162" t="s">
        <v>79</v>
      </c>
      <c r="E129" s="162" t="s">
        <v>916</v>
      </c>
      <c r="F129" s="162" t="s">
        <v>916</v>
      </c>
    </row>
    <row r="130" spans="2:6">
      <c r="B130" s="160">
        <v>214</v>
      </c>
      <c r="D130" s="162" t="s">
        <v>80</v>
      </c>
      <c r="E130" s="162" t="s">
        <v>917</v>
      </c>
      <c r="F130" s="162" t="s">
        <v>917</v>
      </c>
    </row>
    <row r="131" spans="2:6">
      <c r="B131" s="160">
        <v>215</v>
      </c>
      <c r="D131" s="162" t="s">
        <v>358</v>
      </c>
      <c r="E131" s="162" t="s">
        <v>918</v>
      </c>
      <c r="F131" s="162" t="s">
        <v>918</v>
      </c>
    </row>
    <row r="132" spans="2:6">
      <c r="B132" s="160">
        <v>216</v>
      </c>
      <c r="D132" s="162" t="s">
        <v>81</v>
      </c>
      <c r="E132" s="162" t="s">
        <v>919</v>
      </c>
      <c r="F132" s="162" t="s">
        <v>919</v>
      </c>
    </row>
    <row r="133" spans="2:6">
      <c r="B133" s="160">
        <v>217</v>
      </c>
      <c r="D133" s="162" t="s">
        <v>359</v>
      </c>
      <c r="E133" s="162" t="s">
        <v>920</v>
      </c>
      <c r="F133" s="162" t="s">
        <v>920</v>
      </c>
    </row>
    <row r="134" spans="2:6">
      <c r="B134" s="160">
        <v>218</v>
      </c>
      <c r="D134" s="162" t="s">
        <v>82</v>
      </c>
      <c r="E134" s="162" t="s">
        <v>921</v>
      </c>
      <c r="F134" s="162" t="s">
        <v>921</v>
      </c>
    </row>
    <row r="135" spans="2:6">
      <c r="B135" s="160">
        <v>219</v>
      </c>
      <c r="D135" s="162" t="s">
        <v>83</v>
      </c>
      <c r="E135" s="162" t="s">
        <v>922</v>
      </c>
      <c r="F135" s="162" t="s">
        <v>922</v>
      </c>
    </row>
    <row r="136" spans="2:6">
      <c r="B136" s="160">
        <v>220</v>
      </c>
      <c r="D136" s="162" t="s">
        <v>84</v>
      </c>
      <c r="E136" s="162" t="s">
        <v>923</v>
      </c>
      <c r="F136" s="162" t="s">
        <v>923</v>
      </c>
    </row>
    <row r="137" spans="2:6">
      <c r="B137" s="160">
        <v>221</v>
      </c>
      <c r="D137" s="162" t="s">
        <v>360</v>
      </c>
      <c r="E137" s="162" t="s">
        <v>924</v>
      </c>
      <c r="F137" s="162" t="s">
        <v>924</v>
      </c>
    </row>
    <row r="138" spans="2:6">
      <c r="B138" s="160">
        <v>222</v>
      </c>
      <c r="D138" s="162" t="s">
        <v>85</v>
      </c>
      <c r="E138" s="162" t="s">
        <v>925</v>
      </c>
      <c r="F138" s="162" t="s">
        <v>925</v>
      </c>
    </row>
    <row r="139" spans="2:6">
      <c r="B139" s="160">
        <v>223</v>
      </c>
      <c r="D139" s="162" t="s">
        <v>86</v>
      </c>
      <c r="E139" s="162" t="s">
        <v>926</v>
      </c>
      <c r="F139" s="162" t="s">
        <v>926</v>
      </c>
    </row>
    <row r="140" spans="2:6">
      <c r="B140" s="160">
        <v>224</v>
      </c>
      <c r="C140" s="161" t="s">
        <v>466</v>
      </c>
      <c r="D140" s="162" t="s">
        <v>475</v>
      </c>
      <c r="E140" s="162" t="s">
        <v>927</v>
      </c>
      <c r="F140" s="162" t="s">
        <v>927</v>
      </c>
    </row>
    <row r="141" spans="2:6">
      <c r="B141" s="160">
        <v>225</v>
      </c>
      <c r="D141" s="162" t="s">
        <v>87</v>
      </c>
      <c r="E141" s="162" t="s">
        <v>928</v>
      </c>
      <c r="F141" s="162" t="s">
        <v>928</v>
      </c>
    </row>
    <row r="142" spans="2:6">
      <c r="B142" s="160">
        <v>226</v>
      </c>
      <c r="D142" s="162" t="s">
        <v>586</v>
      </c>
      <c r="E142" s="162" t="s">
        <v>929</v>
      </c>
      <c r="F142" s="162" t="s">
        <v>929</v>
      </c>
    </row>
    <row r="143" spans="2:6">
      <c r="B143" s="160">
        <v>227</v>
      </c>
      <c r="D143" s="162" t="s">
        <v>361</v>
      </c>
      <c r="E143" s="162" t="s">
        <v>930</v>
      </c>
      <c r="F143" s="162" t="s">
        <v>930</v>
      </c>
    </row>
    <row r="144" spans="2:6">
      <c r="B144" s="160">
        <v>228</v>
      </c>
      <c r="D144" s="162" t="s">
        <v>362</v>
      </c>
      <c r="E144" s="162" t="s">
        <v>931</v>
      </c>
      <c r="F144" s="162" t="s">
        <v>931</v>
      </c>
    </row>
    <row r="145" spans="2:6">
      <c r="B145" s="160">
        <v>229</v>
      </c>
      <c r="D145" s="162" t="s">
        <v>540</v>
      </c>
      <c r="E145" s="162" t="s">
        <v>932</v>
      </c>
      <c r="F145" s="162" t="s">
        <v>932</v>
      </c>
    </row>
    <row r="146" spans="2:6">
      <c r="B146" s="160">
        <v>230</v>
      </c>
      <c r="D146" s="162" t="s">
        <v>539</v>
      </c>
      <c r="E146" s="162" t="s">
        <v>933</v>
      </c>
      <c r="F146" s="162" t="s">
        <v>933</v>
      </c>
    </row>
    <row r="147" spans="2:6">
      <c r="B147" s="160">
        <v>231</v>
      </c>
      <c r="D147" s="162" t="s">
        <v>363</v>
      </c>
      <c r="E147" s="162" t="s">
        <v>934</v>
      </c>
      <c r="F147" s="162" t="s">
        <v>934</v>
      </c>
    </row>
    <row r="148" spans="2:6">
      <c r="B148" s="160">
        <v>232</v>
      </c>
      <c r="D148" s="162" t="s">
        <v>601</v>
      </c>
      <c r="E148" s="162" t="s">
        <v>935</v>
      </c>
      <c r="F148" s="162" t="s">
        <v>935</v>
      </c>
    </row>
    <row r="149" spans="2:6">
      <c r="B149" s="160">
        <v>233</v>
      </c>
      <c r="D149" s="162" t="s">
        <v>364</v>
      </c>
      <c r="E149" s="162" t="s">
        <v>936</v>
      </c>
      <c r="F149" s="162" t="s">
        <v>936</v>
      </c>
    </row>
    <row r="150" spans="2:6">
      <c r="B150" s="160">
        <v>234</v>
      </c>
      <c r="D150" s="162" t="s">
        <v>365</v>
      </c>
      <c r="E150" s="162" t="s">
        <v>937</v>
      </c>
      <c r="F150" s="162" t="s">
        <v>937</v>
      </c>
    </row>
    <row r="151" spans="2:6">
      <c r="B151" s="160">
        <v>235</v>
      </c>
      <c r="D151" s="162" t="s">
        <v>88</v>
      </c>
      <c r="E151" s="162" t="s">
        <v>938</v>
      </c>
      <c r="F151" s="162" t="s">
        <v>938</v>
      </c>
    </row>
    <row r="152" spans="2:6">
      <c r="B152" s="160">
        <v>236</v>
      </c>
      <c r="D152" s="162" t="s">
        <v>366</v>
      </c>
      <c r="E152" s="162" t="s">
        <v>939</v>
      </c>
      <c r="F152" s="162" t="s">
        <v>939</v>
      </c>
    </row>
    <row r="153" spans="2:6">
      <c r="B153" s="160">
        <v>237</v>
      </c>
      <c r="D153" s="162" t="s">
        <v>598</v>
      </c>
      <c r="E153" s="162" t="s">
        <v>940</v>
      </c>
      <c r="F153" s="162" t="s">
        <v>940</v>
      </c>
    </row>
    <row r="154" spans="2:6">
      <c r="B154" s="160">
        <v>238</v>
      </c>
      <c r="D154" s="162" t="s">
        <v>89</v>
      </c>
      <c r="E154" s="162" t="s">
        <v>941</v>
      </c>
      <c r="F154" s="162" t="s">
        <v>941</v>
      </c>
    </row>
    <row r="155" spans="2:6">
      <c r="B155" s="160">
        <v>239</v>
      </c>
      <c r="D155" s="162" t="s">
        <v>90</v>
      </c>
      <c r="E155" s="162" t="s">
        <v>942</v>
      </c>
      <c r="F155" s="162" t="s">
        <v>942</v>
      </c>
    </row>
    <row r="156" spans="2:6">
      <c r="B156" s="160">
        <v>240</v>
      </c>
      <c r="D156" s="162" t="s">
        <v>91</v>
      </c>
      <c r="E156" s="162" t="s">
        <v>943</v>
      </c>
      <c r="F156" s="162" t="s">
        <v>943</v>
      </c>
    </row>
    <row r="157" spans="2:6">
      <c r="B157" s="160">
        <v>241</v>
      </c>
      <c r="D157" s="162" t="s">
        <v>367</v>
      </c>
      <c r="E157" s="162" t="s">
        <v>944</v>
      </c>
      <c r="F157" s="162" t="s">
        <v>944</v>
      </c>
    </row>
    <row r="158" spans="2:6">
      <c r="B158" s="160">
        <v>242</v>
      </c>
      <c r="D158" s="162" t="s">
        <v>368</v>
      </c>
      <c r="E158" s="162" t="s">
        <v>945</v>
      </c>
      <c r="F158" s="162" t="s">
        <v>945</v>
      </c>
    </row>
    <row r="159" spans="2:6">
      <c r="B159" s="160">
        <v>243</v>
      </c>
      <c r="D159" s="162" t="s">
        <v>587</v>
      </c>
      <c r="E159" s="162" t="s">
        <v>946</v>
      </c>
      <c r="F159" s="162" t="s">
        <v>946</v>
      </c>
    </row>
    <row r="160" spans="2:6">
      <c r="B160" s="160">
        <v>244</v>
      </c>
      <c r="D160" s="162" t="s">
        <v>643</v>
      </c>
      <c r="E160" s="162" t="s">
        <v>947</v>
      </c>
      <c r="F160" s="162" t="s">
        <v>947</v>
      </c>
    </row>
    <row r="161" spans="2:6">
      <c r="B161" s="160">
        <v>245</v>
      </c>
      <c r="D161" s="162" t="s">
        <v>644</v>
      </c>
      <c r="E161" s="162" t="s">
        <v>948</v>
      </c>
      <c r="F161" s="162" t="s">
        <v>948</v>
      </c>
    </row>
    <row r="162" spans="2:6">
      <c r="B162" s="160">
        <v>246</v>
      </c>
      <c r="D162" s="162" t="s">
        <v>369</v>
      </c>
      <c r="E162" s="162" t="s">
        <v>949</v>
      </c>
      <c r="F162" s="162" t="s">
        <v>949</v>
      </c>
    </row>
    <row r="163" spans="2:6">
      <c r="B163" s="160">
        <v>247</v>
      </c>
      <c r="D163" s="162" t="s">
        <v>589</v>
      </c>
      <c r="E163" s="162" t="s">
        <v>950</v>
      </c>
      <c r="F163" s="162" t="s">
        <v>950</v>
      </c>
    </row>
    <row r="164" spans="2:6">
      <c r="B164" s="160">
        <v>248</v>
      </c>
      <c r="D164" s="162" t="s">
        <v>370</v>
      </c>
      <c r="E164" s="162" t="s">
        <v>951</v>
      </c>
      <c r="F164" s="162" t="s">
        <v>951</v>
      </c>
    </row>
    <row r="165" spans="2:6">
      <c r="B165" s="160">
        <v>249</v>
      </c>
      <c r="D165" s="162" t="s">
        <v>371</v>
      </c>
      <c r="E165" s="162" t="s">
        <v>952</v>
      </c>
      <c r="F165" s="162" t="s">
        <v>952</v>
      </c>
    </row>
    <row r="166" spans="2:6">
      <c r="B166" s="160">
        <v>250</v>
      </c>
      <c r="D166" s="162" t="s">
        <v>92</v>
      </c>
      <c r="E166" s="162" t="s">
        <v>953</v>
      </c>
      <c r="F166" s="162" t="s">
        <v>953</v>
      </c>
    </row>
    <row r="167" spans="2:6">
      <c r="B167" s="160">
        <v>251</v>
      </c>
      <c r="D167" s="162" t="s">
        <v>93</v>
      </c>
      <c r="E167" s="162" t="s">
        <v>954</v>
      </c>
      <c r="F167" s="162" t="s">
        <v>954</v>
      </c>
    </row>
    <row r="168" spans="2:6">
      <c r="B168" s="160">
        <v>252</v>
      </c>
      <c r="D168" s="162" t="s">
        <v>588</v>
      </c>
      <c r="E168" s="162" t="s">
        <v>955</v>
      </c>
      <c r="F168" s="162" t="s">
        <v>955</v>
      </c>
    </row>
    <row r="169" spans="2:6">
      <c r="B169" s="160">
        <v>253</v>
      </c>
      <c r="D169" s="162" t="s">
        <v>653</v>
      </c>
      <c r="E169" s="162" t="s">
        <v>956</v>
      </c>
      <c r="F169" s="162" t="s">
        <v>956</v>
      </c>
    </row>
    <row r="170" spans="2:6">
      <c r="B170" s="160">
        <v>254</v>
      </c>
      <c r="D170" s="162" t="s">
        <v>94</v>
      </c>
      <c r="E170" s="162" t="s">
        <v>957</v>
      </c>
      <c r="F170" s="162" t="s">
        <v>957</v>
      </c>
    </row>
    <row r="171" spans="2:6">
      <c r="B171" s="160">
        <v>255</v>
      </c>
      <c r="C171" s="161" t="s">
        <v>466</v>
      </c>
      <c r="D171" s="162" t="s">
        <v>472</v>
      </c>
      <c r="E171" s="162" t="s">
        <v>958</v>
      </c>
      <c r="F171" s="162" t="s">
        <v>958</v>
      </c>
    </row>
    <row r="172" spans="2:6">
      <c r="B172" s="160">
        <v>256</v>
      </c>
      <c r="D172" s="162" t="s">
        <v>95</v>
      </c>
      <c r="E172" s="162" t="s">
        <v>959</v>
      </c>
      <c r="F172" s="162" t="s">
        <v>959</v>
      </c>
    </row>
    <row r="173" spans="2:6">
      <c r="B173" s="160">
        <v>257</v>
      </c>
      <c r="D173" s="162" t="s">
        <v>372</v>
      </c>
      <c r="E173" s="162" t="s">
        <v>960</v>
      </c>
      <c r="F173" s="162" t="s">
        <v>960</v>
      </c>
    </row>
    <row r="174" spans="2:6">
      <c r="B174" s="160">
        <v>258</v>
      </c>
      <c r="D174" s="162" t="s">
        <v>373</v>
      </c>
      <c r="E174" s="162" t="s">
        <v>961</v>
      </c>
      <c r="F174" s="162" t="s">
        <v>961</v>
      </c>
    </row>
    <row r="175" spans="2:6">
      <c r="B175" s="160">
        <v>259</v>
      </c>
      <c r="D175" s="162" t="s">
        <v>374</v>
      </c>
      <c r="E175" s="162" t="s">
        <v>962</v>
      </c>
      <c r="F175" s="162" t="s">
        <v>962</v>
      </c>
    </row>
    <row r="176" spans="2:6">
      <c r="B176" s="160">
        <v>260</v>
      </c>
      <c r="D176" s="162" t="s">
        <v>518</v>
      </c>
      <c r="E176" s="162" t="s">
        <v>963</v>
      </c>
      <c r="F176" s="162" t="s">
        <v>963</v>
      </c>
    </row>
    <row r="177" spans="2:6">
      <c r="B177" s="160">
        <v>261</v>
      </c>
      <c r="D177" s="162" t="s">
        <v>520</v>
      </c>
      <c r="E177" s="162" t="s">
        <v>964</v>
      </c>
      <c r="F177" s="162" t="s">
        <v>964</v>
      </c>
    </row>
    <row r="178" spans="2:6" ht="24">
      <c r="B178" s="160">
        <v>262</v>
      </c>
      <c r="D178" s="162" t="s">
        <v>521</v>
      </c>
      <c r="E178" s="162" t="s">
        <v>965</v>
      </c>
      <c r="F178" s="162" t="s">
        <v>965</v>
      </c>
    </row>
    <row r="179" spans="2:6" ht="24">
      <c r="B179" s="160">
        <v>263</v>
      </c>
      <c r="D179" s="162" t="s">
        <v>542</v>
      </c>
      <c r="E179" s="162" t="s">
        <v>966</v>
      </c>
      <c r="F179" s="162" t="s">
        <v>966</v>
      </c>
    </row>
    <row r="180" spans="2:6">
      <c r="B180" s="160">
        <v>264</v>
      </c>
      <c r="D180" s="162" t="s">
        <v>519</v>
      </c>
      <c r="E180" s="162" t="s">
        <v>967</v>
      </c>
      <c r="F180" s="162" t="s">
        <v>967</v>
      </c>
    </row>
    <row r="181" spans="2:6">
      <c r="B181" s="160">
        <v>265</v>
      </c>
      <c r="D181" s="162" t="s">
        <v>523</v>
      </c>
      <c r="E181" s="162" t="s">
        <v>968</v>
      </c>
      <c r="F181" s="162" t="s">
        <v>968</v>
      </c>
    </row>
    <row r="182" spans="2:6">
      <c r="B182" s="160">
        <v>266</v>
      </c>
      <c r="D182" s="162" t="s">
        <v>517</v>
      </c>
      <c r="E182" s="162" t="s">
        <v>969</v>
      </c>
      <c r="F182" s="162" t="s">
        <v>969</v>
      </c>
    </row>
    <row r="183" spans="2:6">
      <c r="B183" s="160">
        <v>267</v>
      </c>
      <c r="D183" s="162" t="s">
        <v>96</v>
      </c>
      <c r="E183" s="162" t="s">
        <v>970</v>
      </c>
      <c r="F183" s="162" t="s">
        <v>970</v>
      </c>
    </row>
    <row r="184" spans="2:6">
      <c r="B184" s="160">
        <v>268</v>
      </c>
      <c r="D184" s="162" t="s">
        <v>608</v>
      </c>
      <c r="E184" s="162" t="s">
        <v>971</v>
      </c>
      <c r="F184" s="162" t="s">
        <v>971</v>
      </c>
    </row>
    <row r="185" spans="2:6">
      <c r="B185" s="160">
        <v>269</v>
      </c>
      <c r="D185" s="162" t="s">
        <v>97</v>
      </c>
      <c r="E185" s="162" t="s">
        <v>972</v>
      </c>
      <c r="F185" s="162" t="s">
        <v>972</v>
      </c>
    </row>
    <row r="186" spans="2:6">
      <c r="B186" s="160">
        <v>270</v>
      </c>
      <c r="D186" s="162" t="s">
        <v>375</v>
      </c>
      <c r="E186" s="162" t="s">
        <v>973</v>
      </c>
      <c r="F186" s="162" t="s">
        <v>973</v>
      </c>
    </row>
    <row r="187" spans="2:6" ht="24">
      <c r="B187" s="160">
        <v>271</v>
      </c>
      <c r="D187" s="162" t="s">
        <v>98</v>
      </c>
      <c r="E187" s="162" t="s">
        <v>974</v>
      </c>
      <c r="F187" s="162" t="s">
        <v>974</v>
      </c>
    </row>
    <row r="188" spans="2:6" ht="36">
      <c r="B188" s="160">
        <v>272</v>
      </c>
      <c r="D188" s="162" t="s">
        <v>99</v>
      </c>
      <c r="E188" s="162" t="s">
        <v>975</v>
      </c>
      <c r="F188" s="162" t="s">
        <v>975</v>
      </c>
    </row>
    <row r="189" spans="2:6">
      <c r="B189" s="160">
        <v>273</v>
      </c>
      <c r="D189" s="162" t="s">
        <v>100</v>
      </c>
      <c r="E189" s="162" t="s">
        <v>976</v>
      </c>
      <c r="F189" s="162" t="s">
        <v>976</v>
      </c>
    </row>
    <row r="190" spans="2:6">
      <c r="B190" s="160">
        <v>274</v>
      </c>
      <c r="D190" s="162" t="s">
        <v>101</v>
      </c>
      <c r="E190" s="162" t="s">
        <v>977</v>
      </c>
      <c r="F190" s="162" t="s">
        <v>977</v>
      </c>
    </row>
    <row r="191" spans="2:6">
      <c r="B191" s="160">
        <v>275</v>
      </c>
      <c r="D191" s="162" t="s">
        <v>102</v>
      </c>
      <c r="E191" s="162" t="s">
        <v>978</v>
      </c>
      <c r="F191" s="162" t="s">
        <v>978</v>
      </c>
    </row>
    <row r="192" spans="2:6">
      <c r="B192" s="160">
        <v>276</v>
      </c>
      <c r="D192" s="162" t="s">
        <v>103</v>
      </c>
      <c r="E192" s="162" t="s">
        <v>979</v>
      </c>
      <c r="F192" s="162" t="s">
        <v>979</v>
      </c>
    </row>
    <row r="193" spans="2:6">
      <c r="B193" s="160">
        <v>277</v>
      </c>
      <c r="D193" s="162" t="s">
        <v>104</v>
      </c>
      <c r="E193" s="162" t="s">
        <v>980</v>
      </c>
      <c r="F193" s="162" t="s">
        <v>980</v>
      </c>
    </row>
    <row r="194" spans="2:6">
      <c r="B194" s="160">
        <v>278</v>
      </c>
      <c r="D194" s="162" t="s">
        <v>105</v>
      </c>
      <c r="E194" s="162" t="s">
        <v>981</v>
      </c>
      <c r="F194" s="162" t="s">
        <v>981</v>
      </c>
    </row>
    <row r="195" spans="2:6">
      <c r="B195" s="160">
        <v>279</v>
      </c>
      <c r="D195" s="162" t="s">
        <v>106</v>
      </c>
      <c r="E195" s="162" t="s">
        <v>982</v>
      </c>
      <c r="F195" s="162" t="s">
        <v>982</v>
      </c>
    </row>
    <row r="196" spans="2:6">
      <c r="B196" s="160">
        <v>280</v>
      </c>
      <c r="D196" s="162" t="s">
        <v>107</v>
      </c>
      <c r="E196" s="162" t="s">
        <v>983</v>
      </c>
      <c r="F196" s="162" t="s">
        <v>983</v>
      </c>
    </row>
    <row r="197" spans="2:6">
      <c r="B197" s="160">
        <v>281</v>
      </c>
      <c r="D197" s="162" t="s">
        <v>108</v>
      </c>
      <c r="E197" s="162" t="s">
        <v>984</v>
      </c>
      <c r="F197" s="162" t="s">
        <v>984</v>
      </c>
    </row>
    <row r="198" spans="2:6">
      <c r="B198" s="160">
        <v>282</v>
      </c>
      <c r="D198" s="162" t="s">
        <v>109</v>
      </c>
      <c r="E198" s="162" t="s">
        <v>985</v>
      </c>
      <c r="F198" s="162" t="s">
        <v>985</v>
      </c>
    </row>
    <row r="199" spans="2:6">
      <c r="B199" s="160">
        <v>283</v>
      </c>
      <c r="D199" s="162" t="s">
        <v>110</v>
      </c>
      <c r="E199" s="162" t="s">
        <v>986</v>
      </c>
      <c r="F199" s="162" t="s">
        <v>986</v>
      </c>
    </row>
    <row r="200" spans="2:6" ht="24">
      <c r="B200" s="160">
        <v>284</v>
      </c>
      <c r="D200" s="162" t="s">
        <v>111</v>
      </c>
      <c r="E200" s="162" t="s">
        <v>987</v>
      </c>
      <c r="F200" s="162" t="s">
        <v>987</v>
      </c>
    </row>
    <row r="201" spans="2:6">
      <c r="B201" s="160">
        <v>285</v>
      </c>
      <c r="D201" s="162" t="s">
        <v>376</v>
      </c>
      <c r="E201" s="162" t="s">
        <v>988</v>
      </c>
      <c r="F201" s="162" t="s">
        <v>988</v>
      </c>
    </row>
    <row r="202" spans="2:6">
      <c r="B202" s="160">
        <v>286</v>
      </c>
      <c r="D202" s="162" t="s">
        <v>112</v>
      </c>
      <c r="E202" s="162" t="s">
        <v>989</v>
      </c>
      <c r="F202" s="162" t="s">
        <v>989</v>
      </c>
    </row>
    <row r="203" spans="2:6">
      <c r="B203" s="160">
        <v>287</v>
      </c>
      <c r="D203" s="162" t="s">
        <v>113</v>
      </c>
      <c r="E203" s="162" t="s">
        <v>990</v>
      </c>
      <c r="F203" s="162" t="s">
        <v>990</v>
      </c>
    </row>
    <row r="204" spans="2:6">
      <c r="B204" s="160">
        <v>288</v>
      </c>
      <c r="D204" s="162" t="s">
        <v>114</v>
      </c>
      <c r="E204" s="162" t="s">
        <v>991</v>
      </c>
      <c r="F204" s="162" t="s">
        <v>991</v>
      </c>
    </row>
    <row r="205" spans="2:6">
      <c r="B205" s="160">
        <v>289</v>
      </c>
      <c r="D205" s="162" t="s">
        <v>377</v>
      </c>
      <c r="E205" s="162" t="s">
        <v>992</v>
      </c>
      <c r="F205" s="162" t="s">
        <v>992</v>
      </c>
    </row>
    <row r="206" spans="2:6">
      <c r="B206" s="160">
        <v>290</v>
      </c>
      <c r="D206" s="162" t="s">
        <v>378</v>
      </c>
      <c r="E206" s="162" t="s">
        <v>993</v>
      </c>
      <c r="F206" s="162" t="s">
        <v>993</v>
      </c>
    </row>
    <row r="207" spans="2:6">
      <c r="B207" s="160">
        <v>291</v>
      </c>
      <c r="D207" s="162" t="s">
        <v>592</v>
      </c>
      <c r="E207" s="162" t="s">
        <v>994</v>
      </c>
      <c r="F207" s="162" t="s">
        <v>994</v>
      </c>
    </row>
    <row r="208" spans="2:6">
      <c r="B208" s="160">
        <v>292</v>
      </c>
      <c r="D208" s="162" t="s">
        <v>621</v>
      </c>
      <c r="E208" s="162" t="s">
        <v>995</v>
      </c>
      <c r="F208" s="162" t="s">
        <v>995</v>
      </c>
    </row>
    <row r="209" spans="2:6">
      <c r="B209" s="160">
        <v>293</v>
      </c>
      <c r="D209" s="162" t="s">
        <v>593</v>
      </c>
      <c r="E209" s="162" t="s">
        <v>996</v>
      </c>
      <c r="F209" s="162" t="s">
        <v>996</v>
      </c>
    </row>
    <row r="210" spans="2:6">
      <c r="B210" s="160">
        <v>294</v>
      </c>
      <c r="D210" s="162" t="s">
        <v>591</v>
      </c>
      <c r="E210" s="162" t="s">
        <v>997</v>
      </c>
      <c r="F210" s="162" t="s">
        <v>997</v>
      </c>
    </row>
    <row r="211" spans="2:6">
      <c r="B211" s="160">
        <v>295</v>
      </c>
      <c r="D211" s="162" t="s">
        <v>379</v>
      </c>
      <c r="E211" s="162" t="s">
        <v>998</v>
      </c>
      <c r="F211" s="162" t="s">
        <v>998</v>
      </c>
    </row>
    <row r="212" spans="2:6">
      <c r="B212" s="160">
        <v>296</v>
      </c>
      <c r="D212" s="162" t="s">
        <v>454</v>
      </c>
      <c r="E212" s="162" t="s">
        <v>999</v>
      </c>
      <c r="F212" s="162" t="s">
        <v>999</v>
      </c>
    </row>
    <row r="213" spans="2:6">
      <c r="B213" s="160">
        <v>297</v>
      </c>
      <c r="D213" s="162" t="s">
        <v>115</v>
      </c>
      <c r="E213" s="162" t="s">
        <v>1000</v>
      </c>
      <c r="F213" s="162" t="s">
        <v>1000</v>
      </c>
    </row>
    <row r="214" spans="2:6">
      <c r="B214" s="160">
        <v>298</v>
      </c>
      <c r="C214" s="161" t="s">
        <v>543</v>
      </c>
      <c r="D214" s="162" t="s">
        <v>579</v>
      </c>
      <c r="E214" s="162" t="s">
        <v>1001</v>
      </c>
      <c r="F214" s="162" t="s">
        <v>1001</v>
      </c>
    </row>
    <row r="215" spans="2:6">
      <c r="B215" s="160">
        <v>299</v>
      </c>
      <c r="D215" s="162" t="s">
        <v>600</v>
      </c>
      <c r="E215" s="162" t="s">
        <v>1002</v>
      </c>
      <c r="F215" s="162" t="s">
        <v>1002</v>
      </c>
    </row>
    <row r="216" spans="2:6">
      <c r="B216" s="160">
        <v>300</v>
      </c>
      <c r="D216" s="162" t="s">
        <v>448</v>
      </c>
      <c r="E216" s="162" t="s">
        <v>1003</v>
      </c>
      <c r="F216" s="162" t="s">
        <v>1003</v>
      </c>
    </row>
    <row r="217" spans="2:6">
      <c r="B217" s="160">
        <v>301</v>
      </c>
      <c r="D217" s="162" t="s">
        <v>487</v>
      </c>
      <c r="E217" s="162" t="s">
        <v>1004</v>
      </c>
      <c r="F217" s="162" t="s">
        <v>1004</v>
      </c>
    </row>
    <row r="218" spans="2:6">
      <c r="B218" s="160">
        <v>302</v>
      </c>
      <c r="C218" s="161" t="s">
        <v>543</v>
      </c>
      <c r="D218" s="167" t="s">
        <v>634</v>
      </c>
      <c r="E218" s="167" t="s">
        <v>1005</v>
      </c>
      <c r="F218" s="167" t="s">
        <v>1005</v>
      </c>
    </row>
    <row r="219" spans="2:6">
      <c r="B219" s="160">
        <v>303</v>
      </c>
      <c r="C219" s="161" t="s">
        <v>543</v>
      </c>
      <c r="D219" s="167" t="s">
        <v>551</v>
      </c>
      <c r="E219" s="167" t="s">
        <v>1006</v>
      </c>
      <c r="F219" s="167" t="s">
        <v>1006</v>
      </c>
    </row>
    <row r="220" spans="2:6">
      <c r="B220" s="160">
        <v>304</v>
      </c>
      <c r="C220" s="161" t="s">
        <v>543</v>
      </c>
      <c r="D220" s="167" t="s">
        <v>636</v>
      </c>
      <c r="E220" s="167" t="s">
        <v>1007</v>
      </c>
      <c r="F220" s="167" t="s">
        <v>1007</v>
      </c>
    </row>
    <row r="221" spans="2:6">
      <c r="B221" s="160">
        <v>305</v>
      </c>
      <c r="C221" s="161" t="s">
        <v>543</v>
      </c>
      <c r="D221" s="170" t="s">
        <v>794</v>
      </c>
      <c r="E221" s="170" t="s">
        <v>795</v>
      </c>
      <c r="F221" s="170" t="s">
        <v>795</v>
      </c>
    </row>
    <row r="222" spans="2:6">
      <c r="B222" s="160">
        <v>306</v>
      </c>
      <c r="C222" s="161" t="s">
        <v>543</v>
      </c>
      <c r="D222" s="167" t="s">
        <v>779</v>
      </c>
      <c r="E222" s="167" t="s">
        <v>635</v>
      </c>
      <c r="F222" s="167" t="s">
        <v>635</v>
      </c>
    </row>
    <row r="223" spans="2:6">
      <c r="B223" s="160">
        <v>307</v>
      </c>
      <c r="C223" s="161" t="s">
        <v>543</v>
      </c>
      <c r="D223" s="167" t="s">
        <v>781</v>
      </c>
      <c r="E223" s="167" t="s">
        <v>630</v>
      </c>
      <c r="F223" s="167" t="s">
        <v>630</v>
      </c>
    </row>
    <row r="224" spans="2:6">
      <c r="B224" s="160">
        <v>308</v>
      </c>
      <c r="C224" s="161" t="s">
        <v>543</v>
      </c>
      <c r="D224" s="167" t="s">
        <v>782</v>
      </c>
      <c r="E224" s="167" t="s">
        <v>631</v>
      </c>
      <c r="F224" s="167" t="s">
        <v>631</v>
      </c>
    </row>
    <row r="225" spans="2:6">
      <c r="B225" s="160">
        <v>309</v>
      </c>
      <c r="C225" s="161" t="s">
        <v>543</v>
      </c>
      <c r="D225" s="167" t="s">
        <v>783</v>
      </c>
      <c r="E225" s="167" t="s">
        <v>632</v>
      </c>
      <c r="F225" s="167" t="s">
        <v>632</v>
      </c>
    </row>
    <row r="226" spans="2:6">
      <c r="B226" s="160">
        <v>310</v>
      </c>
      <c r="C226" s="161" t="s">
        <v>543</v>
      </c>
      <c r="D226" s="167" t="s">
        <v>784</v>
      </c>
      <c r="E226" s="167" t="s">
        <v>633</v>
      </c>
      <c r="F226" s="167" t="s">
        <v>633</v>
      </c>
    </row>
    <row r="227" spans="2:6">
      <c r="B227" s="160">
        <v>311</v>
      </c>
      <c r="C227" s="161" t="s">
        <v>543</v>
      </c>
      <c r="D227" s="167" t="s">
        <v>785</v>
      </c>
      <c r="E227" s="167" t="s">
        <v>637</v>
      </c>
      <c r="F227" s="167" t="s">
        <v>637</v>
      </c>
    </row>
    <row r="228" spans="2:6">
      <c r="B228" s="160">
        <v>312</v>
      </c>
      <c r="C228" s="161" t="s">
        <v>543</v>
      </c>
      <c r="D228" s="167" t="s">
        <v>786</v>
      </c>
      <c r="E228" s="167" t="s">
        <v>638</v>
      </c>
      <c r="F228" s="167" t="s">
        <v>638</v>
      </c>
    </row>
    <row r="229" spans="2:6">
      <c r="B229" s="160">
        <v>313</v>
      </c>
      <c r="C229" s="161" t="s">
        <v>543</v>
      </c>
      <c r="D229" s="167" t="s">
        <v>787</v>
      </c>
      <c r="E229" s="167" t="s">
        <v>639</v>
      </c>
      <c r="F229" s="167" t="s">
        <v>639</v>
      </c>
    </row>
    <row r="230" spans="2:6">
      <c r="B230" s="160">
        <v>314</v>
      </c>
      <c r="C230" s="161" t="s">
        <v>543</v>
      </c>
      <c r="D230" s="167" t="s">
        <v>788</v>
      </c>
      <c r="E230" s="167" t="s">
        <v>640</v>
      </c>
      <c r="F230" s="167" t="s">
        <v>640</v>
      </c>
    </row>
    <row r="231" spans="2:6">
      <c r="B231" s="160">
        <v>315</v>
      </c>
      <c r="C231" s="161" t="s">
        <v>543</v>
      </c>
      <c r="D231" s="167" t="s">
        <v>789</v>
      </c>
      <c r="E231" s="162" t="s">
        <v>544</v>
      </c>
      <c r="F231" s="162" t="s">
        <v>544</v>
      </c>
    </row>
    <row r="232" spans="2:6">
      <c r="B232" s="160">
        <v>316</v>
      </c>
      <c r="C232" s="161" t="s">
        <v>543</v>
      </c>
      <c r="D232" s="167" t="s">
        <v>790</v>
      </c>
      <c r="E232" s="162" t="s">
        <v>545</v>
      </c>
      <c r="F232" s="162" t="s">
        <v>545</v>
      </c>
    </row>
    <row r="233" spans="2:6">
      <c r="B233" s="160">
        <v>317</v>
      </c>
      <c r="C233" s="161" t="s">
        <v>543</v>
      </c>
      <c r="D233" s="167" t="s">
        <v>791</v>
      </c>
      <c r="E233" s="162" t="s">
        <v>546</v>
      </c>
      <c r="F233" s="162" t="s">
        <v>546</v>
      </c>
    </row>
    <row r="234" spans="2:6">
      <c r="B234" s="160">
        <v>318</v>
      </c>
      <c r="C234" s="161" t="s">
        <v>543</v>
      </c>
      <c r="D234" s="167" t="s">
        <v>792</v>
      </c>
      <c r="E234" s="162" t="s">
        <v>547</v>
      </c>
      <c r="F234" s="162" t="s">
        <v>547</v>
      </c>
    </row>
    <row r="235" spans="2:6">
      <c r="B235" s="160">
        <v>319</v>
      </c>
      <c r="C235" s="161" t="s">
        <v>543</v>
      </c>
      <c r="D235" s="167" t="s">
        <v>793</v>
      </c>
      <c r="E235" s="167" t="s">
        <v>581</v>
      </c>
      <c r="F235" s="167" t="s">
        <v>581</v>
      </c>
    </row>
    <row r="236" spans="2:6">
      <c r="B236" s="160">
        <v>320</v>
      </c>
      <c r="C236" s="161" t="s">
        <v>543</v>
      </c>
      <c r="D236" s="167" t="s">
        <v>1347</v>
      </c>
      <c r="E236" s="167" t="s">
        <v>1349</v>
      </c>
      <c r="F236" s="167" t="s">
        <v>1349</v>
      </c>
    </row>
    <row r="237" spans="2:6">
      <c r="B237" s="160">
        <v>321</v>
      </c>
      <c r="C237" s="161" t="s">
        <v>543</v>
      </c>
      <c r="D237" s="167" t="s">
        <v>1348</v>
      </c>
      <c r="E237" s="167" t="s">
        <v>1350</v>
      </c>
      <c r="F237" s="167" t="s">
        <v>1350</v>
      </c>
    </row>
    <row r="238" spans="2:6">
      <c r="B238" s="160">
        <v>322</v>
      </c>
      <c r="C238" s="161" t="s">
        <v>543</v>
      </c>
      <c r="D238" s="167"/>
      <c r="E238" s="167"/>
      <c r="F238" s="167"/>
    </row>
    <row r="239" spans="2:6" ht="24">
      <c r="B239" s="160">
        <v>323</v>
      </c>
      <c r="D239" s="162" t="s">
        <v>116</v>
      </c>
      <c r="E239" s="162" t="s">
        <v>1008</v>
      </c>
      <c r="F239" s="162" t="s">
        <v>1008</v>
      </c>
    </row>
    <row r="240" spans="2:6" ht="24">
      <c r="B240" s="160">
        <v>324</v>
      </c>
      <c r="D240" s="162" t="s">
        <v>117</v>
      </c>
      <c r="E240" s="162" t="s">
        <v>1009</v>
      </c>
      <c r="F240" s="162" t="s">
        <v>1009</v>
      </c>
    </row>
    <row r="241" spans="2:6" ht="24">
      <c r="B241" s="160">
        <v>325</v>
      </c>
      <c r="D241" s="162" t="s">
        <v>118</v>
      </c>
      <c r="E241" s="162" t="s">
        <v>1010</v>
      </c>
      <c r="F241" s="162" t="s">
        <v>1010</v>
      </c>
    </row>
    <row r="242" spans="2:6" ht="24">
      <c r="B242" s="160">
        <v>326</v>
      </c>
      <c r="C242" s="161" t="s">
        <v>543</v>
      </c>
      <c r="D242" s="162" t="s">
        <v>580</v>
      </c>
      <c r="E242" s="162" t="s">
        <v>1011</v>
      </c>
      <c r="F242" s="162" t="s">
        <v>1011</v>
      </c>
    </row>
    <row r="243" spans="2:6">
      <c r="B243" s="160">
        <v>327</v>
      </c>
      <c r="D243" s="162" t="s">
        <v>119</v>
      </c>
      <c r="E243" s="162" t="s">
        <v>1012</v>
      </c>
      <c r="F243" s="162" t="s">
        <v>1012</v>
      </c>
    </row>
    <row r="244" spans="2:6">
      <c r="B244" s="160">
        <v>328</v>
      </c>
      <c r="C244" s="161" t="s">
        <v>466</v>
      </c>
      <c r="D244" s="162" t="s">
        <v>476</v>
      </c>
      <c r="E244" s="162" t="s">
        <v>1013</v>
      </c>
      <c r="F244" s="162" t="s">
        <v>1013</v>
      </c>
    </row>
    <row r="245" spans="2:6">
      <c r="B245" s="160">
        <v>329</v>
      </c>
      <c r="D245" s="162" t="s">
        <v>120</v>
      </c>
      <c r="E245" s="162" t="s">
        <v>1014</v>
      </c>
      <c r="F245" s="162" t="s">
        <v>1014</v>
      </c>
    </row>
    <row r="246" spans="2:6">
      <c r="B246" s="160">
        <v>330</v>
      </c>
      <c r="D246" s="162" t="s">
        <v>121</v>
      </c>
      <c r="E246" s="162" t="s">
        <v>1015</v>
      </c>
      <c r="F246" s="162" t="s">
        <v>1015</v>
      </c>
    </row>
    <row r="247" spans="2:6">
      <c r="B247" s="160">
        <v>331</v>
      </c>
      <c r="D247" s="162" t="s">
        <v>122</v>
      </c>
      <c r="E247" s="162" t="s">
        <v>1016</v>
      </c>
      <c r="F247" s="162" t="s">
        <v>1016</v>
      </c>
    </row>
    <row r="248" spans="2:6">
      <c r="B248" s="160">
        <v>332</v>
      </c>
      <c r="C248" s="161" t="s">
        <v>466</v>
      </c>
      <c r="D248" s="159" t="s">
        <v>468</v>
      </c>
      <c r="E248" s="167" t="s">
        <v>1017</v>
      </c>
      <c r="F248" s="167" t="s">
        <v>1017</v>
      </c>
    </row>
    <row r="249" spans="2:6">
      <c r="B249" s="160">
        <v>333</v>
      </c>
      <c r="C249" s="161" t="s">
        <v>466</v>
      </c>
      <c r="D249" s="159" t="s">
        <v>469</v>
      </c>
      <c r="E249" s="167" t="s">
        <v>1018</v>
      </c>
      <c r="F249" s="167" t="s">
        <v>1018</v>
      </c>
    </row>
    <row r="250" spans="2:6">
      <c r="B250" s="160">
        <v>334</v>
      </c>
      <c r="D250" s="162" t="s">
        <v>123</v>
      </c>
      <c r="E250" s="162" t="s">
        <v>1019</v>
      </c>
      <c r="F250" s="162" t="s">
        <v>1019</v>
      </c>
    </row>
    <row r="251" spans="2:6">
      <c r="B251" s="160">
        <v>335</v>
      </c>
      <c r="C251" s="161" t="s">
        <v>466</v>
      </c>
      <c r="D251" s="162" t="s">
        <v>474</v>
      </c>
      <c r="E251" s="162" t="s">
        <v>1020</v>
      </c>
      <c r="F251" s="162" t="s">
        <v>1020</v>
      </c>
    </row>
    <row r="252" spans="2:6">
      <c r="B252" s="160">
        <v>336</v>
      </c>
      <c r="C252" s="161" t="s">
        <v>466</v>
      </c>
      <c r="D252" s="159" t="s">
        <v>477</v>
      </c>
      <c r="E252" s="167" t="s">
        <v>1021</v>
      </c>
      <c r="F252" s="167" t="s">
        <v>1021</v>
      </c>
    </row>
    <row r="253" spans="2:6" ht="24">
      <c r="B253" s="160">
        <v>337</v>
      </c>
      <c r="D253" s="162" t="s">
        <v>124</v>
      </c>
      <c r="E253" s="162" t="s">
        <v>1022</v>
      </c>
      <c r="F253" s="162" t="s">
        <v>1022</v>
      </c>
    </row>
    <row r="254" spans="2:6" ht="24">
      <c r="B254" s="160">
        <v>338</v>
      </c>
      <c r="D254" s="162" t="s">
        <v>125</v>
      </c>
      <c r="E254" s="162" t="s">
        <v>1023</v>
      </c>
      <c r="F254" s="162" t="s">
        <v>1023</v>
      </c>
    </row>
    <row r="255" spans="2:6">
      <c r="B255" s="160">
        <v>339</v>
      </c>
      <c r="D255" s="162" t="s">
        <v>126</v>
      </c>
      <c r="E255" s="162" t="s">
        <v>1024</v>
      </c>
      <c r="F255" s="162" t="s">
        <v>1024</v>
      </c>
    </row>
    <row r="256" spans="2:6">
      <c r="B256" s="160">
        <v>340</v>
      </c>
      <c r="D256" s="162" t="s">
        <v>127</v>
      </c>
      <c r="E256" s="162" t="s">
        <v>1025</v>
      </c>
      <c r="F256" s="162" t="s">
        <v>1025</v>
      </c>
    </row>
    <row r="257" spans="2:6">
      <c r="B257" s="160">
        <v>341</v>
      </c>
      <c r="D257" s="162" t="s">
        <v>128</v>
      </c>
      <c r="E257" s="162" t="s">
        <v>1026</v>
      </c>
      <c r="F257" s="162" t="s">
        <v>1026</v>
      </c>
    </row>
    <row r="258" spans="2:6">
      <c r="B258" s="160">
        <v>342</v>
      </c>
      <c r="D258" s="162" t="s">
        <v>129</v>
      </c>
      <c r="E258" s="162" t="s">
        <v>1027</v>
      </c>
      <c r="F258" s="162" t="s">
        <v>1027</v>
      </c>
    </row>
    <row r="259" spans="2:6">
      <c r="B259" s="160">
        <v>343</v>
      </c>
      <c r="C259" s="161" t="s">
        <v>543</v>
      </c>
      <c r="D259" s="162" t="s">
        <v>565</v>
      </c>
      <c r="E259" s="162" t="s">
        <v>1028</v>
      </c>
      <c r="F259" s="162" t="s">
        <v>1028</v>
      </c>
    </row>
    <row r="260" spans="2:6">
      <c r="B260" s="160">
        <v>344</v>
      </c>
      <c r="C260" s="161" t="s">
        <v>543</v>
      </c>
      <c r="D260" s="162" t="s">
        <v>567</v>
      </c>
      <c r="E260" s="162" t="s">
        <v>1029</v>
      </c>
      <c r="F260" s="162" t="s">
        <v>1029</v>
      </c>
    </row>
    <row r="261" spans="2:6">
      <c r="B261" s="160">
        <v>345</v>
      </c>
      <c r="D261" s="162" t="s">
        <v>130</v>
      </c>
      <c r="E261" s="162" t="s">
        <v>1030</v>
      </c>
      <c r="F261" s="162" t="s">
        <v>1030</v>
      </c>
    </row>
    <row r="262" spans="2:6" ht="24">
      <c r="B262" s="160">
        <v>346</v>
      </c>
      <c r="C262" s="161" t="s">
        <v>543</v>
      </c>
      <c r="D262" s="162" t="s">
        <v>575</v>
      </c>
      <c r="E262" s="162" t="s">
        <v>1031</v>
      </c>
      <c r="F262" s="162" t="s">
        <v>1031</v>
      </c>
    </row>
    <row r="263" spans="2:6">
      <c r="B263" s="160">
        <v>347</v>
      </c>
      <c r="D263" s="162" t="s">
        <v>380</v>
      </c>
      <c r="E263" s="162" t="s">
        <v>1032</v>
      </c>
      <c r="F263" s="162" t="s">
        <v>1032</v>
      </c>
    </row>
    <row r="264" spans="2:6">
      <c r="B264" s="160">
        <v>348</v>
      </c>
      <c r="D264" s="162" t="s">
        <v>131</v>
      </c>
      <c r="E264" s="162" t="s">
        <v>1033</v>
      </c>
      <c r="F264" s="162" t="s">
        <v>1033</v>
      </c>
    </row>
    <row r="265" spans="2:6">
      <c r="B265" s="160">
        <v>349</v>
      </c>
      <c r="D265" s="162" t="s">
        <v>381</v>
      </c>
      <c r="E265" s="162" t="s">
        <v>1034</v>
      </c>
      <c r="F265" s="162" t="s">
        <v>1034</v>
      </c>
    </row>
    <row r="266" spans="2:6">
      <c r="B266" s="160">
        <v>350</v>
      </c>
      <c r="C266" s="161" t="s">
        <v>543</v>
      </c>
      <c r="D266" s="162" t="s">
        <v>566</v>
      </c>
      <c r="E266" s="162" t="s">
        <v>1035</v>
      </c>
      <c r="F266" s="162" t="s">
        <v>1035</v>
      </c>
    </row>
    <row r="267" spans="2:6">
      <c r="B267" s="160">
        <v>351</v>
      </c>
      <c r="C267" s="161" t="s">
        <v>466</v>
      </c>
      <c r="D267" s="159" t="s">
        <v>467</v>
      </c>
      <c r="E267" s="167" t="s">
        <v>1036</v>
      </c>
      <c r="F267" s="167" t="s">
        <v>1036</v>
      </c>
    </row>
    <row r="268" spans="2:6" ht="24">
      <c r="B268" s="160">
        <v>352</v>
      </c>
      <c r="C268" s="161" t="s">
        <v>543</v>
      </c>
      <c r="D268" s="162" t="s">
        <v>558</v>
      </c>
      <c r="E268" s="162" t="s">
        <v>1037</v>
      </c>
      <c r="F268" s="162" t="s">
        <v>1037</v>
      </c>
    </row>
    <row r="269" spans="2:6" ht="24">
      <c r="B269" s="160">
        <v>353</v>
      </c>
      <c r="D269" s="162" t="s">
        <v>132</v>
      </c>
      <c r="F269" s="162"/>
    </row>
    <row r="270" spans="2:6">
      <c r="B270" s="160">
        <v>354</v>
      </c>
      <c r="D270" s="162" t="s">
        <v>133</v>
      </c>
      <c r="E270" s="162" t="s">
        <v>1038</v>
      </c>
      <c r="F270" s="162" t="s">
        <v>1038</v>
      </c>
    </row>
    <row r="271" spans="2:6">
      <c r="B271" s="160">
        <v>355</v>
      </c>
      <c r="D271" s="162" t="s">
        <v>134</v>
      </c>
      <c r="E271" s="162" t="s">
        <v>1039</v>
      </c>
      <c r="F271" s="162" t="s">
        <v>1039</v>
      </c>
    </row>
    <row r="272" spans="2:6">
      <c r="B272" s="160">
        <v>356</v>
      </c>
      <c r="D272" s="162" t="s">
        <v>135</v>
      </c>
      <c r="E272" s="162" t="s">
        <v>1040</v>
      </c>
      <c r="F272" s="162" t="s">
        <v>1040</v>
      </c>
    </row>
    <row r="273" spans="2:6">
      <c r="B273" s="160">
        <v>357</v>
      </c>
      <c r="C273" s="161" t="s">
        <v>543</v>
      </c>
      <c r="D273" s="162" t="s">
        <v>561</v>
      </c>
      <c r="E273" s="162" t="s">
        <v>1041</v>
      </c>
      <c r="F273" s="162" t="s">
        <v>1041</v>
      </c>
    </row>
    <row r="274" spans="2:6">
      <c r="B274" s="160">
        <v>358</v>
      </c>
      <c r="D274" s="162" t="s">
        <v>136</v>
      </c>
      <c r="E274" s="162" t="s">
        <v>1042</v>
      </c>
      <c r="F274" s="162" t="s">
        <v>1042</v>
      </c>
    </row>
    <row r="275" spans="2:6">
      <c r="B275" s="160">
        <v>359</v>
      </c>
      <c r="D275" s="162" t="s">
        <v>382</v>
      </c>
      <c r="E275" s="162" t="s">
        <v>1043</v>
      </c>
      <c r="F275" s="162" t="s">
        <v>1043</v>
      </c>
    </row>
    <row r="276" spans="2:6">
      <c r="B276" s="160">
        <v>360</v>
      </c>
      <c r="D276" s="162" t="s">
        <v>137</v>
      </c>
      <c r="E276" s="162" t="s">
        <v>1044</v>
      </c>
      <c r="F276" s="162" t="s">
        <v>1044</v>
      </c>
    </row>
    <row r="277" spans="2:6" ht="24">
      <c r="B277" s="160">
        <v>361</v>
      </c>
      <c r="C277" s="161" t="s">
        <v>543</v>
      </c>
      <c r="D277" s="162" t="s">
        <v>557</v>
      </c>
      <c r="E277" s="162" t="s">
        <v>1045</v>
      </c>
      <c r="F277" s="162" t="s">
        <v>1045</v>
      </c>
    </row>
    <row r="278" spans="2:6" ht="36">
      <c r="B278" s="160">
        <v>362</v>
      </c>
      <c r="C278" s="161" t="s">
        <v>543</v>
      </c>
      <c r="D278" s="162" t="s">
        <v>572</v>
      </c>
      <c r="E278" s="162" t="s">
        <v>1046</v>
      </c>
      <c r="F278" s="162" t="s">
        <v>1046</v>
      </c>
    </row>
    <row r="279" spans="2:6">
      <c r="B279" s="160">
        <v>363</v>
      </c>
      <c r="D279" s="162" t="s">
        <v>138</v>
      </c>
      <c r="E279" s="162" t="s">
        <v>1047</v>
      </c>
      <c r="F279" s="162" t="s">
        <v>1047</v>
      </c>
    </row>
    <row r="280" spans="2:6">
      <c r="B280" s="160">
        <v>364</v>
      </c>
      <c r="D280" s="162" t="s">
        <v>1</v>
      </c>
      <c r="E280" s="162" t="s">
        <v>1</v>
      </c>
      <c r="F280" s="162" t="s">
        <v>1</v>
      </c>
    </row>
    <row r="281" spans="2:6">
      <c r="B281" s="160">
        <v>365</v>
      </c>
      <c r="D281" s="162" t="s">
        <v>2</v>
      </c>
      <c r="E281" s="162" t="s">
        <v>2</v>
      </c>
      <c r="F281" s="162" t="s">
        <v>2</v>
      </c>
    </row>
    <row r="282" spans="2:6">
      <c r="B282" s="160">
        <v>366</v>
      </c>
      <c r="D282" s="162" t="s">
        <v>455</v>
      </c>
      <c r="E282" s="162" t="s">
        <v>1048</v>
      </c>
      <c r="F282" s="162" t="s">
        <v>1048</v>
      </c>
    </row>
    <row r="283" spans="2:6">
      <c r="B283" s="160">
        <v>367</v>
      </c>
      <c r="D283" s="162" t="s">
        <v>139</v>
      </c>
      <c r="E283" s="162" t="s">
        <v>140</v>
      </c>
      <c r="F283" s="162" t="s">
        <v>140</v>
      </c>
    </row>
    <row r="284" spans="2:6">
      <c r="B284" s="160">
        <v>368</v>
      </c>
      <c r="D284" s="162" t="s">
        <v>609</v>
      </c>
      <c r="E284" s="162" t="s">
        <v>1049</v>
      </c>
      <c r="F284" s="162" t="s">
        <v>1049</v>
      </c>
    </row>
    <row r="285" spans="2:6">
      <c r="B285" s="160">
        <v>369</v>
      </c>
      <c r="D285" s="162" t="s">
        <v>141</v>
      </c>
      <c r="E285" s="162" t="s">
        <v>439</v>
      </c>
      <c r="F285" s="162" t="s">
        <v>439</v>
      </c>
    </row>
    <row r="286" spans="2:6">
      <c r="B286" s="160">
        <v>370</v>
      </c>
      <c r="D286" s="162" t="s">
        <v>142</v>
      </c>
      <c r="E286" s="162" t="s">
        <v>1050</v>
      </c>
      <c r="F286" s="162" t="s">
        <v>1050</v>
      </c>
    </row>
    <row r="287" spans="2:6">
      <c r="B287" s="160">
        <v>371</v>
      </c>
      <c r="D287" s="162" t="s">
        <v>143</v>
      </c>
      <c r="E287" s="162" t="s">
        <v>1051</v>
      </c>
      <c r="F287" s="162" t="s">
        <v>1051</v>
      </c>
    </row>
    <row r="288" spans="2:6">
      <c r="B288" s="160">
        <v>372</v>
      </c>
      <c r="D288" s="162" t="s">
        <v>383</v>
      </c>
      <c r="E288" s="162" t="s">
        <v>1052</v>
      </c>
      <c r="F288" s="162" t="s">
        <v>1052</v>
      </c>
    </row>
    <row r="289" spans="2:6">
      <c r="B289" s="160">
        <v>373</v>
      </c>
      <c r="D289" s="162" t="s">
        <v>384</v>
      </c>
      <c r="E289" s="162" t="s">
        <v>1053</v>
      </c>
      <c r="F289" s="162" t="s">
        <v>1053</v>
      </c>
    </row>
    <row r="290" spans="2:6">
      <c r="B290" s="160">
        <v>374</v>
      </c>
      <c r="D290" s="162" t="s">
        <v>385</v>
      </c>
      <c r="E290" s="162" t="s">
        <v>1052</v>
      </c>
      <c r="F290" s="162" t="s">
        <v>1052</v>
      </c>
    </row>
    <row r="291" spans="2:6">
      <c r="B291" s="160">
        <v>375</v>
      </c>
      <c r="C291" s="161" t="s">
        <v>543</v>
      </c>
      <c r="D291" s="162" t="s">
        <v>549</v>
      </c>
      <c r="E291" s="162" t="s">
        <v>1054</v>
      </c>
      <c r="F291" s="162" t="s">
        <v>1054</v>
      </c>
    </row>
    <row r="292" spans="2:6">
      <c r="B292" s="160">
        <v>376</v>
      </c>
      <c r="D292" s="162" t="s">
        <v>144</v>
      </c>
      <c r="E292" s="162" t="s">
        <v>1055</v>
      </c>
      <c r="F292" s="162" t="s">
        <v>1055</v>
      </c>
    </row>
    <row r="293" spans="2:6">
      <c r="B293" s="160">
        <v>377</v>
      </c>
      <c r="D293" s="162" t="s">
        <v>386</v>
      </c>
      <c r="E293" s="162" t="s">
        <v>1056</v>
      </c>
      <c r="F293" s="162" t="s">
        <v>1056</v>
      </c>
    </row>
    <row r="294" spans="2:6">
      <c r="B294" s="160">
        <v>378</v>
      </c>
      <c r="D294" s="162" t="s">
        <v>145</v>
      </c>
      <c r="E294" s="162" t="s">
        <v>1057</v>
      </c>
      <c r="F294" s="162" t="s">
        <v>1057</v>
      </c>
    </row>
    <row r="295" spans="2:6">
      <c r="B295" s="160">
        <v>379</v>
      </c>
      <c r="C295" s="161" t="s">
        <v>466</v>
      </c>
      <c r="D295" s="159" t="s">
        <v>478</v>
      </c>
      <c r="E295" s="167" t="s">
        <v>1058</v>
      </c>
      <c r="F295" s="167" t="s">
        <v>1058</v>
      </c>
    </row>
    <row r="296" spans="2:6">
      <c r="B296" s="160">
        <v>380</v>
      </c>
      <c r="D296" s="162" t="s">
        <v>415</v>
      </c>
      <c r="E296" s="162" t="s">
        <v>1059</v>
      </c>
      <c r="F296" s="162" t="s">
        <v>1059</v>
      </c>
    </row>
    <row r="297" spans="2:6">
      <c r="B297" s="160">
        <v>381</v>
      </c>
      <c r="D297" s="162" t="s">
        <v>416</v>
      </c>
      <c r="E297" s="162" t="s">
        <v>1060</v>
      </c>
      <c r="F297" s="162" t="s">
        <v>1060</v>
      </c>
    </row>
    <row r="298" spans="2:6">
      <c r="B298" s="160">
        <v>382</v>
      </c>
      <c r="C298" s="161" t="s">
        <v>484</v>
      </c>
      <c r="D298" s="162" t="s">
        <v>485</v>
      </c>
      <c r="E298" s="162" t="s">
        <v>1061</v>
      </c>
      <c r="F298" s="162" t="s">
        <v>1061</v>
      </c>
    </row>
    <row r="299" spans="2:6">
      <c r="B299" s="160">
        <v>383</v>
      </c>
      <c r="D299" s="162" t="s">
        <v>146</v>
      </c>
      <c r="E299" s="162" t="s">
        <v>1062</v>
      </c>
      <c r="F299" s="162" t="s">
        <v>1062</v>
      </c>
    </row>
    <row r="300" spans="2:6">
      <c r="B300" s="160">
        <v>384</v>
      </c>
      <c r="D300" s="162" t="s">
        <v>387</v>
      </c>
      <c r="E300" s="162" t="s">
        <v>1063</v>
      </c>
      <c r="F300" s="162" t="s">
        <v>1063</v>
      </c>
    </row>
    <row r="301" spans="2:6">
      <c r="B301" s="160">
        <v>385</v>
      </c>
      <c r="D301" s="162" t="s">
        <v>147</v>
      </c>
      <c r="E301" s="162" t="s">
        <v>1064</v>
      </c>
      <c r="F301" s="162" t="s">
        <v>1064</v>
      </c>
    </row>
    <row r="302" spans="2:6">
      <c r="B302" s="160">
        <v>386</v>
      </c>
      <c r="D302" s="162" t="s">
        <v>148</v>
      </c>
      <c r="E302" s="162" t="s">
        <v>1065</v>
      </c>
      <c r="F302" s="162" t="s">
        <v>1065</v>
      </c>
    </row>
    <row r="303" spans="2:6">
      <c r="B303" s="160">
        <v>387</v>
      </c>
      <c r="D303" s="162" t="s">
        <v>149</v>
      </c>
      <c r="E303" s="162" t="s">
        <v>1066</v>
      </c>
      <c r="F303" s="162" t="s">
        <v>1066</v>
      </c>
    </row>
    <row r="304" spans="2:6">
      <c r="B304" s="160">
        <v>388</v>
      </c>
      <c r="D304" s="162" t="s">
        <v>473</v>
      </c>
      <c r="E304" s="162" t="s">
        <v>1067</v>
      </c>
      <c r="F304" s="162" t="s">
        <v>1067</v>
      </c>
    </row>
    <row r="305" spans="2:6" ht="24">
      <c r="B305" s="160">
        <v>389</v>
      </c>
      <c r="D305" s="162" t="s">
        <v>150</v>
      </c>
      <c r="E305" s="162" t="s">
        <v>1068</v>
      </c>
      <c r="F305" s="162" t="s">
        <v>1068</v>
      </c>
    </row>
    <row r="306" spans="2:6">
      <c r="B306" s="160">
        <v>390</v>
      </c>
      <c r="D306" s="162" t="s">
        <v>618</v>
      </c>
      <c r="E306" s="162" t="s">
        <v>1069</v>
      </c>
      <c r="F306" s="162" t="s">
        <v>1069</v>
      </c>
    </row>
    <row r="307" spans="2:6" ht="24">
      <c r="B307" s="160">
        <v>391</v>
      </c>
      <c r="D307" s="162" t="s">
        <v>417</v>
      </c>
      <c r="E307" s="162" t="s">
        <v>1070</v>
      </c>
      <c r="F307" s="162" t="s">
        <v>1070</v>
      </c>
    </row>
    <row r="308" spans="2:6">
      <c r="B308" s="160">
        <v>392</v>
      </c>
      <c r="D308" s="162" t="s">
        <v>418</v>
      </c>
      <c r="E308" s="162" t="s">
        <v>1071</v>
      </c>
      <c r="F308" s="162" t="s">
        <v>1071</v>
      </c>
    </row>
    <row r="309" spans="2:6">
      <c r="B309" s="160">
        <v>393</v>
      </c>
      <c r="D309" s="162" t="s">
        <v>388</v>
      </c>
      <c r="E309" s="162" t="s">
        <v>1072</v>
      </c>
      <c r="F309" s="162" t="s">
        <v>1072</v>
      </c>
    </row>
    <row r="310" spans="2:6">
      <c r="B310" s="160">
        <v>394</v>
      </c>
      <c r="D310" s="162" t="s">
        <v>151</v>
      </c>
      <c r="E310" s="162" t="s">
        <v>1073</v>
      </c>
      <c r="F310" s="162" t="s">
        <v>1073</v>
      </c>
    </row>
    <row r="311" spans="2:6">
      <c r="B311" s="160">
        <v>395</v>
      </c>
      <c r="D311" s="162" t="s">
        <v>389</v>
      </c>
      <c r="E311" s="162" t="s">
        <v>1074</v>
      </c>
      <c r="F311" s="162" t="s">
        <v>1074</v>
      </c>
    </row>
    <row r="312" spans="2:6">
      <c r="B312" s="160">
        <v>396</v>
      </c>
      <c r="D312" s="162" t="s">
        <v>390</v>
      </c>
      <c r="E312" s="162" t="s">
        <v>1075</v>
      </c>
      <c r="F312" s="162" t="s">
        <v>1075</v>
      </c>
    </row>
    <row r="313" spans="2:6">
      <c r="B313" s="160">
        <v>397</v>
      </c>
      <c r="D313" s="162" t="s">
        <v>152</v>
      </c>
      <c r="E313" s="162" t="s">
        <v>1076</v>
      </c>
      <c r="F313" s="162" t="s">
        <v>1076</v>
      </c>
    </row>
    <row r="314" spans="2:6">
      <c r="B314" s="160">
        <v>398</v>
      </c>
      <c r="D314" s="162" t="s">
        <v>153</v>
      </c>
      <c r="E314" s="162" t="s">
        <v>1077</v>
      </c>
      <c r="F314" s="162" t="s">
        <v>1077</v>
      </c>
    </row>
    <row r="315" spans="2:6">
      <c r="B315" s="160">
        <v>399</v>
      </c>
      <c r="D315" s="162" t="s">
        <v>391</v>
      </c>
      <c r="E315" s="162" t="s">
        <v>1078</v>
      </c>
      <c r="F315" s="162" t="s">
        <v>1078</v>
      </c>
    </row>
    <row r="316" spans="2:6">
      <c r="B316" s="160">
        <v>400</v>
      </c>
      <c r="D316" s="162" t="s">
        <v>154</v>
      </c>
      <c r="E316" s="162" t="s">
        <v>1079</v>
      </c>
      <c r="F316" s="162" t="s">
        <v>1079</v>
      </c>
    </row>
    <row r="317" spans="2:6">
      <c r="B317" s="160">
        <v>401</v>
      </c>
      <c r="C317" s="161" t="s">
        <v>432</v>
      </c>
      <c r="D317" s="162" t="s">
        <v>440</v>
      </c>
      <c r="E317" s="162" t="s">
        <v>1080</v>
      </c>
      <c r="F317" s="162" t="s">
        <v>1080</v>
      </c>
    </row>
    <row r="318" spans="2:6">
      <c r="B318" s="160">
        <v>402</v>
      </c>
      <c r="C318" s="161" t="s">
        <v>466</v>
      </c>
      <c r="D318" s="159" t="s">
        <v>465</v>
      </c>
      <c r="E318" s="167" t="s">
        <v>1081</v>
      </c>
      <c r="F318" s="167" t="s">
        <v>1081</v>
      </c>
    </row>
    <row r="319" spans="2:6">
      <c r="B319" s="160">
        <v>403</v>
      </c>
      <c r="D319" s="162" t="s">
        <v>155</v>
      </c>
      <c r="E319" s="162" t="s">
        <v>1082</v>
      </c>
      <c r="F319" s="162" t="s">
        <v>1082</v>
      </c>
    </row>
    <row r="320" spans="2:6">
      <c r="B320" s="160">
        <v>404</v>
      </c>
      <c r="D320" s="162" t="s">
        <v>156</v>
      </c>
      <c r="E320" s="162" t="s">
        <v>1083</v>
      </c>
      <c r="F320" s="162" t="s">
        <v>1083</v>
      </c>
    </row>
    <row r="321" spans="1:6">
      <c r="B321" s="160">
        <v>405</v>
      </c>
      <c r="D321" s="162" t="s">
        <v>157</v>
      </c>
      <c r="E321" s="162" t="s">
        <v>1084</v>
      </c>
      <c r="F321" s="162" t="s">
        <v>1084</v>
      </c>
    </row>
    <row r="322" spans="1:6">
      <c r="B322" s="160">
        <v>406</v>
      </c>
      <c r="D322" s="162" t="s">
        <v>158</v>
      </c>
      <c r="E322" s="162" t="s">
        <v>1085</v>
      </c>
      <c r="F322" s="162" t="s">
        <v>1085</v>
      </c>
    </row>
    <row r="323" spans="1:6">
      <c r="B323" s="160">
        <v>407</v>
      </c>
      <c r="C323" s="161" t="s">
        <v>466</v>
      </c>
      <c r="D323" s="159" t="s">
        <v>462</v>
      </c>
      <c r="E323" s="167" t="s">
        <v>1086</v>
      </c>
      <c r="F323" s="167" t="s">
        <v>1086</v>
      </c>
    </row>
    <row r="324" spans="1:6">
      <c r="B324" s="160">
        <v>408</v>
      </c>
      <c r="D324" s="162" t="s">
        <v>159</v>
      </c>
      <c r="E324" s="162" t="s">
        <v>1087</v>
      </c>
      <c r="F324" s="162" t="s">
        <v>1087</v>
      </c>
    </row>
    <row r="325" spans="1:6">
      <c r="B325" s="160">
        <v>409</v>
      </c>
      <c r="C325" s="161" t="s">
        <v>466</v>
      </c>
      <c r="D325" s="162" t="s">
        <v>460</v>
      </c>
      <c r="E325" s="167" t="s">
        <v>1088</v>
      </c>
      <c r="F325" s="167" t="s">
        <v>1088</v>
      </c>
    </row>
    <row r="326" spans="1:6">
      <c r="B326" s="160">
        <v>410</v>
      </c>
      <c r="D326" s="162" t="s">
        <v>160</v>
      </c>
      <c r="E326" s="162" t="s">
        <v>1089</v>
      </c>
      <c r="F326" s="162" t="s">
        <v>1089</v>
      </c>
    </row>
    <row r="327" spans="1:6" ht="36">
      <c r="B327" s="160">
        <v>411</v>
      </c>
      <c r="D327" s="162" t="s">
        <v>161</v>
      </c>
      <c r="E327" s="162" t="s">
        <v>1090</v>
      </c>
      <c r="F327" s="162" t="s">
        <v>1090</v>
      </c>
    </row>
    <row r="328" spans="1:6">
      <c r="B328" s="160">
        <v>412</v>
      </c>
      <c r="D328" s="162" t="s">
        <v>162</v>
      </c>
      <c r="E328" s="162" t="s">
        <v>1091</v>
      </c>
      <c r="F328" s="162" t="s">
        <v>1091</v>
      </c>
    </row>
    <row r="329" spans="1:6">
      <c r="B329" s="160">
        <v>413</v>
      </c>
      <c r="D329" s="162" t="s">
        <v>506</v>
      </c>
      <c r="E329" s="162" t="s">
        <v>1092</v>
      </c>
      <c r="F329" s="162" t="s">
        <v>1092</v>
      </c>
    </row>
    <row r="330" spans="1:6" ht="24">
      <c r="B330" s="160">
        <v>414</v>
      </c>
      <c r="D330" s="162" t="s">
        <v>163</v>
      </c>
      <c r="E330" s="162" t="s">
        <v>1093</v>
      </c>
      <c r="F330" s="162" t="s">
        <v>1093</v>
      </c>
    </row>
    <row r="331" spans="1:6">
      <c r="B331" s="160">
        <v>415</v>
      </c>
      <c r="D331" s="162" t="s">
        <v>509</v>
      </c>
      <c r="E331" s="162" t="s">
        <v>1094</v>
      </c>
      <c r="F331" s="162" t="s">
        <v>1094</v>
      </c>
    </row>
    <row r="332" spans="1:6">
      <c r="B332" s="160">
        <v>416</v>
      </c>
      <c r="D332" s="162" t="s">
        <v>505</v>
      </c>
      <c r="E332" s="162" t="s">
        <v>1095</v>
      </c>
      <c r="F332" s="162" t="s">
        <v>1095</v>
      </c>
    </row>
    <row r="333" spans="1:6">
      <c r="A333" s="164"/>
      <c r="B333" s="160">
        <v>417</v>
      </c>
      <c r="C333" s="165" t="s">
        <v>414</v>
      </c>
      <c r="D333" s="163" t="s">
        <v>441</v>
      </c>
      <c r="E333" s="163" t="s">
        <v>1096</v>
      </c>
      <c r="F333" s="163" t="s">
        <v>1096</v>
      </c>
    </row>
    <row r="334" spans="1:6">
      <c r="A334" s="164"/>
      <c r="B334" s="160">
        <v>418</v>
      </c>
      <c r="C334" s="165" t="s">
        <v>414</v>
      </c>
      <c r="D334" s="163" t="s">
        <v>442</v>
      </c>
      <c r="E334" s="163" t="s">
        <v>1097</v>
      </c>
      <c r="F334" s="163" t="s">
        <v>1097</v>
      </c>
    </row>
    <row r="335" spans="1:6">
      <c r="A335" s="164"/>
      <c r="B335" s="160">
        <v>419</v>
      </c>
      <c r="C335" s="165" t="s">
        <v>414</v>
      </c>
      <c r="D335" s="163" t="s">
        <v>443</v>
      </c>
      <c r="E335" s="163" t="s">
        <v>1098</v>
      </c>
      <c r="F335" s="163" t="s">
        <v>1098</v>
      </c>
    </row>
    <row r="336" spans="1:6">
      <c r="B336" s="160">
        <v>420</v>
      </c>
      <c r="D336" s="162" t="s">
        <v>164</v>
      </c>
      <c r="E336" s="162" t="s">
        <v>1096</v>
      </c>
      <c r="F336" s="162" t="s">
        <v>1096</v>
      </c>
    </row>
    <row r="337" spans="2:6">
      <c r="B337" s="160">
        <v>421</v>
      </c>
      <c r="D337" s="162" t="s">
        <v>165</v>
      </c>
      <c r="E337" s="163" t="s">
        <v>1099</v>
      </c>
      <c r="F337" s="163" t="s">
        <v>1099</v>
      </c>
    </row>
    <row r="338" spans="2:6">
      <c r="B338" s="160">
        <v>422</v>
      </c>
      <c r="D338" s="162" t="s">
        <v>166</v>
      </c>
      <c r="E338" s="162" t="s">
        <v>1100</v>
      </c>
      <c r="F338" s="162" t="s">
        <v>1100</v>
      </c>
    </row>
    <row r="339" spans="2:6">
      <c r="B339" s="160">
        <v>423</v>
      </c>
      <c r="D339" s="162" t="s">
        <v>167</v>
      </c>
      <c r="E339" s="162" t="s">
        <v>1101</v>
      </c>
      <c r="F339" s="162" t="s">
        <v>1101</v>
      </c>
    </row>
    <row r="340" spans="2:6">
      <c r="B340" s="160">
        <v>424</v>
      </c>
      <c r="D340" s="162" t="s">
        <v>168</v>
      </c>
      <c r="E340" s="162" t="s">
        <v>1102</v>
      </c>
      <c r="F340" s="162" t="s">
        <v>1102</v>
      </c>
    </row>
    <row r="341" spans="2:6">
      <c r="B341" s="160">
        <v>425</v>
      </c>
      <c r="D341" s="162" t="s">
        <v>169</v>
      </c>
      <c r="E341" s="162" t="s">
        <v>1103</v>
      </c>
      <c r="F341" s="162" t="s">
        <v>1103</v>
      </c>
    </row>
    <row r="342" spans="2:6">
      <c r="B342" s="160">
        <v>426</v>
      </c>
      <c r="D342" s="162" t="s">
        <v>170</v>
      </c>
      <c r="E342" s="162" t="s">
        <v>1104</v>
      </c>
      <c r="F342" s="162" t="s">
        <v>1104</v>
      </c>
    </row>
    <row r="343" spans="2:6">
      <c r="B343" s="160">
        <v>427</v>
      </c>
      <c r="D343" s="162" t="s">
        <v>171</v>
      </c>
      <c r="E343" s="162" t="s">
        <v>1105</v>
      </c>
      <c r="F343" s="162" t="s">
        <v>1105</v>
      </c>
    </row>
    <row r="344" spans="2:6">
      <c r="B344" s="160">
        <v>428</v>
      </c>
      <c r="D344" s="162" t="s">
        <v>172</v>
      </c>
      <c r="E344" s="162" t="s">
        <v>1106</v>
      </c>
      <c r="F344" s="162" t="s">
        <v>1106</v>
      </c>
    </row>
    <row r="345" spans="2:6">
      <c r="B345" s="160">
        <v>429</v>
      </c>
      <c r="D345" s="162" t="s">
        <v>173</v>
      </c>
      <c r="E345" s="162" t="s">
        <v>1107</v>
      </c>
      <c r="F345" s="162" t="s">
        <v>1107</v>
      </c>
    </row>
    <row r="346" spans="2:6">
      <c r="B346" s="160">
        <v>430</v>
      </c>
      <c r="D346" s="162" t="s">
        <v>174</v>
      </c>
      <c r="E346" s="162" t="s">
        <v>1108</v>
      </c>
      <c r="F346" s="162" t="s">
        <v>1108</v>
      </c>
    </row>
    <row r="347" spans="2:6">
      <c r="B347" s="160">
        <v>431</v>
      </c>
      <c r="D347" s="162" t="s">
        <v>175</v>
      </c>
      <c r="E347" s="162" t="s">
        <v>1109</v>
      </c>
      <c r="F347" s="162" t="s">
        <v>1109</v>
      </c>
    </row>
    <row r="348" spans="2:6">
      <c r="B348" s="160">
        <v>432</v>
      </c>
      <c r="D348" s="162" t="s">
        <v>176</v>
      </c>
      <c r="E348" s="162" t="s">
        <v>1110</v>
      </c>
      <c r="F348" s="162" t="s">
        <v>1110</v>
      </c>
    </row>
    <row r="349" spans="2:6">
      <c r="B349" s="160">
        <v>433</v>
      </c>
      <c r="D349" s="162" t="s">
        <v>177</v>
      </c>
      <c r="E349" s="162" t="s">
        <v>1111</v>
      </c>
      <c r="F349" s="162" t="s">
        <v>1111</v>
      </c>
    </row>
    <row r="350" spans="2:6">
      <c r="B350" s="160">
        <v>434</v>
      </c>
      <c r="D350" s="162" t="s">
        <v>512</v>
      </c>
      <c r="E350" s="162" t="s">
        <v>1112</v>
      </c>
      <c r="F350" s="162" t="s">
        <v>1112</v>
      </c>
    </row>
    <row r="351" spans="2:6">
      <c r="B351" s="160">
        <v>435</v>
      </c>
      <c r="D351" s="162" t="s">
        <v>511</v>
      </c>
      <c r="E351" s="162" t="s">
        <v>1113</v>
      </c>
      <c r="F351" s="162" t="s">
        <v>1113</v>
      </c>
    </row>
    <row r="352" spans="2:6">
      <c r="B352" s="160">
        <v>436</v>
      </c>
      <c r="D352" s="162" t="s">
        <v>178</v>
      </c>
      <c r="E352" s="162" t="s">
        <v>1114</v>
      </c>
      <c r="F352" s="162" t="s">
        <v>1114</v>
      </c>
    </row>
    <row r="353" spans="2:6">
      <c r="B353" s="160">
        <v>437</v>
      </c>
      <c r="D353" s="162" t="s">
        <v>179</v>
      </c>
      <c r="E353" s="162" t="s">
        <v>1115</v>
      </c>
      <c r="F353" s="162" t="s">
        <v>1115</v>
      </c>
    </row>
    <row r="354" spans="2:6">
      <c r="B354" s="160">
        <v>438</v>
      </c>
      <c r="D354" s="162" t="s">
        <v>180</v>
      </c>
      <c r="E354" s="162" t="s">
        <v>1116</v>
      </c>
      <c r="F354" s="162" t="s">
        <v>1116</v>
      </c>
    </row>
    <row r="355" spans="2:6">
      <c r="B355" s="160">
        <v>439</v>
      </c>
      <c r="D355" s="162" t="s">
        <v>181</v>
      </c>
      <c r="E355" s="162" t="s">
        <v>1117</v>
      </c>
      <c r="F355" s="162" t="s">
        <v>1117</v>
      </c>
    </row>
    <row r="356" spans="2:6">
      <c r="B356" s="160">
        <v>440</v>
      </c>
      <c r="D356" s="162" t="s">
        <v>182</v>
      </c>
      <c r="E356" s="162" t="s">
        <v>1118</v>
      </c>
      <c r="F356" s="162" t="s">
        <v>1118</v>
      </c>
    </row>
    <row r="357" spans="2:6">
      <c r="B357" s="160">
        <v>441</v>
      </c>
      <c r="D357" s="162" t="s">
        <v>183</v>
      </c>
      <c r="E357" s="162" t="s">
        <v>1119</v>
      </c>
      <c r="F357" s="162" t="s">
        <v>1119</v>
      </c>
    </row>
    <row r="358" spans="2:6">
      <c r="B358" s="160">
        <v>442</v>
      </c>
      <c r="D358" s="162" t="s">
        <v>513</v>
      </c>
      <c r="E358" s="162" t="s">
        <v>1120</v>
      </c>
      <c r="F358" s="162" t="s">
        <v>1120</v>
      </c>
    </row>
    <row r="359" spans="2:6">
      <c r="B359" s="160">
        <v>443</v>
      </c>
      <c r="D359" s="162" t="s">
        <v>499</v>
      </c>
      <c r="E359" s="162" t="s">
        <v>1121</v>
      </c>
      <c r="F359" s="162" t="s">
        <v>1121</v>
      </c>
    </row>
    <row r="360" spans="2:6">
      <c r="B360" s="160">
        <v>444</v>
      </c>
      <c r="D360" s="162" t="s">
        <v>392</v>
      </c>
      <c r="E360" s="162" t="s">
        <v>392</v>
      </c>
      <c r="F360" s="162" t="s">
        <v>392</v>
      </c>
    </row>
    <row r="361" spans="2:6" ht="24">
      <c r="B361" s="160">
        <v>445</v>
      </c>
      <c r="C361" s="161" t="s">
        <v>543</v>
      </c>
      <c r="D361" s="162" t="s">
        <v>571</v>
      </c>
      <c r="E361" s="162" t="s">
        <v>1122</v>
      </c>
      <c r="F361" s="162" t="s">
        <v>1122</v>
      </c>
    </row>
    <row r="362" spans="2:6">
      <c r="B362" s="160">
        <v>446</v>
      </c>
      <c r="D362" s="162" t="s">
        <v>599</v>
      </c>
      <c r="E362" s="162" t="s">
        <v>1123</v>
      </c>
      <c r="F362" s="162" t="s">
        <v>1123</v>
      </c>
    </row>
    <row r="363" spans="2:6">
      <c r="B363" s="160">
        <v>447</v>
      </c>
      <c r="C363" s="161" t="s">
        <v>466</v>
      </c>
      <c r="D363" s="162" t="s">
        <v>471</v>
      </c>
      <c r="E363" s="162" t="s">
        <v>1124</v>
      </c>
      <c r="F363" s="162" t="s">
        <v>1124</v>
      </c>
    </row>
    <row r="364" spans="2:6">
      <c r="B364" s="160">
        <v>448</v>
      </c>
      <c r="D364" s="162" t="s">
        <v>184</v>
      </c>
      <c r="E364" s="162" t="s">
        <v>1125</v>
      </c>
      <c r="F364" s="162" t="s">
        <v>1125</v>
      </c>
    </row>
    <row r="365" spans="2:6" ht="24">
      <c r="B365" s="160">
        <v>449</v>
      </c>
      <c r="D365" s="162" t="s">
        <v>185</v>
      </c>
      <c r="E365" s="162" t="s">
        <v>1126</v>
      </c>
      <c r="F365" s="162" t="s">
        <v>1126</v>
      </c>
    </row>
    <row r="366" spans="2:6">
      <c r="B366" s="160">
        <v>450</v>
      </c>
      <c r="D366" s="162" t="s">
        <v>186</v>
      </c>
      <c r="E366" s="162" t="s">
        <v>1127</v>
      </c>
      <c r="F366" s="162" t="s">
        <v>1127</v>
      </c>
    </row>
    <row r="367" spans="2:6">
      <c r="B367" s="160">
        <v>451</v>
      </c>
      <c r="D367" s="162" t="s">
        <v>605</v>
      </c>
      <c r="E367" s="162" t="s">
        <v>1128</v>
      </c>
      <c r="F367" s="162" t="s">
        <v>1128</v>
      </c>
    </row>
    <row r="368" spans="2:6" ht="24">
      <c r="B368" s="160">
        <v>452</v>
      </c>
      <c r="D368" s="162" t="s">
        <v>187</v>
      </c>
      <c r="E368" s="162" t="s">
        <v>1129</v>
      </c>
      <c r="F368" s="162" t="s">
        <v>1129</v>
      </c>
    </row>
    <row r="369" spans="2:6">
      <c r="B369" s="160">
        <v>453</v>
      </c>
      <c r="D369" s="163" t="s">
        <v>444</v>
      </c>
      <c r="E369" s="162" t="s">
        <v>908</v>
      </c>
      <c r="F369" s="162" t="s">
        <v>908</v>
      </c>
    </row>
    <row r="370" spans="2:6">
      <c r="B370" s="160">
        <v>454</v>
      </c>
      <c r="D370" s="162" t="s">
        <v>393</v>
      </c>
      <c r="E370" s="162" t="s">
        <v>1130</v>
      </c>
      <c r="F370" s="162" t="s">
        <v>1130</v>
      </c>
    </row>
    <row r="371" spans="2:6">
      <c r="B371" s="160">
        <v>455</v>
      </c>
      <c r="D371" s="162" t="s">
        <v>188</v>
      </c>
      <c r="E371" s="162" t="s">
        <v>1131</v>
      </c>
      <c r="F371" s="162" t="s">
        <v>1131</v>
      </c>
    </row>
    <row r="372" spans="2:6">
      <c r="B372" s="160">
        <v>456</v>
      </c>
      <c r="D372" s="162" t="s">
        <v>394</v>
      </c>
      <c r="E372" s="162" t="s">
        <v>1132</v>
      </c>
      <c r="F372" s="162" t="s">
        <v>1132</v>
      </c>
    </row>
    <row r="373" spans="2:6">
      <c r="B373" s="160">
        <v>457</v>
      </c>
      <c r="D373" s="162" t="s">
        <v>189</v>
      </c>
      <c r="E373" s="162" t="s">
        <v>1133</v>
      </c>
      <c r="F373" s="162" t="s">
        <v>1133</v>
      </c>
    </row>
    <row r="374" spans="2:6">
      <c r="B374" s="160">
        <v>458</v>
      </c>
      <c r="D374" s="162" t="s">
        <v>190</v>
      </c>
      <c r="E374" s="162" t="s">
        <v>1134</v>
      </c>
      <c r="F374" s="162" t="s">
        <v>1134</v>
      </c>
    </row>
    <row r="375" spans="2:6">
      <c r="B375" s="160">
        <v>459</v>
      </c>
      <c r="C375" s="161" t="s">
        <v>543</v>
      </c>
      <c r="D375" s="162" t="s">
        <v>563</v>
      </c>
      <c r="E375" s="162" t="s">
        <v>1135</v>
      </c>
      <c r="F375" s="162" t="s">
        <v>1135</v>
      </c>
    </row>
    <row r="376" spans="2:6">
      <c r="B376" s="160">
        <v>460</v>
      </c>
      <c r="D376" s="162" t="s">
        <v>191</v>
      </c>
      <c r="E376" s="162" t="s">
        <v>1135</v>
      </c>
      <c r="F376" s="162" t="s">
        <v>1135</v>
      </c>
    </row>
    <row r="377" spans="2:6">
      <c r="B377" s="160">
        <v>461</v>
      </c>
      <c r="D377" s="162" t="s">
        <v>192</v>
      </c>
      <c r="E377" s="162" t="s">
        <v>1136</v>
      </c>
      <c r="F377" s="162" t="s">
        <v>1136</v>
      </c>
    </row>
    <row r="378" spans="2:6">
      <c r="B378" s="160">
        <v>462</v>
      </c>
      <c r="D378" s="162" t="s">
        <v>622</v>
      </c>
      <c r="E378" s="162" t="s">
        <v>1137</v>
      </c>
      <c r="F378" s="162" t="s">
        <v>1137</v>
      </c>
    </row>
    <row r="379" spans="2:6">
      <c r="B379" s="160">
        <v>463</v>
      </c>
      <c r="D379" s="162" t="s">
        <v>193</v>
      </c>
      <c r="E379" s="162" t="s">
        <v>1138</v>
      </c>
      <c r="F379" s="162" t="s">
        <v>1138</v>
      </c>
    </row>
    <row r="380" spans="2:6">
      <c r="B380" s="160">
        <v>464</v>
      </c>
      <c r="D380" s="162" t="s">
        <v>194</v>
      </c>
      <c r="F380" s="162"/>
    </row>
    <row r="381" spans="2:6">
      <c r="B381" s="160">
        <v>465</v>
      </c>
      <c r="D381" s="162" t="s">
        <v>395</v>
      </c>
      <c r="E381" s="162" t="s">
        <v>1139</v>
      </c>
      <c r="F381" s="162" t="s">
        <v>1139</v>
      </c>
    </row>
    <row r="382" spans="2:6" ht="24">
      <c r="B382" s="160">
        <v>466</v>
      </c>
      <c r="D382" s="162" t="s">
        <v>614</v>
      </c>
      <c r="E382" s="162" t="s">
        <v>1140</v>
      </c>
      <c r="F382" s="162" t="s">
        <v>1140</v>
      </c>
    </row>
    <row r="383" spans="2:6" ht="24">
      <c r="B383" s="160">
        <v>467</v>
      </c>
      <c r="D383" s="162" t="s">
        <v>195</v>
      </c>
      <c r="E383" s="162" t="s">
        <v>1141</v>
      </c>
      <c r="F383" s="162" t="s">
        <v>1141</v>
      </c>
    </row>
    <row r="384" spans="2:6">
      <c r="B384" s="160">
        <v>468</v>
      </c>
      <c r="D384" s="162" t="s">
        <v>196</v>
      </c>
      <c r="E384" s="162" t="s">
        <v>1142</v>
      </c>
      <c r="F384" s="162" t="s">
        <v>1142</v>
      </c>
    </row>
    <row r="385" spans="2:6">
      <c r="B385" s="160">
        <v>469</v>
      </c>
      <c r="D385" s="162" t="s">
        <v>197</v>
      </c>
      <c r="E385" s="162" t="s">
        <v>1143</v>
      </c>
      <c r="F385" s="162" t="s">
        <v>1143</v>
      </c>
    </row>
    <row r="386" spans="2:6">
      <c r="B386" s="160">
        <v>470</v>
      </c>
      <c r="C386" s="161" t="s">
        <v>543</v>
      </c>
      <c r="D386" s="162" t="s">
        <v>556</v>
      </c>
      <c r="E386" s="162" t="s">
        <v>1144</v>
      </c>
      <c r="F386" s="162" t="s">
        <v>1144</v>
      </c>
    </row>
    <row r="387" spans="2:6">
      <c r="B387" s="160">
        <v>471</v>
      </c>
      <c r="C387" s="161" t="s">
        <v>543</v>
      </c>
      <c r="D387" s="162" t="s">
        <v>560</v>
      </c>
      <c r="E387" s="162" t="s">
        <v>1145</v>
      </c>
      <c r="F387" s="162" t="s">
        <v>1145</v>
      </c>
    </row>
    <row r="388" spans="2:6">
      <c r="B388" s="160">
        <v>472</v>
      </c>
      <c r="D388" s="162" t="s">
        <v>198</v>
      </c>
      <c r="E388" s="162" t="s">
        <v>1146</v>
      </c>
      <c r="F388" s="162" t="s">
        <v>1146</v>
      </c>
    </row>
    <row r="389" spans="2:6">
      <c r="B389" s="160">
        <v>473</v>
      </c>
      <c r="C389" s="161" t="s">
        <v>543</v>
      </c>
      <c r="D389" s="162" t="s">
        <v>552</v>
      </c>
      <c r="E389" s="162" t="s">
        <v>1147</v>
      </c>
      <c r="F389" s="162" t="s">
        <v>1147</v>
      </c>
    </row>
    <row r="390" spans="2:6" ht="24">
      <c r="B390" s="160">
        <v>474</v>
      </c>
      <c r="C390" s="161" t="s">
        <v>543</v>
      </c>
      <c r="D390" s="162" t="s">
        <v>554</v>
      </c>
      <c r="E390" s="162" t="s">
        <v>1148</v>
      </c>
      <c r="F390" s="162" t="s">
        <v>1148</v>
      </c>
    </row>
    <row r="391" spans="2:6">
      <c r="B391" s="160">
        <v>475</v>
      </c>
      <c r="C391" s="161" t="s">
        <v>543</v>
      </c>
      <c r="D391" s="162" t="s">
        <v>555</v>
      </c>
      <c r="E391" s="162" t="s">
        <v>1149</v>
      </c>
      <c r="F391" s="162" t="s">
        <v>1149</v>
      </c>
    </row>
    <row r="392" spans="2:6">
      <c r="B392" s="160">
        <v>476</v>
      </c>
      <c r="D392" s="162" t="s">
        <v>199</v>
      </c>
      <c r="E392" s="162" t="s">
        <v>1150</v>
      </c>
      <c r="F392" s="162" t="s">
        <v>1150</v>
      </c>
    </row>
    <row r="393" spans="2:6">
      <c r="B393" s="160">
        <v>477</v>
      </c>
      <c r="D393" s="162" t="s">
        <v>200</v>
      </c>
      <c r="E393" s="162" t="s">
        <v>1151</v>
      </c>
      <c r="F393" s="162" t="s">
        <v>1151</v>
      </c>
    </row>
    <row r="394" spans="2:6" ht="36">
      <c r="B394" s="160">
        <v>478</v>
      </c>
      <c r="C394" s="161" t="s">
        <v>543</v>
      </c>
      <c r="D394" s="162" t="s">
        <v>573</v>
      </c>
      <c r="E394" s="162" t="s">
        <v>1152</v>
      </c>
      <c r="F394" s="162" t="s">
        <v>1152</v>
      </c>
    </row>
    <row r="395" spans="2:6">
      <c r="B395" s="160">
        <v>479</v>
      </c>
      <c r="D395" s="162" t="s">
        <v>201</v>
      </c>
      <c r="E395" s="162" t="s">
        <v>1153</v>
      </c>
      <c r="F395" s="162" t="s">
        <v>1153</v>
      </c>
    </row>
    <row r="396" spans="2:6">
      <c r="B396" s="160">
        <v>480</v>
      </c>
      <c r="D396" s="162" t="s">
        <v>626</v>
      </c>
      <c r="E396" s="162" t="s">
        <v>1154</v>
      </c>
      <c r="F396" s="162" t="s">
        <v>1154</v>
      </c>
    </row>
    <row r="397" spans="2:6">
      <c r="B397" s="160">
        <v>481</v>
      </c>
      <c r="D397" s="162" t="s">
        <v>202</v>
      </c>
      <c r="E397" s="162" t="s">
        <v>1155</v>
      </c>
      <c r="F397" s="162" t="s">
        <v>1155</v>
      </c>
    </row>
    <row r="398" spans="2:6">
      <c r="B398" s="160">
        <v>482</v>
      </c>
      <c r="D398" s="162" t="s">
        <v>203</v>
      </c>
      <c r="E398" s="162" t="s">
        <v>1156</v>
      </c>
      <c r="F398" s="162" t="s">
        <v>1156</v>
      </c>
    </row>
    <row r="399" spans="2:6">
      <c r="B399" s="160">
        <v>483</v>
      </c>
      <c r="D399" s="162" t="s">
        <v>204</v>
      </c>
      <c r="E399" s="162" t="s">
        <v>1157</v>
      </c>
      <c r="F399" s="162" t="s">
        <v>1157</v>
      </c>
    </row>
    <row r="400" spans="2:6">
      <c r="B400" s="160">
        <v>484</v>
      </c>
      <c r="D400" s="162" t="s">
        <v>205</v>
      </c>
      <c r="E400" s="162" t="s">
        <v>1158</v>
      </c>
      <c r="F400" s="162" t="s">
        <v>1158</v>
      </c>
    </row>
    <row r="401" spans="2:6" ht="24">
      <c r="B401" s="160">
        <v>485</v>
      </c>
      <c r="D401" s="162" t="s">
        <v>206</v>
      </c>
      <c r="E401" s="162" t="s">
        <v>1159</v>
      </c>
      <c r="F401" s="162" t="s">
        <v>1159</v>
      </c>
    </row>
    <row r="402" spans="2:6">
      <c r="B402" s="160">
        <v>486</v>
      </c>
      <c r="D402" s="162" t="s">
        <v>625</v>
      </c>
      <c r="E402" s="162" t="s">
        <v>1160</v>
      </c>
      <c r="F402" s="162" t="s">
        <v>1160</v>
      </c>
    </row>
    <row r="403" spans="2:6">
      <c r="B403" s="160">
        <v>487</v>
      </c>
      <c r="D403" s="162" t="s">
        <v>623</v>
      </c>
      <c r="E403" s="162" t="s">
        <v>1161</v>
      </c>
      <c r="F403" s="162" t="s">
        <v>1161</v>
      </c>
    </row>
    <row r="404" spans="2:6">
      <c r="B404" s="160">
        <v>488</v>
      </c>
      <c r="D404" s="162" t="s">
        <v>624</v>
      </c>
      <c r="E404" s="162" t="s">
        <v>1162</v>
      </c>
      <c r="F404" s="162" t="s">
        <v>1162</v>
      </c>
    </row>
    <row r="405" spans="2:6">
      <c r="B405" s="160">
        <v>489</v>
      </c>
      <c r="D405" s="162" t="s">
        <v>207</v>
      </c>
      <c r="E405" s="162" t="s">
        <v>1163</v>
      </c>
      <c r="F405" s="162" t="s">
        <v>1163</v>
      </c>
    </row>
    <row r="406" spans="2:6">
      <c r="B406" s="160">
        <v>490</v>
      </c>
      <c r="C406" s="161" t="s">
        <v>466</v>
      </c>
      <c r="D406" s="162" t="s">
        <v>470</v>
      </c>
      <c r="E406" s="162" t="s">
        <v>1164</v>
      </c>
      <c r="F406" s="162" t="s">
        <v>1164</v>
      </c>
    </row>
    <row r="407" spans="2:6">
      <c r="B407" s="160">
        <v>491</v>
      </c>
      <c r="D407" s="162" t="s">
        <v>208</v>
      </c>
      <c r="E407" s="162" t="s">
        <v>1165</v>
      </c>
      <c r="F407" s="162" t="s">
        <v>1165</v>
      </c>
    </row>
    <row r="408" spans="2:6">
      <c r="B408" s="160">
        <v>492</v>
      </c>
      <c r="C408" s="161" t="s">
        <v>484</v>
      </c>
      <c r="D408" s="162" t="s">
        <v>482</v>
      </c>
      <c r="E408" s="162" t="s">
        <v>1166</v>
      </c>
      <c r="F408" s="162" t="s">
        <v>1166</v>
      </c>
    </row>
    <row r="409" spans="2:6">
      <c r="B409" s="160">
        <v>493</v>
      </c>
      <c r="C409" s="161" t="s">
        <v>484</v>
      </c>
      <c r="D409" s="162" t="s">
        <v>481</v>
      </c>
      <c r="E409" s="162" t="s">
        <v>1167</v>
      </c>
      <c r="F409" s="162" t="s">
        <v>1167</v>
      </c>
    </row>
    <row r="410" spans="2:6">
      <c r="B410" s="160">
        <v>494</v>
      </c>
      <c r="D410" s="162" t="s">
        <v>209</v>
      </c>
      <c r="E410" s="162" t="s">
        <v>1168</v>
      </c>
      <c r="F410" s="162" t="s">
        <v>1168</v>
      </c>
    </row>
    <row r="411" spans="2:6">
      <c r="B411" s="160">
        <v>495</v>
      </c>
      <c r="D411" s="162" t="s">
        <v>210</v>
      </c>
      <c r="E411" s="162" t="s">
        <v>1169</v>
      </c>
      <c r="F411" s="162" t="s">
        <v>1169</v>
      </c>
    </row>
    <row r="412" spans="2:6">
      <c r="B412" s="160">
        <v>496</v>
      </c>
      <c r="C412" s="161" t="s">
        <v>543</v>
      </c>
      <c r="D412" s="162" t="s">
        <v>652</v>
      </c>
      <c r="E412" s="162" t="s">
        <v>1170</v>
      </c>
      <c r="F412" s="162" t="s">
        <v>1170</v>
      </c>
    </row>
    <row r="413" spans="2:6">
      <c r="B413" s="160">
        <v>497</v>
      </c>
      <c r="D413" s="162" t="s">
        <v>211</v>
      </c>
      <c r="E413" s="162" t="s">
        <v>1171</v>
      </c>
      <c r="F413" s="162" t="s">
        <v>1171</v>
      </c>
    </row>
    <row r="414" spans="2:6" ht="36">
      <c r="B414" s="160">
        <v>498</v>
      </c>
      <c r="D414" s="162" t="s">
        <v>212</v>
      </c>
      <c r="E414" s="162" t="s">
        <v>1172</v>
      </c>
      <c r="F414" s="162" t="s">
        <v>1172</v>
      </c>
    </row>
    <row r="415" spans="2:6">
      <c r="B415" s="160">
        <v>499</v>
      </c>
      <c r="D415" s="162" t="s">
        <v>213</v>
      </c>
      <c r="E415" s="162" t="s">
        <v>1173</v>
      </c>
      <c r="F415" s="162" t="s">
        <v>1173</v>
      </c>
    </row>
    <row r="416" spans="2:6" ht="24">
      <c r="B416" s="160">
        <v>500</v>
      </c>
      <c r="D416" s="162" t="s">
        <v>214</v>
      </c>
      <c r="E416" s="162" t="s">
        <v>1174</v>
      </c>
      <c r="F416" s="162" t="s">
        <v>1174</v>
      </c>
    </row>
    <row r="417" spans="2:6" ht="24">
      <c r="B417" s="160">
        <v>501</v>
      </c>
      <c r="D417" s="162" t="s">
        <v>215</v>
      </c>
      <c r="E417" s="162" t="s">
        <v>1175</v>
      </c>
      <c r="F417" s="162" t="s">
        <v>1175</v>
      </c>
    </row>
    <row r="418" spans="2:6" ht="24">
      <c r="B418" s="160">
        <v>502</v>
      </c>
      <c r="D418" s="162" t="s">
        <v>216</v>
      </c>
      <c r="E418" s="162" t="s">
        <v>1176</v>
      </c>
      <c r="F418" s="162" t="s">
        <v>1176</v>
      </c>
    </row>
    <row r="419" spans="2:6" ht="24">
      <c r="B419" s="160">
        <v>503</v>
      </c>
      <c r="D419" s="162" t="s">
        <v>217</v>
      </c>
      <c r="E419" s="162" t="s">
        <v>1177</v>
      </c>
      <c r="F419" s="162" t="s">
        <v>1177</v>
      </c>
    </row>
    <row r="420" spans="2:6" ht="24">
      <c r="B420" s="160">
        <v>504</v>
      </c>
      <c r="D420" s="162" t="s">
        <v>218</v>
      </c>
      <c r="E420" s="162" t="s">
        <v>1178</v>
      </c>
      <c r="F420" s="162" t="s">
        <v>1178</v>
      </c>
    </row>
    <row r="421" spans="2:6" ht="24">
      <c r="B421" s="160">
        <v>505</v>
      </c>
      <c r="D421" s="162" t="s">
        <v>219</v>
      </c>
      <c r="E421" s="162" t="s">
        <v>1179</v>
      </c>
      <c r="F421" s="162" t="s">
        <v>1179</v>
      </c>
    </row>
    <row r="422" spans="2:6" ht="24">
      <c r="B422" s="160">
        <v>506</v>
      </c>
      <c r="D422" s="162" t="s">
        <v>220</v>
      </c>
      <c r="E422" s="162" t="s">
        <v>1180</v>
      </c>
      <c r="F422" s="162" t="s">
        <v>1180</v>
      </c>
    </row>
    <row r="423" spans="2:6" ht="24">
      <c r="B423" s="160">
        <v>507</v>
      </c>
      <c r="D423" s="162" t="s">
        <v>221</v>
      </c>
      <c r="E423" s="162" t="s">
        <v>1181</v>
      </c>
      <c r="F423" s="162" t="s">
        <v>1181</v>
      </c>
    </row>
    <row r="424" spans="2:6" ht="24">
      <c r="B424" s="160">
        <v>508</v>
      </c>
      <c r="D424" s="162" t="s">
        <v>222</v>
      </c>
      <c r="E424" s="162" t="s">
        <v>1182</v>
      </c>
      <c r="F424" s="162" t="s">
        <v>1182</v>
      </c>
    </row>
    <row r="425" spans="2:6" ht="24">
      <c r="B425" s="160">
        <v>509</v>
      </c>
      <c r="D425" s="162" t="s">
        <v>223</v>
      </c>
      <c r="E425" s="162" t="s">
        <v>1183</v>
      </c>
      <c r="F425" s="162" t="s">
        <v>1183</v>
      </c>
    </row>
    <row r="426" spans="2:6" ht="24">
      <c r="B426" s="160">
        <v>510</v>
      </c>
      <c r="D426" s="162" t="s">
        <v>224</v>
      </c>
      <c r="E426" s="162" t="s">
        <v>1184</v>
      </c>
      <c r="F426" s="162" t="s">
        <v>1184</v>
      </c>
    </row>
    <row r="427" spans="2:6" ht="24">
      <c r="B427" s="160">
        <v>511</v>
      </c>
      <c r="D427" s="162" t="s">
        <v>225</v>
      </c>
      <c r="E427" s="162" t="s">
        <v>1185</v>
      </c>
      <c r="F427" s="162" t="s">
        <v>1185</v>
      </c>
    </row>
    <row r="428" spans="2:6" ht="24">
      <c r="B428" s="160">
        <v>512</v>
      </c>
      <c r="D428" s="162" t="s">
        <v>226</v>
      </c>
      <c r="E428" s="162" t="s">
        <v>1186</v>
      </c>
      <c r="F428" s="162" t="s">
        <v>1186</v>
      </c>
    </row>
    <row r="429" spans="2:6" ht="24">
      <c r="B429" s="160">
        <v>513</v>
      </c>
      <c r="D429" s="162" t="s">
        <v>227</v>
      </c>
      <c r="E429" s="162" t="s">
        <v>1187</v>
      </c>
      <c r="F429" s="162" t="s">
        <v>1187</v>
      </c>
    </row>
    <row r="430" spans="2:6" ht="24">
      <c r="B430" s="160">
        <v>514</v>
      </c>
      <c r="D430" s="162" t="s">
        <v>228</v>
      </c>
      <c r="E430" s="162" t="s">
        <v>1188</v>
      </c>
      <c r="F430" s="162" t="s">
        <v>1188</v>
      </c>
    </row>
    <row r="431" spans="2:6" ht="24">
      <c r="B431" s="160">
        <v>515</v>
      </c>
      <c r="D431" s="162" t="s">
        <v>229</v>
      </c>
      <c r="E431" s="162" t="s">
        <v>1189</v>
      </c>
      <c r="F431" s="162" t="s">
        <v>1189</v>
      </c>
    </row>
    <row r="432" spans="2:6" ht="24">
      <c r="B432" s="160">
        <v>516</v>
      </c>
      <c r="D432" s="162" t="s">
        <v>230</v>
      </c>
      <c r="E432" s="162" t="s">
        <v>1190</v>
      </c>
      <c r="F432" s="162" t="s">
        <v>1190</v>
      </c>
    </row>
    <row r="433" spans="1:27" ht="24">
      <c r="B433" s="160">
        <v>517</v>
      </c>
      <c r="D433" s="162" t="s">
        <v>231</v>
      </c>
      <c r="E433" s="162" t="s">
        <v>1191</v>
      </c>
      <c r="F433" s="162" t="s">
        <v>1191</v>
      </c>
    </row>
    <row r="434" spans="1:27" ht="24">
      <c r="B434" s="160">
        <v>518</v>
      </c>
      <c r="D434" s="162" t="s">
        <v>232</v>
      </c>
      <c r="E434" s="162" t="s">
        <v>1192</v>
      </c>
      <c r="F434" s="162" t="s">
        <v>1192</v>
      </c>
    </row>
    <row r="435" spans="1:27" ht="24">
      <c r="B435" s="160">
        <v>519</v>
      </c>
      <c r="D435" s="162" t="s">
        <v>233</v>
      </c>
      <c r="E435" s="162" t="s">
        <v>1193</v>
      </c>
      <c r="F435" s="162" t="s">
        <v>1193</v>
      </c>
    </row>
    <row r="436" spans="1:27" ht="24">
      <c r="B436" s="160">
        <v>520</v>
      </c>
      <c r="D436" s="162" t="s">
        <v>234</v>
      </c>
      <c r="E436" s="162" t="s">
        <v>1194</v>
      </c>
      <c r="F436" s="162" t="s">
        <v>1194</v>
      </c>
    </row>
    <row r="437" spans="1:27" ht="24">
      <c r="B437" s="160">
        <v>521</v>
      </c>
      <c r="D437" s="162" t="s">
        <v>396</v>
      </c>
      <c r="E437" s="162" t="s">
        <v>1195</v>
      </c>
      <c r="F437" s="162" t="s">
        <v>1195</v>
      </c>
    </row>
    <row r="438" spans="1:27" ht="24">
      <c r="B438" s="160">
        <v>522</v>
      </c>
      <c r="D438" s="162" t="s">
        <v>397</v>
      </c>
      <c r="E438" s="162" t="s">
        <v>1195</v>
      </c>
      <c r="F438" s="162" t="s">
        <v>1195</v>
      </c>
    </row>
    <row r="439" spans="1:27" ht="24">
      <c r="B439" s="160">
        <v>523</v>
      </c>
      <c r="D439" s="162" t="s">
        <v>235</v>
      </c>
      <c r="E439" s="162" t="s">
        <v>1196</v>
      </c>
      <c r="F439" s="162" t="s">
        <v>1196</v>
      </c>
    </row>
    <row r="440" spans="1:27" ht="24">
      <c r="B440" s="160">
        <v>524</v>
      </c>
      <c r="D440" s="162" t="s">
        <v>236</v>
      </c>
      <c r="E440" s="162" t="s">
        <v>1197</v>
      </c>
      <c r="F440" s="162" t="s">
        <v>1197</v>
      </c>
    </row>
    <row r="441" spans="1:27" ht="24">
      <c r="B441" s="160">
        <v>525</v>
      </c>
      <c r="D441" s="162" t="s">
        <v>237</v>
      </c>
      <c r="E441" s="162" t="s">
        <v>1198</v>
      </c>
      <c r="F441" s="162" t="s">
        <v>1198</v>
      </c>
    </row>
    <row r="442" spans="1:27" ht="24">
      <c r="B442" s="160">
        <v>526</v>
      </c>
      <c r="D442" s="162" t="s">
        <v>238</v>
      </c>
      <c r="E442" s="162" t="s">
        <v>1199</v>
      </c>
      <c r="F442" s="162" t="s">
        <v>1199</v>
      </c>
    </row>
    <row r="443" spans="1:27" ht="24">
      <c r="B443" s="160">
        <v>527</v>
      </c>
      <c r="D443" s="162" t="s">
        <v>398</v>
      </c>
      <c r="E443" s="162" t="s">
        <v>1200</v>
      </c>
      <c r="F443" s="162" t="s">
        <v>1200</v>
      </c>
    </row>
    <row r="444" spans="1:27" s="163" customFormat="1" ht="24">
      <c r="A444" s="159"/>
      <c r="B444" s="160">
        <v>528</v>
      </c>
      <c r="C444" s="161"/>
      <c r="D444" s="162" t="s">
        <v>399</v>
      </c>
      <c r="E444" s="162" t="s">
        <v>1201</v>
      </c>
      <c r="F444" s="162" t="s">
        <v>1201</v>
      </c>
      <c r="G444" s="159"/>
      <c r="H444" s="159"/>
      <c r="I444" s="159"/>
      <c r="J444" s="159"/>
      <c r="K444" s="159"/>
      <c r="L444" s="159"/>
      <c r="M444" s="159"/>
      <c r="N444" s="159"/>
      <c r="O444" s="159"/>
      <c r="P444" s="159"/>
      <c r="Q444" s="159"/>
      <c r="R444" s="159"/>
      <c r="S444" s="159"/>
      <c r="T444" s="159"/>
      <c r="U444" s="159"/>
      <c r="V444" s="159"/>
      <c r="W444" s="159"/>
      <c r="X444" s="159"/>
      <c r="Y444" s="159"/>
      <c r="Z444" s="159"/>
      <c r="AA444" s="159"/>
    </row>
    <row r="445" spans="1:27" s="163" customFormat="1">
      <c r="A445" s="159"/>
      <c r="B445" s="160">
        <v>529</v>
      </c>
      <c r="C445" s="161"/>
      <c r="D445" s="162" t="s">
        <v>239</v>
      </c>
      <c r="E445" s="162" t="s">
        <v>1202</v>
      </c>
      <c r="F445" s="162" t="s">
        <v>1202</v>
      </c>
      <c r="G445" s="159"/>
      <c r="H445" s="159"/>
      <c r="I445" s="159"/>
      <c r="J445" s="159"/>
      <c r="K445" s="159"/>
      <c r="L445" s="159"/>
      <c r="M445" s="159"/>
      <c r="N445" s="159"/>
      <c r="O445" s="159"/>
      <c r="P445" s="159"/>
      <c r="Q445" s="159"/>
      <c r="R445" s="159"/>
      <c r="S445" s="159"/>
      <c r="T445" s="159"/>
      <c r="U445" s="159"/>
      <c r="V445" s="159"/>
      <c r="W445" s="159"/>
      <c r="X445" s="159"/>
      <c r="Y445" s="159"/>
      <c r="Z445" s="159"/>
      <c r="AA445" s="159"/>
    </row>
    <row r="446" spans="1:27" s="164" customFormat="1" ht="36">
      <c r="A446" s="159"/>
      <c r="B446" s="160">
        <v>530</v>
      </c>
      <c r="C446" s="161"/>
      <c r="D446" s="162" t="s">
        <v>240</v>
      </c>
      <c r="E446" s="162" t="s">
        <v>1203</v>
      </c>
      <c r="F446" s="162" t="s">
        <v>1203</v>
      </c>
      <c r="G446" s="159"/>
      <c r="H446" s="159"/>
      <c r="I446" s="159"/>
      <c r="J446" s="159"/>
      <c r="K446" s="159"/>
      <c r="L446" s="159"/>
      <c r="M446" s="159"/>
      <c r="N446" s="159"/>
      <c r="O446" s="159"/>
      <c r="P446" s="159"/>
      <c r="Q446" s="159"/>
      <c r="R446" s="159"/>
      <c r="S446" s="159"/>
      <c r="T446" s="159"/>
      <c r="U446" s="159"/>
      <c r="V446" s="159"/>
      <c r="W446" s="159"/>
      <c r="X446" s="159"/>
      <c r="Y446" s="159"/>
      <c r="Z446" s="159"/>
      <c r="AA446" s="159"/>
    </row>
    <row r="447" spans="1:27" s="164" customFormat="1">
      <c r="A447" s="159"/>
      <c r="B447" s="160">
        <v>531</v>
      </c>
      <c r="C447" s="161"/>
      <c r="D447" s="162" t="s">
        <v>241</v>
      </c>
      <c r="E447" s="162" t="s">
        <v>1204</v>
      </c>
      <c r="F447" s="162" t="s">
        <v>1204</v>
      </c>
      <c r="G447" s="159"/>
      <c r="H447" s="159"/>
      <c r="I447" s="159"/>
      <c r="J447" s="159"/>
      <c r="K447" s="159"/>
      <c r="L447" s="159"/>
      <c r="M447" s="159"/>
      <c r="N447" s="159"/>
      <c r="O447" s="159"/>
      <c r="P447" s="159"/>
      <c r="Q447" s="159"/>
      <c r="R447" s="159"/>
      <c r="S447" s="159"/>
      <c r="T447" s="159"/>
      <c r="U447" s="159"/>
      <c r="V447" s="159"/>
      <c r="W447" s="159"/>
      <c r="X447" s="159"/>
      <c r="Y447" s="159"/>
      <c r="Z447" s="159"/>
      <c r="AA447" s="159"/>
    </row>
    <row r="448" spans="1:27" s="164" customFormat="1" ht="36">
      <c r="A448" s="159"/>
      <c r="B448" s="160">
        <v>532</v>
      </c>
      <c r="C448" s="161"/>
      <c r="D448" s="162" t="s">
        <v>242</v>
      </c>
      <c r="E448" s="162" t="s">
        <v>1205</v>
      </c>
      <c r="F448" s="162" t="s">
        <v>1205</v>
      </c>
      <c r="G448" s="159"/>
      <c r="H448" s="159"/>
      <c r="I448" s="159"/>
      <c r="J448" s="159"/>
      <c r="K448" s="159"/>
      <c r="L448" s="159"/>
      <c r="M448" s="159"/>
      <c r="N448" s="159"/>
      <c r="O448" s="159"/>
      <c r="P448" s="159"/>
      <c r="Q448" s="159"/>
      <c r="R448" s="159"/>
      <c r="S448" s="159"/>
      <c r="T448" s="159"/>
      <c r="U448" s="159"/>
      <c r="V448" s="159"/>
      <c r="W448" s="159"/>
      <c r="X448" s="159"/>
      <c r="Y448" s="159"/>
      <c r="Z448" s="159"/>
      <c r="AA448" s="159"/>
    </row>
    <row r="449" spans="1:27" s="164" customFormat="1" ht="24">
      <c r="A449" s="159"/>
      <c r="B449" s="160">
        <v>533</v>
      </c>
      <c r="C449" s="161"/>
      <c r="D449" s="162" t="s">
        <v>243</v>
      </c>
      <c r="E449" s="162" t="s">
        <v>1206</v>
      </c>
      <c r="F449" s="162" t="s">
        <v>1206</v>
      </c>
      <c r="G449" s="159"/>
      <c r="H449" s="159"/>
      <c r="I449" s="159"/>
      <c r="J449" s="159"/>
      <c r="K449" s="159"/>
      <c r="L449" s="159"/>
      <c r="M449" s="159"/>
      <c r="N449" s="159"/>
      <c r="O449" s="159"/>
      <c r="P449" s="159"/>
      <c r="Q449" s="159"/>
      <c r="R449" s="159"/>
      <c r="S449" s="159"/>
      <c r="T449" s="159"/>
      <c r="U449" s="159"/>
      <c r="V449" s="159"/>
      <c r="W449" s="159"/>
      <c r="X449" s="159"/>
      <c r="Y449" s="159"/>
      <c r="Z449" s="159"/>
      <c r="AA449" s="159"/>
    </row>
    <row r="450" spans="1:27" s="164" customFormat="1" ht="24">
      <c r="A450" s="159"/>
      <c r="B450" s="160">
        <v>534</v>
      </c>
      <c r="C450" s="161"/>
      <c r="D450" s="162" t="s">
        <v>244</v>
      </c>
      <c r="E450" s="162" t="s">
        <v>1207</v>
      </c>
      <c r="F450" s="162" t="s">
        <v>1207</v>
      </c>
      <c r="G450" s="159"/>
      <c r="H450" s="159"/>
      <c r="I450" s="159"/>
      <c r="J450" s="159"/>
      <c r="K450" s="159"/>
      <c r="L450" s="159"/>
      <c r="M450" s="159"/>
      <c r="N450" s="159"/>
      <c r="O450" s="159"/>
      <c r="P450" s="159"/>
      <c r="Q450" s="159"/>
      <c r="R450" s="159"/>
      <c r="S450" s="159"/>
      <c r="T450" s="159"/>
      <c r="U450" s="159"/>
      <c r="V450" s="159"/>
      <c r="W450" s="159"/>
      <c r="X450" s="159"/>
      <c r="Y450" s="159"/>
      <c r="Z450" s="159"/>
      <c r="AA450" s="159"/>
    </row>
    <row r="451" spans="1:27" s="164" customFormat="1" ht="24">
      <c r="A451" s="159"/>
      <c r="B451" s="160">
        <v>535</v>
      </c>
      <c r="C451" s="161"/>
      <c r="D451" s="162" t="s">
        <v>245</v>
      </c>
      <c r="E451" s="162" t="s">
        <v>1208</v>
      </c>
      <c r="F451" s="162" t="s">
        <v>1208</v>
      </c>
      <c r="G451" s="159"/>
      <c r="H451" s="159"/>
      <c r="I451" s="159"/>
      <c r="J451" s="159"/>
      <c r="K451" s="159"/>
      <c r="L451" s="159"/>
      <c r="M451" s="159"/>
      <c r="N451" s="159"/>
      <c r="O451" s="159"/>
      <c r="P451" s="159"/>
      <c r="Q451" s="159"/>
      <c r="R451" s="159"/>
      <c r="S451" s="159"/>
      <c r="T451" s="159"/>
      <c r="U451" s="159"/>
      <c r="V451" s="159"/>
      <c r="W451" s="159"/>
      <c r="X451" s="159"/>
      <c r="Y451" s="159"/>
      <c r="Z451" s="159"/>
      <c r="AA451" s="159"/>
    </row>
    <row r="452" spans="1:27" s="164" customFormat="1" ht="24">
      <c r="A452" s="159"/>
      <c r="B452" s="160">
        <v>536</v>
      </c>
      <c r="C452" s="161"/>
      <c r="D452" s="162" t="s">
        <v>246</v>
      </c>
      <c r="E452" s="162" t="s">
        <v>1209</v>
      </c>
      <c r="F452" s="162" t="s">
        <v>1209</v>
      </c>
      <c r="G452" s="159"/>
      <c r="H452" s="159"/>
      <c r="I452" s="159"/>
      <c r="J452" s="159"/>
      <c r="K452" s="159"/>
      <c r="L452" s="159"/>
      <c r="M452" s="159"/>
      <c r="N452" s="159"/>
      <c r="O452" s="159"/>
      <c r="P452" s="159"/>
      <c r="Q452" s="159"/>
      <c r="R452" s="159"/>
      <c r="S452" s="159"/>
      <c r="T452" s="159"/>
      <c r="U452" s="159"/>
      <c r="V452" s="159"/>
      <c r="W452" s="159"/>
      <c r="X452" s="159"/>
      <c r="Y452" s="159"/>
      <c r="Z452" s="159"/>
      <c r="AA452" s="159"/>
    </row>
    <row r="453" spans="1:27" s="164" customFormat="1">
      <c r="A453" s="159"/>
      <c r="B453" s="160">
        <v>537</v>
      </c>
      <c r="C453" s="161"/>
      <c r="D453" s="162" t="s">
        <v>247</v>
      </c>
      <c r="E453" s="162" t="s">
        <v>1210</v>
      </c>
      <c r="F453" s="162" t="s">
        <v>1210</v>
      </c>
      <c r="G453" s="159"/>
      <c r="H453" s="159"/>
      <c r="I453" s="159"/>
      <c r="J453" s="159"/>
      <c r="K453" s="159"/>
      <c r="L453" s="159"/>
      <c r="M453" s="159"/>
      <c r="N453" s="159"/>
      <c r="O453" s="159"/>
      <c r="P453" s="159"/>
      <c r="Q453" s="159"/>
      <c r="R453" s="159"/>
      <c r="S453" s="159"/>
      <c r="T453" s="159"/>
      <c r="U453" s="159"/>
      <c r="V453" s="159"/>
      <c r="W453" s="159"/>
      <c r="X453" s="159"/>
      <c r="Y453" s="159"/>
      <c r="Z453" s="159"/>
      <c r="AA453" s="159"/>
    </row>
    <row r="454" spans="1:27" s="164" customFormat="1">
      <c r="A454" s="159"/>
      <c r="B454" s="160">
        <v>538</v>
      </c>
      <c r="C454" s="161"/>
      <c r="D454" s="162" t="s">
        <v>248</v>
      </c>
      <c r="E454" s="162" t="s">
        <v>1211</v>
      </c>
      <c r="F454" s="162" t="s">
        <v>1211</v>
      </c>
      <c r="G454" s="159"/>
      <c r="H454" s="159"/>
      <c r="I454" s="159"/>
      <c r="J454" s="159"/>
      <c r="K454" s="159"/>
      <c r="L454" s="159"/>
      <c r="M454" s="159"/>
      <c r="N454" s="159"/>
      <c r="O454" s="159"/>
      <c r="P454" s="159"/>
      <c r="Q454" s="159"/>
      <c r="R454" s="159"/>
      <c r="S454" s="159"/>
      <c r="T454" s="159"/>
      <c r="U454" s="159"/>
      <c r="V454" s="159"/>
      <c r="W454" s="159"/>
      <c r="X454" s="159"/>
      <c r="Y454" s="159"/>
      <c r="Z454" s="159"/>
      <c r="AA454" s="159"/>
    </row>
    <row r="455" spans="1:27" s="164" customFormat="1" ht="24">
      <c r="A455" s="159"/>
      <c r="B455" s="160">
        <v>539</v>
      </c>
      <c r="C455" s="161"/>
      <c r="D455" s="162" t="s">
        <v>249</v>
      </c>
      <c r="E455" s="162" t="s">
        <v>1212</v>
      </c>
      <c r="F455" s="162" t="s">
        <v>1212</v>
      </c>
      <c r="G455" s="159"/>
      <c r="H455" s="159"/>
      <c r="I455" s="159"/>
      <c r="J455" s="159"/>
      <c r="K455" s="159"/>
      <c r="L455" s="159"/>
      <c r="M455" s="159"/>
      <c r="N455" s="159"/>
      <c r="O455" s="159"/>
      <c r="P455" s="159"/>
      <c r="Q455" s="159"/>
      <c r="R455" s="159"/>
      <c r="S455" s="159"/>
      <c r="T455" s="159"/>
      <c r="U455" s="159"/>
      <c r="V455" s="159"/>
      <c r="W455" s="159"/>
      <c r="X455" s="159"/>
      <c r="Y455" s="159"/>
      <c r="Z455" s="159"/>
      <c r="AA455" s="159"/>
    </row>
    <row r="456" spans="1:27" s="164" customFormat="1">
      <c r="A456" s="159"/>
      <c r="B456" s="160">
        <v>540</v>
      </c>
      <c r="C456" s="161"/>
      <c r="D456" s="162" t="s">
        <v>250</v>
      </c>
      <c r="E456" s="162" t="s">
        <v>1213</v>
      </c>
      <c r="F456" s="162" t="s">
        <v>1213</v>
      </c>
      <c r="G456" s="159"/>
      <c r="H456" s="159"/>
      <c r="I456" s="159"/>
      <c r="J456" s="159"/>
      <c r="K456" s="159"/>
      <c r="L456" s="159"/>
      <c r="M456" s="159"/>
      <c r="N456" s="159"/>
      <c r="O456" s="159"/>
      <c r="P456" s="159"/>
      <c r="Q456" s="159"/>
      <c r="R456" s="159"/>
      <c r="S456" s="159"/>
      <c r="T456" s="159"/>
      <c r="U456" s="159"/>
      <c r="V456" s="159"/>
      <c r="W456" s="159"/>
      <c r="X456" s="159"/>
      <c r="Y456" s="159"/>
      <c r="Z456" s="159"/>
      <c r="AA456" s="159"/>
    </row>
    <row r="457" spans="1:27">
      <c r="B457" s="160">
        <v>541</v>
      </c>
      <c r="D457" s="162" t="s">
        <v>251</v>
      </c>
      <c r="E457" s="162" t="s">
        <v>1214</v>
      </c>
      <c r="F457" s="162" t="s">
        <v>1214</v>
      </c>
    </row>
    <row r="458" spans="1:27">
      <c r="B458" s="160">
        <v>542</v>
      </c>
      <c r="D458" s="162" t="s">
        <v>252</v>
      </c>
      <c r="E458" s="162" t="s">
        <v>1215</v>
      </c>
      <c r="F458" s="162" t="s">
        <v>1215</v>
      </c>
    </row>
    <row r="459" spans="1:27" ht="24">
      <c r="B459" s="160">
        <v>543</v>
      </c>
      <c r="D459" s="162" t="s">
        <v>400</v>
      </c>
      <c r="E459" s="162" t="s">
        <v>1216</v>
      </c>
      <c r="F459" s="162" t="s">
        <v>1216</v>
      </c>
    </row>
    <row r="460" spans="1:27" ht="48">
      <c r="A460" s="163"/>
      <c r="B460" s="160">
        <v>544</v>
      </c>
      <c r="C460" s="169" t="s">
        <v>432</v>
      </c>
      <c r="D460" s="163" t="s">
        <v>445</v>
      </c>
      <c r="E460" s="163" t="s">
        <v>1217</v>
      </c>
      <c r="F460" s="163" t="s">
        <v>1217</v>
      </c>
    </row>
    <row r="461" spans="1:27" ht="36">
      <c r="B461" s="160">
        <v>545</v>
      </c>
      <c r="D461" s="162" t="s">
        <v>253</v>
      </c>
      <c r="E461" s="162" t="s">
        <v>1218</v>
      </c>
      <c r="F461" s="162" t="s">
        <v>1218</v>
      </c>
    </row>
    <row r="462" spans="1:27">
      <c r="B462" s="160">
        <v>546</v>
      </c>
      <c r="D462" s="162" t="s">
        <v>254</v>
      </c>
      <c r="E462" s="162" t="s">
        <v>1219</v>
      </c>
      <c r="F462" s="162" t="s">
        <v>1219</v>
      </c>
    </row>
    <row r="463" spans="1:27">
      <c r="B463" s="160">
        <v>547</v>
      </c>
      <c r="D463" s="162" t="s">
        <v>255</v>
      </c>
      <c r="E463" s="162" t="s">
        <v>1220</v>
      </c>
      <c r="F463" s="162" t="s">
        <v>1220</v>
      </c>
    </row>
    <row r="464" spans="1:27">
      <c r="B464" s="160">
        <v>548</v>
      </c>
      <c r="D464" s="162" t="s">
        <v>256</v>
      </c>
      <c r="E464" s="162" t="s">
        <v>1221</v>
      </c>
      <c r="F464" s="162" t="s">
        <v>1221</v>
      </c>
    </row>
    <row r="465" spans="2:6" ht="24">
      <c r="B465" s="160">
        <v>549</v>
      </c>
      <c r="D465" s="162" t="s">
        <v>479</v>
      </c>
      <c r="E465" s="162" t="s">
        <v>1222</v>
      </c>
      <c r="F465" s="162" t="s">
        <v>1222</v>
      </c>
    </row>
    <row r="466" spans="2:6">
      <c r="B466" s="160">
        <v>550</v>
      </c>
      <c r="D466" s="162" t="s">
        <v>257</v>
      </c>
      <c r="E466" s="162" t="s">
        <v>1223</v>
      </c>
      <c r="F466" s="162" t="s">
        <v>1223</v>
      </c>
    </row>
    <row r="467" spans="2:6">
      <c r="B467" s="160">
        <v>551</v>
      </c>
      <c r="D467" s="162" t="s">
        <v>258</v>
      </c>
      <c r="E467" s="162" t="s">
        <v>1224</v>
      </c>
      <c r="F467" s="162" t="s">
        <v>1224</v>
      </c>
    </row>
    <row r="468" spans="2:6">
      <c r="B468" s="160">
        <v>552</v>
      </c>
      <c r="D468" s="162" t="s">
        <v>259</v>
      </c>
      <c r="E468" s="162" t="s">
        <v>1225</v>
      </c>
      <c r="F468" s="162" t="s">
        <v>1225</v>
      </c>
    </row>
    <row r="469" spans="2:6" ht="24">
      <c r="B469" s="160">
        <v>553</v>
      </c>
      <c r="D469" s="162" t="s">
        <v>606</v>
      </c>
      <c r="E469" s="162" t="s">
        <v>1226</v>
      </c>
      <c r="F469" s="162" t="s">
        <v>1226</v>
      </c>
    </row>
    <row r="470" spans="2:6">
      <c r="B470" s="160">
        <v>554</v>
      </c>
      <c r="D470" s="162" t="s">
        <v>607</v>
      </c>
      <c r="E470" s="162" t="s">
        <v>1227</v>
      </c>
      <c r="F470" s="162" t="s">
        <v>1227</v>
      </c>
    </row>
    <row r="471" spans="2:6" ht="24">
      <c r="B471" s="160">
        <v>555</v>
      </c>
      <c r="D471" s="162" t="s">
        <v>260</v>
      </c>
      <c r="E471" s="162" t="s">
        <v>1228</v>
      </c>
      <c r="F471" s="162" t="s">
        <v>1228</v>
      </c>
    </row>
    <row r="472" spans="2:6">
      <c r="B472" s="160">
        <v>556</v>
      </c>
      <c r="D472" s="162" t="s">
        <v>401</v>
      </c>
      <c r="E472" s="162" t="s">
        <v>1229</v>
      </c>
      <c r="F472" s="162" t="s">
        <v>1229</v>
      </c>
    </row>
    <row r="473" spans="2:6" ht="24">
      <c r="B473" s="160">
        <v>557</v>
      </c>
      <c r="D473" s="162" t="s">
        <v>261</v>
      </c>
      <c r="E473" s="162" t="s">
        <v>1230</v>
      </c>
      <c r="F473" s="162" t="s">
        <v>1230</v>
      </c>
    </row>
    <row r="474" spans="2:6" ht="24">
      <c r="B474" s="160">
        <v>558</v>
      </c>
      <c r="D474" s="162" t="s">
        <v>402</v>
      </c>
      <c r="E474" s="162" t="s">
        <v>1231</v>
      </c>
      <c r="F474" s="162" t="s">
        <v>1231</v>
      </c>
    </row>
    <row r="475" spans="2:6" ht="24">
      <c r="B475" s="160">
        <v>559</v>
      </c>
      <c r="D475" s="162" t="s">
        <v>262</v>
      </c>
      <c r="E475" s="162" t="s">
        <v>1232</v>
      </c>
      <c r="F475" s="162" t="s">
        <v>1232</v>
      </c>
    </row>
    <row r="476" spans="2:6">
      <c r="B476" s="160">
        <v>560</v>
      </c>
      <c r="D476" s="162" t="s">
        <v>263</v>
      </c>
      <c r="E476" s="162" t="s">
        <v>1233</v>
      </c>
      <c r="F476" s="162" t="s">
        <v>1233</v>
      </c>
    </row>
    <row r="477" spans="2:6">
      <c r="B477" s="160">
        <v>561</v>
      </c>
      <c r="C477" s="161" t="s">
        <v>484</v>
      </c>
      <c r="D477" s="162" t="s">
        <v>483</v>
      </c>
      <c r="E477" s="162" t="s">
        <v>1234</v>
      </c>
      <c r="F477" s="162" t="s">
        <v>1234</v>
      </c>
    </row>
    <row r="478" spans="2:6" ht="24">
      <c r="B478" s="160">
        <v>562</v>
      </c>
      <c r="C478" s="161" t="s">
        <v>484</v>
      </c>
      <c r="D478" s="162" t="s">
        <v>480</v>
      </c>
      <c r="E478" s="162" t="s">
        <v>1235</v>
      </c>
      <c r="F478" s="162" t="s">
        <v>1235</v>
      </c>
    </row>
    <row r="479" spans="2:6">
      <c r="B479" s="160">
        <v>563</v>
      </c>
      <c r="D479" s="162" t="s">
        <v>264</v>
      </c>
      <c r="E479" s="162" t="s">
        <v>1236</v>
      </c>
      <c r="F479" s="162" t="s">
        <v>1236</v>
      </c>
    </row>
    <row r="480" spans="2:6">
      <c r="B480" s="160">
        <v>564</v>
      </c>
      <c r="D480" s="162" t="s">
        <v>265</v>
      </c>
      <c r="E480" s="162" t="s">
        <v>1237</v>
      </c>
      <c r="F480" s="162" t="s">
        <v>1237</v>
      </c>
    </row>
    <row r="481" spans="2:6" ht="36">
      <c r="B481" s="160">
        <v>565</v>
      </c>
      <c r="D481" s="162" t="s">
        <v>332</v>
      </c>
      <c r="E481" s="162" t="s">
        <v>1238</v>
      </c>
      <c r="F481" s="162" t="s">
        <v>1238</v>
      </c>
    </row>
    <row r="482" spans="2:6">
      <c r="B482" s="160">
        <v>566</v>
      </c>
      <c r="D482" s="162" t="s">
        <v>266</v>
      </c>
      <c r="E482" s="162" t="s">
        <v>1239</v>
      </c>
      <c r="F482" s="162" t="s">
        <v>1239</v>
      </c>
    </row>
    <row r="483" spans="2:6">
      <c r="B483" s="160">
        <v>567</v>
      </c>
      <c r="D483" s="162" t="s">
        <v>267</v>
      </c>
      <c r="E483" s="162" t="s">
        <v>1240</v>
      </c>
      <c r="F483" s="162" t="s">
        <v>1240</v>
      </c>
    </row>
    <row r="484" spans="2:6">
      <c r="B484" s="160">
        <v>568</v>
      </c>
      <c r="D484" s="162" t="s">
        <v>268</v>
      </c>
      <c r="E484" s="162" t="s">
        <v>1241</v>
      </c>
      <c r="F484" s="162" t="s">
        <v>1241</v>
      </c>
    </row>
    <row r="485" spans="2:6">
      <c r="B485" s="160">
        <v>569</v>
      </c>
      <c r="D485" s="162" t="s">
        <v>269</v>
      </c>
      <c r="E485" s="162" t="s">
        <v>1242</v>
      </c>
      <c r="F485" s="162" t="s">
        <v>1242</v>
      </c>
    </row>
    <row r="486" spans="2:6">
      <c r="B486" s="160">
        <v>570</v>
      </c>
      <c r="D486" s="162" t="s">
        <v>270</v>
      </c>
      <c r="E486" s="162" t="s">
        <v>1243</v>
      </c>
      <c r="F486" s="162" t="s">
        <v>1243</v>
      </c>
    </row>
    <row r="487" spans="2:6" ht="36">
      <c r="B487" s="160">
        <v>571</v>
      </c>
      <c r="D487" s="162" t="s">
        <v>271</v>
      </c>
      <c r="E487" s="162" t="s">
        <v>1244</v>
      </c>
      <c r="F487" s="162" t="s">
        <v>1244</v>
      </c>
    </row>
    <row r="488" spans="2:6" ht="24">
      <c r="B488" s="160">
        <v>572</v>
      </c>
      <c r="D488" s="162" t="s">
        <v>272</v>
      </c>
      <c r="E488" s="162" t="s">
        <v>1245</v>
      </c>
      <c r="F488" s="162" t="s">
        <v>1245</v>
      </c>
    </row>
    <row r="489" spans="2:6">
      <c r="B489" s="160">
        <v>573</v>
      </c>
      <c r="D489" s="162" t="s">
        <v>273</v>
      </c>
      <c r="E489" s="162" t="s">
        <v>1246</v>
      </c>
      <c r="F489" s="162" t="s">
        <v>1246</v>
      </c>
    </row>
    <row r="490" spans="2:6">
      <c r="B490" s="160">
        <v>574</v>
      </c>
      <c r="D490" s="162" t="s">
        <v>274</v>
      </c>
      <c r="E490" s="162" t="s">
        <v>1247</v>
      </c>
      <c r="F490" s="162" t="s">
        <v>1247</v>
      </c>
    </row>
    <row r="491" spans="2:6" ht="24">
      <c r="B491" s="160">
        <v>575</v>
      </c>
      <c r="D491" s="162" t="s">
        <v>403</v>
      </c>
      <c r="E491" s="162" t="s">
        <v>1248</v>
      </c>
      <c r="F491" s="162" t="s">
        <v>1248</v>
      </c>
    </row>
    <row r="492" spans="2:6">
      <c r="B492" s="160">
        <v>576</v>
      </c>
      <c r="D492" s="162" t="s">
        <v>275</v>
      </c>
      <c r="E492" s="162" t="s">
        <v>1249</v>
      </c>
      <c r="F492" s="162" t="s">
        <v>1249</v>
      </c>
    </row>
    <row r="493" spans="2:6">
      <c r="B493" s="160">
        <v>577</v>
      </c>
      <c r="D493" s="162" t="s">
        <v>276</v>
      </c>
      <c r="E493" s="162" t="s">
        <v>1250</v>
      </c>
      <c r="F493" s="162" t="s">
        <v>1250</v>
      </c>
    </row>
    <row r="494" spans="2:6">
      <c r="B494" s="160">
        <v>578</v>
      </c>
      <c r="D494" s="162" t="s">
        <v>612</v>
      </c>
      <c r="E494" s="162" t="s">
        <v>1251</v>
      </c>
      <c r="F494" s="162" t="s">
        <v>1251</v>
      </c>
    </row>
    <row r="495" spans="2:6">
      <c r="B495" s="160">
        <v>579</v>
      </c>
      <c r="D495" s="162" t="s">
        <v>610</v>
      </c>
      <c r="E495" s="162" t="s">
        <v>1252</v>
      </c>
      <c r="F495" s="162" t="s">
        <v>1252</v>
      </c>
    </row>
    <row r="496" spans="2:6">
      <c r="B496" s="160">
        <v>580</v>
      </c>
      <c r="D496" s="162" t="s">
        <v>277</v>
      </c>
      <c r="E496" s="162" t="s">
        <v>1253</v>
      </c>
      <c r="F496" s="162" t="s">
        <v>1253</v>
      </c>
    </row>
    <row r="497" spans="1:6">
      <c r="B497" s="160">
        <v>581</v>
      </c>
      <c r="D497" s="162" t="s">
        <v>404</v>
      </c>
      <c r="E497" s="162" t="s">
        <v>1254</v>
      </c>
      <c r="F497" s="162" t="s">
        <v>1254</v>
      </c>
    </row>
    <row r="498" spans="1:6" ht="36">
      <c r="B498" s="160">
        <v>582</v>
      </c>
      <c r="D498" s="162" t="s">
        <v>405</v>
      </c>
      <c r="E498" s="162" t="s">
        <v>1255</v>
      </c>
      <c r="F498" s="162" t="s">
        <v>1255</v>
      </c>
    </row>
    <row r="499" spans="1:6">
      <c r="B499" s="160">
        <v>583</v>
      </c>
      <c r="D499" s="162" t="s">
        <v>278</v>
      </c>
      <c r="E499" s="162" t="s">
        <v>1256</v>
      </c>
      <c r="F499" s="162" t="s">
        <v>1256</v>
      </c>
    </row>
    <row r="500" spans="1:6">
      <c r="B500" s="160">
        <v>584</v>
      </c>
      <c r="D500" s="162" t="s">
        <v>279</v>
      </c>
      <c r="E500" s="162" t="s">
        <v>1257</v>
      </c>
      <c r="F500" s="162" t="s">
        <v>1257</v>
      </c>
    </row>
    <row r="501" spans="1:6">
      <c r="B501" s="160">
        <v>585</v>
      </c>
      <c r="C501" s="161" t="s">
        <v>466</v>
      </c>
      <c r="D501" s="159" t="s">
        <v>461</v>
      </c>
      <c r="E501" s="167" t="s">
        <v>1258</v>
      </c>
      <c r="F501" s="167" t="s">
        <v>1258</v>
      </c>
    </row>
    <row r="502" spans="1:6">
      <c r="B502" s="160">
        <v>586</v>
      </c>
      <c r="C502" s="161" t="s">
        <v>466</v>
      </c>
      <c r="D502" s="162" t="s">
        <v>459</v>
      </c>
      <c r="E502" s="167" t="s">
        <v>1259</v>
      </c>
      <c r="F502" s="167" t="s">
        <v>1259</v>
      </c>
    </row>
    <row r="503" spans="1:6">
      <c r="B503" s="160">
        <v>587</v>
      </c>
      <c r="D503" s="162" t="s">
        <v>280</v>
      </c>
      <c r="E503" s="162" t="s">
        <v>1260</v>
      </c>
      <c r="F503" s="162" t="s">
        <v>1260</v>
      </c>
    </row>
    <row r="504" spans="1:6" ht="36">
      <c r="B504" s="160">
        <v>588</v>
      </c>
      <c r="D504" s="162" t="s">
        <v>281</v>
      </c>
      <c r="E504" s="162" t="s">
        <v>1261</v>
      </c>
      <c r="F504" s="162" t="s">
        <v>1261</v>
      </c>
    </row>
    <row r="505" spans="1:6">
      <c r="B505" s="160">
        <v>589</v>
      </c>
      <c r="D505" s="162" t="s">
        <v>282</v>
      </c>
      <c r="E505" s="162" t="s">
        <v>1262</v>
      </c>
      <c r="F505" s="162" t="s">
        <v>1262</v>
      </c>
    </row>
    <row r="506" spans="1:6">
      <c r="A506" s="164"/>
      <c r="B506" s="160">
        <v>590</v>
      </c>
      <c r="C506" s="165" t="s">
        <v>414</v>
      </c>
      <c r="D506" s="163" t="s">
        <v>420</v>
      </c>
      <c r="E506" s="163" t="s">
        <v>1263</v>
      </c>
      <c r="F506" s="163" t="s">
        <v>1263</v>
      </c>
    </row>
    <row r="507" spans="1:6">
      <c r="A507" s="164"/>
      <c r="B507" s="160">
        <v>591</v>
      </c>
      <c r="C507" s="165" t="s">
        <v>414</v>
      </c>
      <c r="D507" s="163" t="s">
        <v>446</v>
      </c>
      <c r="E507" s="163" t="s">
        <v>1264</v>
      </c>
      <c r="F507" s="163" t="s">
        <v>1264</v>
      </c>
    </row>
    <row r="508" spans="1:6">
      <c r="B508" s="160">
        <v>592</v>
      </c>
      <c r="D508" s="162" t="s">
        <v>283</v>
      </c>
      <c r="E508" s="163" t="s">
        <v>1265</v>
      </c>
      <c r="F508" s="163" t="s">
        <v>1265</v>
      </c>
    </row>
    <row r="509" spans="1:6">
      <c r="B509" s="160">
        <v>593</v>
      </c>
      <c r="D509" s="162" t="s">
        <v>284</v>
      </c>
      <c r="E509" s="162" t="s">
        <v>1266</v>
      </c>
      <c r="F509" s="162" t="s">
        <v>1266</v>
      </c>
    </row>
    <row r="510" spans="1:6">
      <c r="B510" s="160">
        <v>594</v>
      </c>
      <c r="D510" s="162" t="s">
        <v>285</v>
      </c>
      <c r="E510" s="162" t="s">
        <v>1267</v>
      </c>
      <c r="F510" s="162" t="s">
        <v>1267</v>
      </c>
    </row>
    <row r="511" spans="1:6" ht="24">
      <c r="B511" s="160">
        <v>595</v>
      </c>
      <c r="D511" s="162" t="s">
        <v>286</v>
      </c>
      <c r="E511" s="162" t="s">
        <v>1268</v>
      </c>
      <c r="F511" s="162" t="s">
        <v>1268</v>
      </c>
    </row>
    <row r="512" spans="1:6">
      <c r="B512" s="160">
        <v>596</v>
      </c>
      <c r="D512" s="162" t="s">
        <v>287</v>
      </c>
      <c r="E512" s="162" t="s">
        <v>1269</v>
      </c>
      <c r="F512" s="162" t="s">
        <v>1269</v>
      </c>
    </row>
    <row r="513" spans="2:6" ht="36">
      <c r="B513" s="160">
        <v>597</v>
      </c>
      <c r="D513" s="162" t="s">
        <v>288</v>
      </c>
      <c r="E513" s="162" t="s">
        <v>1270</v>
      </c>
      <c r="F513" s="162" t="s">
        <v>1270</v>
      </c>
    </row>
    <row r="514" spans="2:6">
      <c r="B514" s="160">
        <v>598</v>
      </c>
      <c r="D514" s="162" t="s">
        <v>289</v>
      </c>
      <c r="E514" s="162" t="s">
        <v>1271</v>
      </c>
      <c r="F514" s="162" t="s">
        <v>1271</v>
      </c>
    </row>
    <row r="515" spans="2:6">
      <c r="B515" s="160">
        <v>599</v>
      </c>
      <c r="D515" s="162" t="s">
        <v>290</v>
      </c>
      <c r="E515" s="162" t="s">
        <v>1272</v>
      </c>
      <c r="F515" s="162" t="s">
        <v>1272</v>
      </c>
    </row>
    <row r="516" spans="2:6">
      <c r="B516" s="160">
        <v>600</v>
      </c>
      <c r="D516" s="162" t="s">
        <v>291</v>
      </c>
      <c r="E516" s="162" t="s">
        <v>1273</v>
      </c>
      <c r="F516" s="162" t="s">
        <v>1273</v>
      </c>
    </row>
    <row r="517" spans="2:6">
      <c r="B517" s="160">
        <v>601</v>
      </c>
      <c r="D517" s="162" t="s">
        <v>292</v>
      </c>
      <c r="E517" s="162" t="s">
        <v>1274</v>
      </c>
      <c r="F517" s="162" t="s">
        <v>1274</v>
      </c>
    </row>
    <row r="518" spans="2:6">
      <c r="B518" s="160">
        <v>602</v>
      </c>
      <c r="D518" s="162" t="s">
        <v>293</v>
      </c>
      <c r="E518" s="162" t="s">
        <v>1275</v>
      </c>
      <c r="F518" s="162" t="s">
        <v>1275</v>
      </c>
    </row>
    <row r="519" spans="2:6">
      <c r="B519" s="160">
        <v>603</v>
      </c>
      <c r="D519" s="162" t="s">
        <v>294</v>
      </c>
      <c r="E519" s="162" t="s">
        <v>1276</v>
      </c>
      <c r="F519" s="162" t="s">
        <v>1276</v>
      </c>
    </row>
    <row r="520" spans="2:6">
      <c r="B520" s="160">
        <v>604</v>
      </c>
      <c r="D520" s="162" t="s">
        <v>295</v>
      </c>
      <c r="E520" s="162" t="s">
        <v>295</v>
      </c>
      <c r="F520" s="162" t="s">
        <v>295</v>
      </c>
    </row>
    <row r="521" spans="2:6">
      <c r="B521" s="160">
        <v>605</v>
      </c>
      <c r="D521" s="162" t="s">
        <v>406</v>
      </c>
      <c r="E521" s="162" t="s">
        <v>1277</v>
      </c>
      <c r="F521" s="162" t="s">
        <v>1277</v>
      </c>
    </row>
    <row r="522" spans="2:6" ht="24">
      <c r="B522" s="160">
        <v>606</v>
      </c>
      <c r="D522" s="162" t="s">
        <v>296</v>
      </c>
      <c r="E522" s="162" t="s">
        <v>1278</v>
      </c>
      <c r="F522" s="162" t="s">
        <v>1278</v>
      </c>
    </row>
    <row r="523" spans="2:6">
      <c r="B523" s="160">
        <v>607</v>
      </c>
      <c r="D523" s="162" t="s">
        <v>297</v>
      </c>
      <c r="E523" s="162" t="s">
        <v>297</v>
      </c>
      <c r="F523" s="162" t="s">
        <v>297</v>
      </c>
    </row>
    <row r="524" spans="2:6">
      <c r="B524" s="160">
        <v>608</v>
      </c>
      <c r="D524" s="162" t="s">
        <v>595</v>
      </c>
      <c r="E524" s="162" t="s">
        <v>1279</v>
      </c>
      <c r="F524" s="162" t="s">
        <v>1279</v>
      </c>
    </row>
    <row r="525" spans="2:6">
      <c r="B525" s="160">
        <v>609</v>
      </c>
      <c r="D525" s="162" t="s">
        <v>594</v>
      </c>
      <c r="E525" s="162" t="s">
        <v>1280</v>
      </c>
      <c r="F525" s="162" t="s">
        <v>1280</v>
      </c>
    </row>
    <row r="526" spans="2:6">
      <c r="B526" s="160">
        <v>610</v>
      </c>
      <c r="D526" s="162" t="s">
        <v>407</v>
      </c>
      <c r="F526" s="162"/>
    </row>
    <row r="527" spans="2:6">
      <c r="B527" s="160">
        <v>611</v>
      </c>
      <c r="D527" s="162" t="s">
        <v>298</v>
      </c>
      <c r="E527" s="162" t="s">
        <v>1281</v>
      </c>
      <c r="F527" s="162" t="s">
        <v>1281</v>
      </c>
    </row>
    <row r="528" spans="2:6">
      <c r="B528" s="160">
        <v>612</v>
      </c>
      <c r="C528" s="161" t="s">
        <v>484</v>
      </c>
      <c r="D528" s="162" t="s">
        <v>486</v>
      </c>
      <c r="E528" s="162" t="s">
        <v>1282</v>
      </c>
      <c r="F528" s="162" t="s">
        <v>1282</v>
      </c>
    </row>
    <row r="529" spans="2:6">
      <c r="B529" s="160">
        <v>613</v>
      </c>
      <c r="D529" s="162" t="s">
        <v>408</v>
      </c>
      <c r="E529" s="162" t="s">
        <v>1283</v>
      </c>
      <c r="F529" s="162" t="s">
        <v>1283</v>
      </c>
    </row>
    <row r="530" spans="2:6">
      <c r="B530" s="160">
        <v>614</v>
      </c>
      <c r="D530" s="162" t="s">
        <v>409</v>
      </c>
      <c r="E530" s="162" t="s">
        <v>1284</v>
      </c>
      <c r="F530" s="162" t="s">
        <v>1284</v>
      </c>
    </row>
    <row r="531" spans="2:6">
      <c r="B531" s="160">
        <v>615</v>
      </c>
      <c r="D531" s="162" t="s">
        <v>410</v>
      </c>
      <c r="E531" s="162" t="s">
        <v>1283</v>
      </c>
      <c r="F531" s="162" t="s">
        <v>1283</v>
      </c>
    </row>
    <row r="532" spans="2:6">
      <c r="B532" s="160">
        <v>616</v>
      </c>
      <c r="D532" s="162" t="s">
        <v>299</v>
      </c>
      <c r="E532" s="162" t="s">
        <v>1285</v>
      </c>
      <c r="F532" s="162" t="s">
        <v>1285</v>
      </c>
    </row>
    <row r="533" spans="2:6">
      <c r="B533" s="160">
        <v>617</v>
      </c>
      <c r="D533" s="162" t="s">
        <v>300</v>
      </c>
      <c r="E533" s="162" t="s">
        <v>1286</v>
      </c>
      <c r="F533" s="162" t="s">
        <v>1286</v>
      </c>
    </row>
    <row r="534" spans="2:6">
      <c r="B534" s="160">
        <v>618</v>
      </c>
      <c r="D534" s="162" t="s">
        <v>301</v>
      </c>
      <c r="E534" s="162" t="s">
        <v>1287</v>
      </c>
      <c r="F534" s="162" t="s">
        <v>1287</v>
      </c>
    </row>
    <row r="535" spans="2:6">
      <c r="B535" s="160">
        <v>619</v>
      </c>
      <c r="D535" s="162" t="s">
        <v>616</v>
      </c>
      <c r="E535" s="162" t="s">
        <v>1288</v>
      </c>
      <c r="F535" s="162" t="s">
        <v>1288</v>
      </c>
    </row>
    <row r="536" spans="2:6">
      <c r="B536" s="160">
        <v>620</v>
      </c>
      <c r="D536" s="162" t="s">
        <v>615</v>
      </c>
      <c r="E536" s="162" t="s">
        <v>1289</v>
      </c>
      <c r="F536" s="162" t="s">
        <v>1289</v>
      </c>
    </row>
    <row r="537" spans="2:6" ht="36">
      <c r="B537" s="160">
        <v>621</v>
      </c>
      <c r="C537" s="161" t="s">
        <v>543</v>
      </c>
      <c r="D537" s="162" t="s">
        <v>553</v>
      </c>
      <c r="E537" s="162" t="s">
        <v>1290</v>
      </c>
      <c r="F537" s="162" t="s">
        <v>1290</v>
      </c>
    </row>
    <row r="538" spans="2:6" ht="36">
      <c r="B538" s="160">
        <v>622</v>
      </c>
      <c r="C538" s="161" t="s">
        <v>543</v>
      </c>
      <c r="D538" s="162" t="s">
        <v>568</v>
      </c>
      <c r="E538" s="162" t="s">
        <v>1291</v>
      </c>
      <c r="F538" s="162" t="s">
        <v>1291</v>
      </c>
    </row>
    <row r="539" spans="2:6">
      <c r="B539" s="160">
        <v>623</v>
      </c>
      <c r="D539" s="162" t="s">
        <v>302</v>
      </c>
      <c r="E539" s="162" t="s">
        <v>1292</v>
      </c>
      <c r="F539" s="162" t="s">
        <v>1292</v>
      </c>
    </row>
    <row r="540" spans="2:6">
      <c r="B540" s="160">
        <v>624</v>
      </c>
      <c r="D540" s="162" t="s">
        <v>596</v>
      </c>
      <c r="E540" s="162" t="s">
        <v>1293</v>
      </c>
      <c r="F540" s="162" t="s">
        <v>1293</v>
      </c>
    </row>
    <row r="541" spans="2:6">
      <c r="B541" s="160">
        <v>625</v>
      </c>
      <c r="D541" s="162" t="s">
        <v>538</v>
      </c>
      <c r="E541" s="162" t="s">
        <v>538</v>
      </c>
      <c r="F541" s="162" t="s">
        <v>538</v>
      </c>
    </row>
    <row r="542" spans="2:6">
      <c r="B542" s="160">
        <v>626</v>
      </c>
      <c r="D542" s="162" t="s">
        <v>303</v>
      </c>
      <c r="F542" s="162"/>
    </row>
    <row r="543" spans="2:6">
      <c r="B543" s="160">
        <v>627</v>
      </c>
      <c r="D543" s="162" t="s">
        <v>304</v>
      </c>
      <c r="F543" s="162"/>
    </row>
    <row r="544" spans="2:6">
      <c r="B544" s="160">
        <v>628</v>
      </c>
      <c r="D544" s="162" t="s">
        <v>536</v>
      </c>
      <c r="E544" s="162" t="s">
        <v>537</v>
      </c>
      <c r="F544" s="162" t="s">
        <v>537</v>
      </c>
    </row>
    <row r="545" spans="1:6">
      <c r="B545" s="160">
        <v>629</v>
      </c>
      <c r="D545" s="162" t="s">
        <v>305</v>
      </c>
      <c r="E545" s="162" t="s">
        <v>1294</v>
      </c>
      <c r="F545" s="162" t="s">
        <v>1294</v>
      </c>
    </row>
    <row r="546" spans="1:6">
      <c r="B546" s="160">
        <v>630</v>
      </c>
      <c r="D546" s="162" t="s">
        <v>411</v>
      </c>
      <c r="E546" s="162" t="s">
        <v>1295</v>
      </c>
      <c r="F546" s="162" t="s">
        <v>1295</v>
      </c>
    </row>
    <row r="547" spans="1:6">
      <c r="B547" s="160">
        <v>631</v>
      </c>
      <c r="D547" s="162" t="s">
        <v>306</v>
      </c>
      <c r="E547" s="162" t="s">
        <v>1296</v>
      </c>
      <c r="F547" s="162" t="s">
        <v>1296</v>
      </c>
    </row>
    <row r="548" spans="1:6">
      <c r="B548" s="160">
        <v>632</v>
      </c>
      <c r="D548" s="162" t="s">
        <v>340</v>
      </c>
      <c r="E548" s="162" t="s">
        <v>1297</v>
      </c>
      <c r="F548" s="162" t="s">
        <v>1297</v>
      </c>
    </row>
    <row r="549" spans="1:6">
      <c r="B549" s="160">
        <v>633</v>
      </c>
      <c r="D549" s="162" t="s">
        <v>307</v>
      </c>
      <c r="E549" s="162" t="s">
        <v>1296</v>
      </c>
      <c r="F549" s="162" t="s">
        <v>1296</v>
      </c>
    </row>
    <row r="550" spans="1:6" ht="24">
      <c r="A550" s="163"/>
      <c r="B550" s="160">
        <v>634</v>
      </c>
      <c r="C550" s="163"/>
      <c r="D550" s="163" t="s">
        <v>447</v>
      </c>
      <c r="E550" s="163" t="s">
        <v>1298</v>
      </c>
      <c r="F550" s="163" t="s">
        <v>1298</v>
      </c>
    </row>
    <row r="551" spans="1:6">
      <c r="B551" s="160">
        <v>635</v>
      </c>
      <c r="C551" s="161" t="s">
        <v>543</v>
      </c>
      <c r="D551" s="162" t="s">
        <v>550</v>
      </c>
      <c r="E551" s="162" t="s">
        <v>1299</v>
      </c>
      <c r="F551" s="162" t="s">
        <v>1299</v>
      </c>
    </row>
    <row r="552" spans="1:6">
      <c r="B552" s="160">
        <v>636</v>
      </c>
      <c r="C552" s="161" t="s">
        <v>543</v>
      </c>
      <c r="D552" s="162" t="s">
        <v>641</v>
      </c>
      <c r="E552" s="162" t="s">
        <v>1300</v>
      </c>
      <c r="F552" s="162" t="s">
        <v>1300</v>
      </c>
    </row>
    <row r="553" spans="1:6">
      <c r="B553" s="160">
        <v>637</v>
      </c>
      <c r="D553" s="162" t="s">
        <v>308</v>
      </c>
      <c r="E553" s="162" t="s">
        <v>308</v>
      </c>
      <c r="F553" s="162" t="s">
        <v>308</v>
      </c>
    </row>
    <row r="554" spans="1:6">
      <c r="B554" s="160">
        <v>638</v>
      </c>
      <c r="D554" s="162" t="s">
        <v>309</v>
      </c>
      <c r="E554" s="162" t="s">
        <v>1301</v>
      </c>
      <c r="F554" s="162" t="s">
        <v>1301</v>
      </c>
    </row>
    <row r="555" spans="1:6">
      <c r="B555" s="160">
        <v>639</v>
      </c>
      <c r="D555" s="162" t="s">
        <v>310</v>
      </c>
      <c r="E555" s="162" t="s">
        <v>1302</v>
      </c>
      <c r="F555" s="162" t="s">
        <v>1302</v>
      </c>
    </row>
    <row r="556" spans="1:6">
      <c r="B556" s="160">
        <v>640</v>
      </c>
      <c r="D556" s="162" t="s">
        <v>412</v>
      </c>
      <c r="E556" s="162" t="s">
        <v>1303</v>
      </c>
      <c r="F556" s="162" t="s">
        <v>1303</v>
      </c>
    </row>
    <row r="557" spans="1:6" ht="24">
      <c r="B557" s="160">
        <v>641</v>
      </c>
      <c r="C557" s="161" t="s">
        <v>543</v>
      </c>
      <c r="D557" s="162" t="s">
        <v>569</v>
      </c>
      <c r="E557" s="162" t="s">
        <v>1304</v>
      </c>
      <c r="F557" s="162" t="s">
        <v>1304</v>
      </c>
    </row>
    <row r="558" spans="1:6">
      <c r="B558" s="160">
        <v>642</v>
      </c>
      <c r="D558" s="162" t="s">
        <v>311</v>
      </c>
      <c r="E558" s="162" t="s">
        <v>1305</v>
      </c>
      <c r="F558" s="162" t="s">
        <v>1305</v>
      </c>
    </row>
    <row r="559" spans="1:6" ht="36">
      <c r="B559" s="160">
        <v>643</v>
      </c>
      <c r="C559" s="161" t="s">
        <v>543</v>
      </c>
      <c r="D559" s="162" t="s">
        <v>576</v>
      </c>
      <c r="E559" s="162" t="s">
        <v>1306</v>
      </c>
      <c r="F559" s="162" t="s">
        <v>1306</v>
      </c>
    </row>
    <row r="560" spans="1:6">
      <c r="B560" s="160">
        <v>644</v>
      </c>
      <c r="D560" s="162" t="s">
        <v>312</v>
      </c>
      <c r="E560" s="162" t="s">
        <v>1307</v>
      </c>
      <c r="F560" s="162" t="s">
        <v>1307</v>
      </c>
    </row>
    <row r="561" spans="2:27">
      <c r="B561" s="160">
        <v>645</v>
      </c>
      <c r="D561" s="162" t="s">
        <v>313</v>
      </c>
      <c r="E561" s="162" t="s">
        <v>1308</v>
      </c>
      <c r="F561" s="162" t="s">
        <v>1308</v>
      </c>
    </row>
    <row r="562" spans="2:27">
      <c r="B562" s="160">
        <v>646</v>
      </c>
      <c r="D562" s="162" t="s">
        <v>413</v>
      </c>
      <c r="E562" s="162" t="s">
        <v>1309</v>
      </c>
      <c r="F562" s="162" t="s">
        <v>1309</v>
      </c>
    </row>
    <row r="563" spans="2:27" ht="24">
      <c r="B563" s="160">
        <v>647</v>
      </c>
      <c r="D563" s="162" t="s">
        <v>314</v>
      </c>
      <c r="E563" s="162" t="s">
        <v>1310</v>
      </c>
      <c r="F563" s="162" t="s">
        <v>1310</v>
      </c>
    </row>
    <row r="564" spans="2:27">
      <c r="B564" s="160">
        <v>648</v>
      </c>
      <c r="D564" s="162" t="s">
        <v>315</v>
      </c>
      <c r="E564" s="162" t="s">
        <v>1308</v>
      </c>
      <c r="F564" s="162" t="s">
        <v>1308</v>
      </c>
    </row>
    <row r="565" spans="2:27">
      <c r="B565" s="160">
        <v>649</v>
      </c>
      <c r="D565" s="162" t="s">
        <v>316</v>
      </c>
      <c r="E565" s="162" t="s">
        <v>1311</v>
      </c>
      <c r="F565" s="162" t="s">
        <v>1311</v>
      </c>
    </row>
    <row r="566" spans="2:27">
      <c r="B566" s="160">
        <v>650</v>
      </c>
      <c r="D566" s="162" t="s">
        <v>317</v>
      </c>
      <c r="E566" s="162" t="s">
        <v>1312</v>
      </c>
      <c r="F566" s="162" t="s">
        <v>1312</v>
      </c>
    </row>
    <row r="567" spans="2:27">
      <c r="B567" s="160">
        <v>651</v>
      </c>
      <c r="D567" s="162" t="s">
        <v>318</v>
      </c>
      <c r="E567" s="162" t="s">
        <v>1313</v>
      </c>
      <c r="F567" s="162" t="s">
        <v>1313</v>
      </c>
    </row>
    <row r="568" spans="2:27">
      <c r="B568" s="160">
        <v>652</v>
      </c>
      <c r="D568" s="162" t="s">
        <v>319</v>
      </c>
      <c r="E568" s="162" t="s">
        <v>1314</v>
      </c>
      <c r="F568" s="162" t="s">
        <v>1314</v>
      </c>
      <c r="G568" s="163"/>
      <c r="H568" s="163"/>
      <c r="I568" s="163"/>
      <c r="J568" s="163"/>
      <c r="K568" s="163"/>
      <c r="L568" s="163"/>
      <c r="M568" s="163"/>
      <c r="N568" s="163"/>
      <c r="O568" s="163"/>
      <c r="P568" s="163"/>
      <c r="Q568" s="163"/>
      <c r="R568" s="163"/>
      <c r="S568" s="163"/>
      <c r="T568" s="163"/>
      <c r="U568" s="163"/>
      <c r="V568" s="163"/>
      <c r="W568" s="163"/>
      <c r="X568" s="163"/>
      <c r="Y568" s="163"/>
      <c r="Z568" s="163"/>
      <c r="AA568" s="163"/>
    </row>
    <row r="569" spans="2:27" ht="24">
      <c r="B569" s="160">
        <v>653</v>
      </c>
      <c r="D569" s="162" t="s">
        <v>320</v>
      </c>
      <c r="E569" s="162" t="s">
        <v>1315</v>
      </c>
      <c r="F569" s="162" t="s">
        <v>1315</v>
      </c>
      <c r="G569" s="163"/>
      <c r="H569" s="163"/>
      <c r="I569" s="163"/>
      <c r="J569" s="163"/>
      <c r="K569" s="163"/>
      <c r="L569" s="163"/>
      <c r="M569" s="163"/>
      <c r="N569" s="163"/>
      <c r="O569" s="163"/>
      <c r="P569" s="163"/>
      <c r="Q569" s="163"/>
      <c r="R569" s="163"/>
      <c r="S569" s="163"/>
      <c r="T569" s="163"/>
      <c r="U569" s="163"/>
      <c r="V569" s="163"/>
      <c r="W569" s="163"/>
      <c r="X569" s="163"/>
      <c r="Y569" s="163"/>
      <c r="Z569" s="163"/>
      <c r="AA569" s="163"/>
    </row>
    <row r="570" spans="2:27">
      <c r="B570" s="160">
        <v>654</v>
      </c>
      <c r="D570" s="162" t="s">
        <v>321</v>
      </c>
      <c r="E570" s="162" t="s">
        <v>1307</v>
      </c>
      <c r="F570" s="162" t="s">
        <v>1307</v>
      </c>
      <c r="G570" s="164"/>
      <c r="H570" s="164"/>
      <c r="I570" s="164"/>
      <c r="J570" s="164"/>
      <c r="K570" s="164"/>
      <c r="L570" s="164"/>
      <c r="M570" s="164"/>
      <c r="N570" s="164"/>
      <c r="O570" s="164"/>
      <c r="P570" s="164"/>
      <c r="Q570" s="164"/>
      <c r="R570" s="164"/>
      <c r="S570" s="164"/>
      <c r="T570" s="164"/>
      <c r="U570" s="164"/>
      <c r="V570" s="164"/>
      <c r="W570" s="164"/>
      <c r="X570" s="164"/>
      <c r="Y570" s="164"/>
      <c r="Z570" s="164"/>
      <c r="AA570" s="164"/>
    </row>
    <row r="571" spans="2:27" ht="24">
      <c r="B571" s="160">
        <v>655</v>
      </c>
      <c r="C571" s="161" t="s">
        <v>543</v>
      </c>
      <c r="D571" s="162" t="s">
        <v>570</v>
      </c>
      <c r="E571" s="162" t="s">
        <v>1316</v>
      </c>
      <c r="F571" s="162" t="s">
        <v>1316</v>
      </c>
    </row>
    <row r="572" spans="2:27" ht="24">
      <c r="B572" s="160">
        <v>656</v>
      </c>
      <c r="D572" s="162" t="s">
        <v>322</v>
      </c>
      <c r="E572" s="162" t="s">
        <v>1317</v>
      </c>
      <c r="F572" s="162" t="s">
        <v>1317</v>
      </c>
      <c r="G572" s="164"/>
      <c r="H572" s="164"/>
      <c r="I572" s="164"/>
      <c r="J572" s="164"/>
      <c r="K572" s="164"/>
      <c r="L572" s="164"/>
      <c r="M572" s="164"/>
      <c r="N572" s="164"/>
      <c r="O572" s="164"/>
      <c r="P572" s="164"/>
      <c r="Q572" s="164"/>
      <c r="R572" s="164"/>
      <c r="S572" s="164"/>
      <c r="T572" s="164"/>
      <c r="U572" s="164"/>
      <c r="V572" s="164"/>
      <c r="W572" s="164"/>
      <c r="X572" s="164"/>
      <c r="Y572" s="164"/>
      <c r="Z572" s="164"/>
      <c r="AA572" s="164"/>
    </row>
    <row r="573" spans="2:27" ht="36">
      <c r="B573" s="160">
        <v>657</v>
      </c>
      <c r="D573" s="162" t="s">
        <v>323</v>
      </c>
      <c r="E573" s="162" t="s">
        <v>1318</v>
      </c>
      <c r="F573" s="162" t="s">
        <v>1318</v>
      </c>
      <c r="G573" s="164"/>
      <c r="H573" s="164"/>
      <c r="I573" s="164"/>
      <c r="J573" s="164"/>
      <c r="K573" s="164"/>
      <c r="L573" s="164"/>
      <c r="M573" s="164"/>
      <c r="N573" s="164"/>
      <c r="O573" s="164"/>
      <c r="P573" s="164"/>
      <c r="Q573" s="164"/>
      <c r="R573" s="164"/>
      <c r="S573" s="164"/>
      <c r="T573" s="164"/>
      <c r="U573" s="164"/>
      <c r="V573" s="164"/>
      <c r="W573" s="164"/>
      <c r="X573" s="164"/>
      <c r="Y573" s="164"/>
      <c r="Z573" s="164"/>
      <c r="AA573" s="164"/>
    </row>
    <row r="574" spans="2:27">
      <c r="B574" s="160">
        <v>658</v>
      </c>
      <c r="D574" s="162" t="s">
        <v>324</v>
      </c>
      <c r="E574" s="162" t="s">
        <v>1319</v>
      </c>
      <c r="F574" s="162" t="s">
        <v>1319</v>
      </c>
      <c r="G574" s="164"/>
      <c r="H574" s="164"/>
      <c r="I574" s="164"/>
      <c r="J574" s="164"/>
      <c r="K574" s="164"/>
      <c r="L574" s="164"/>
      <c r="M574" s="164"/>
      <c r="N574" s="164"/>
      <c r="O574" s="164"/>
      <c r="P574" s="164"/>
      <c r="Q574" s="164"/>
      <c r="R574" s="164"/>
      <c r="S574" s="164"/>
      <c r="T574" s="164"/>
      <c r="U574" s="164"/>
      <c r="V574" s="164"/>
      <c r="W574" s="164"/>
      <c r="X574" s="164"/>
      <c r="Y574" s="164"/>
      <c r="Z574" s="164"/>
      <c r="AA574" s="164"/>
    </row>
    <row r="575" spans="2:27" ht="36">
      <c r="B575" s="160">
        <v>659</v>
      </c>
      <c r="D575" s="162" t="s">
        <v>325</v>
      </c>
      <c r="E575" s="162" t="s">
        <v>1320</v>
      </c>
      <c r="F575" s="162" t="s">
        <v>1320</v>
      </c>
      <c r="G575" s="164"/>
      <c r="H575" s="164"/>
      <c r="I575" s="164"/>
      <c r="J575" s="164"/>
      <c r="K575" s="164"/>
      <c r="L575" s="164"/>
      <c r="M575" s="164"/>
      <c r="N575" s="164"/>
      <c r="O575" s="164"/>
      <c r="P575" s="164"/>
      <c r="Q575" s="164"/>
      <c r="R575" s="164"/>
      <c r="S575" s="164"/>
      <c r="T575" s="164"/>
      <c r="U575" s="164"/>
      <c r="V575" s="164"/>
      <c r="W575" s="164"/>
      <c r="X575" s="164"/>
      <c r="Y575" s="164"/>
      <c r="Z575" s="164"/>
      <c r="AA575" s="164"/>
    </row>
    <row r="576" spans="2:27">
      <c r="B576" s="160">
        <v>660</v>
      </c>
      <c r="D576" s="162" t="s">
        <v>326</v>
      </c>
      <c r="E576" s="162" t="s">
        <v>1321</v>
      </c>
      <c r="F576" s="162" t="s">
        <v>1321</v>
      </c>
      <c r="G576" s="164"/>
      <c r="H576" s="164"/>
      <c r="I576" s="164"/>
      <c r="J576" s="164"/>
      <c r="K576" s="164"/>
      <c r="L576" s="164"/>
      <c r="M576" s="164"/>
      <c r="N576" s="164"/>
      <c r="O576" s="164"/>
      <c r="P576" s="164"/>
      <c r="Q576" s="164"/>
      <c r="R576" s="164"/>
      <c r="S576" s="164"/>
      <c r="T576" s="164"/>
      <c r="U576" s="164"/>
      <c r="V576" s="164"/>
      <c r="W576" s="164"/>
      <c r="X576" s="164"/>
      <c r="Y576" s="164"/>
      <c r="Z576" s="164"/>
      <c r="AA576" s="164"/>
    </row>
    <row r="577" spans="2:27">
      <c r="B577" s="160">
        <v>661</v>
      </c>
      <c r="D577" s="162" t="s">
        <v>327</v>
      </c>
      <c r="E577" s="162" t="s">
        <v>1322</v>
      </c>
      <c r="F577" s="162" t="s">
        <v>1322</v>
      </c>
      <c r="G577" s="164"/>
      <c r="H577" s="164"/>
      <c r="I577" s="164"/>
      <c r="J577" s="164"/>
      <c r="K577" s="164"/>
      <c r="L577" s="164"/>
      <c r="M577" s="164"/>
      <c r="N577" s="164"/>
      <c r="O577" s="164"/>
      <c r="P577" s="164"/>
      <c r="Q577" s="164"/>
      <c r="R577" s="164"/>
      <c r="S577" s="164"/>
      <c r="T577" s="164"/>
      <c r="U577" s="164"/>
      <c r="V577" s="164"/>
      <c r="W577" s="164"/>
      <c r="X577" s="164"/>
      <c r="Y577" s="164"/>
      <c r="Z577" s="164"/>
      <c r="AA577" s="164"/>
    </row>
    <row r="578" spans="2:27">
      <c r="B578" s="160">
        <v>662</v>
      </c>
      <c r="D578" s="162" t="s">
        <v>328</v>
      </c>
      <c r="E578" s="162" t="s">
        <v>1323</v>
      </c>
      <c r="F578" s="162" t="s">
        <v>1323</v>
      </c>
      <c r="G578" s="164"/>
      <c r="H578" s="164"/>
      <c r="I578" s="164"/>
      <c r="J578" s="164"/>
      <c r="K578" s="164"/>
      <c r="L578" s="164"/>
      <c r="M578" s="164"/>
      <c r="N578" s="164"/>
      <c r="O578" s="164"/>
      <c r="P578" s="164"/>
      <c r="Q578" s="164"/>
      <c r="R578" s="164"/>
      <c r="S578" s="164"/>
      <c r="T578" s="164"/>
      <c r="U578" s="164"/>
      <c r="V578" s="164"/>
      <c r="W578" s="164"/>
      <c r="X578" s="164"/>
      <c r="Y578" s="164"/>
      <c r="Z578" s="164"/>
      <c r="AA578" s="164"/>
    </row>
    <row r="579" spans="2:27">
      <c r="B579" s="160">
        <v>663</v>
      </c>
      <c r="D579" s="162" t="s">
        <v>329</v>
      </c>
      <c r="E579" s="162" t="s">
        <v>1324</v>
      </c>
      <c r="F579" s="162" t="s">
        <v>1324</v>
      </c>
      <c r="G579" s="164"/>
      <c r="H579" s="164"/>
      <c r="I579" s="164"/>
      <c r="J579" s="164"/>
      <c r="K579" s="164"/>
      <c r="L579" s="164"/>
      <c r="M579" s="164"/>
      <c r="N579" s="164"/>
      <c r="O579" s="164"/>
      <c r="P579" s="164"/>
      <c r="Q579" s="164"/>
      <c r="R579" s="164"/>
      <c r="S579" s="164"/>
      <c r="T579" s="164"/>
      <c r="U579" s="164"/>
      <c r="V579" s="164"/>
      <c r="W579" s="164"/>
      <c r="X579" s="164"/>
      <c r="Y579" s="164"/>
      <c r="Z579" s="164"/>
      <c r="AA579" s="164"/>
    </row>
    <row r="580" spans="2:27">
      <c r="B580" s="160">
        <v>664</v>
      </c>
      <c r="D580" s="162" t="s">
        <v>330</v>
      </c>
      <c r="E580" s="162" t="s">
        <v>1325</v>
      </c>
      <c r="F580" s="162" t="s">
        <v>1325</v>
      </c>
      <c r="G580" s="164"/>
      <c r="H580" s="164"/>
      <c r="I580" s="164"/>
      <c r="J580" s="164"/>
      <c r="K580" s="164"/>
      <c r="L580" s="164"/>
      <c r="M580" s="164"/>
      <c r="N580" s="164"/>
      <c r="O580" s="164"/>
      <c r="P580" s="164"/>
      <c r="Q580" s="164"/>
      <c r="R580" s="164"/>
      <c r="S580" s="164"/>
      <c r="T580" s="164"/>
      <c r="U580" s="164"/>
      <c r="V580" s="164"/>
      <c r="W580" s="164"/>
      <c r="X580" s="164"/>
      <c r="Y580" s="164"/>
      <c r="Z580" s="164"/>
      <c r="AA580" s="164"/>
    </row>
    <row r="581" spans="2:27">
      <c r="B581" s="160">
        <v>665</v>
      </c>
      <c r="D581" s="162" t="s">
        <v>331</v>
      </c>
      <c r="E581" s="162" t="s">
        <v>1326</v>
      </c>
      <c r="F581" s="162" t="s">
        <v>1326</v>
      </c>
      <c r="G581" s="164"/>
      <c r="H581" s="164"/>
      <c r="I581" s="164"/>
      <c r="J581" s="164"/>
      <c r="K581" s="164"/>
      <c r="L581" s="164"/>
      <c r="M581" s="164"/>
      <c r="N581" s="164"/>
      <c r="O581" s="164"/>
      <c r="P581" s="164"/>
      <c r="Q581" s="164"/>
      <c r="R581" s="164"/>
      <c r="S581" s="164"/>
      <c r="T581" s="164"/>
      <c r="U581" s="164"/>
      <c r="V581" s="164"/>
      <c r="W581" s="164"/>
      <c r="X581" s="164"/>
      <c r="Y581" s="164"/>
      <c r="Z581" s="164"/>
      <c r="AA581" s="164"/>
    </row>
    <row r="582" spans="2:27">
      <c r="B582" s="160">
        <v>666</v>
      </c>
      <c r="D582" s="162" t="s">
        <v>649</v>
      </c>
      <c r="E582" s="162" t="s">
        <v>1327</v>
      </c>
      <c r="F582" s="162" t="s">
        <v>1327</v>
      </c>
    </row>
    <row r="583" spans="2:27">
      <c r="B583" s="160">
        <v>667</v>
      </c>
      <c r="D583" s="162" t="s">
        <v>650</v>
      </c>
      <c r="E583" s="162" t="s">
        <v>1328</v>
      </c>
      <c r="F583" s="162" t="s">
        <v>1328</v>
      </c>
    </row>
    <row r="584" spans="2:27">
      <c r="B584" s="160">
        <v>668</v>
      </c>
      <c r="D584" s="162" t="s">
        <v>642</v>
      </c>
      <c r="E584" s="162" t="s">
        <v>1329</v>
      </c>
      <c r="F584" s="162" t="s">
        <v>1329</v>
      </c>
    </row>
    <row r="585" spans="2:27">
      <c r="B585" s="160">
        <v>669</v>
      </c>
      <c r="D585" s="162" t="s">
        <v>648</v>
      </c>
      <c r="E585" s="162" t="s">
        <v>1330</v>
      </c>
      <c r="F585" s="162" t="s">
        <v>1330</v>
      </c>
    </row>
    <row r="586" spans="2:27">
      <c r="B586" s="160">
        <v>670</v>
      </c>
      <c r="D586" s="162" t="s">
        <v>645</v>
      </c>
      <c r="E586" s="162" t="s">
        <v>1331</v>
      </c>
      <c r="F586" s="162" t="s">
        <v>1331</v>
      </c>
    </row>
    <row r="587" spans="2:27">
      <c r="B587" s="160">
        <v>671</v>
      </c>
      <c r="D587" s="162" t="s">
        <v>646</v>
      </c>
      <c r="E587" s="162" t="s">
        <v>1332</v>
      </c>
      <c r="F587" s="162" t="s">
        <v>1332</v>
      </c>
    </row>
    <row r="588" spans="2:27">
      <c r="B588" s="160">
        <v>672</v>
      </c>
      <c r="D588" s="162" t="s">
        <v>647</v>
      </c>
      <c r="E588" s="162" t="s">
        <v>1333</v>
      </c>
      <c r="F588" s="162" t="s">
        <v>1333</v>
      </c>
    </row>
    <row r="589" spans="2:27">
      <c r="B589" s="160">
        <v>673</v>
      </c>
      <c r="D589" s="162" t="s">
        <v>651</v>
      </c>
      <c r="E589" s="162" t="s">
        <v>1334</v>
      </c>
      <c r="F589" s="162" t="s">
        <v>1334</v>
      </c>
    </row>
    <row r="590" spans="2:27">
      <c r="B590" s="160">
        <v>674</v>
      </c>
      <c r="D590" s="162" t="s">
        <v>723</v>
      </c>
      <c r="E590" s="162" t="s">
        <v>1335</v>
      </c>
      <c r="F590" s="162" t="s">
        <v>1335</v>
      </c>
    </row>
    <row r="591" spans="2:27">
      <c r="B591" s="160">
        <v>675</v>
      </c>
      <c r="D591" s="162" t="s">
        <v>727</v>
      </c>
      <c r="E591" s="162" t="s">
        <v>1336</v>
      </c>
      <c r="F591" s="162" t="s">
        <v>1336</v>
      </c>
    </row>
    <row r="592" spans="2:27">
      <c r="B592" s="160">
        <v>676</v>
      </c>
      <c r="D592" s="162" t="s">
        <v>728</v>
      </c>
      <c r="E592" s="162" t="s">
        <v>1337</v>
      </c>
      <c r="F592" s="162" t="s">
        <v>1337</v>
      </c>
    </row>
    <row r="593" spans="2:6">
      <c r="B593" s="160">
        <v>677</v>
      </c>
      <c r="D593" s="162" t="s">
        <v>729</v>
      </c>
      <c r="E593" s="162" t="s">
        <v>1338</v>
      </c>
      <c r="F593" s="159" t="s">
        <v>1338</v>
      </c>
    </row>
    <row r="594" spans="2:6">
      <c r="B594" s="160">
        <v>678</v>
      </c>
      <c r="D594" s="162" t="s">
        <v>730</v>
      </c>
      <c r="E594" s="162" t="s">
        <v>1339</v>
      </c>
      <c r="F594" s="162" t="s">
        <v>1339</v>
      </c>
    </row>
    <row r="595" spans="2:6">
      <c r="B595" s="160">
        <v>679</v>
      </c>
      <c r="D595" s="162" t="s">
        <v>1340</v>
      </c>
      <c r="E595" s="162" t="s">
        <v>1341</v>
      </c>
      <c r="F595" s="162" t="s">
        <v>1341</v>
      </c>
    </row>
    <row r="596" spans="2:6">
      <c r="B596" s="160">
        <v>680</v>
      </c>
      <c r="D596" s="162" t="s">
        <v>1342</v>
      </c>
      <c r="E596" s="179" t="s">
        <v>1344</v>
      </c>
      <c r="F596" s="179" t="s">
        <v>1344</v>
      </c>
    </row>
    <row r="597" spans="2:6">
      <c r="B597" s="160">
        <v>681</v>
      </c>
      <c r="D597" s="162" t="s">
        <v>1343</v>
      </c>
      <c r="E597" s="179" t="s">
        <v>1345</v>
      </c>
      <c r="F597" s="179" t="s">
        <v>1345</v>
      </c>
    </row>
    <row r="598" spans="2:6">
      <c r="B598" s="160">
        <v>682</v>
      </c>
      <c r="D598" s="162" t="s">
        <v>1355</v>
      </c>
      <c r="E598" s="181" t="s">
        <v>1356</v>
      </c>
      <c r="F598" s="181" t="s">
        <v>1356</v>
      </c>
    </row>
    <row r="599" spans="2:6">
      <c r="B599" s="160">
        <v>683</v>
      </c>
      <c r="D599" s="162" t="s">
        <v>1357</v>
      </c>
      <c r="E599" s="181" t="s">
        <v>1360</v>
      </c>
      <c r="F599" s="181" t="s">
        <v>1360</v>
      </c>
    </row>
    <row r="600" spans="2:6">
      <c r="B600" s="160">
        <v>684</v>
      </c>
      <c r="D600" s="162" t="s">
        <v>1358</v>
      </c>
      <c r="E600" s="162" t="s">
        <v>1359</v>
      </c>
      <c r="F600" s="162" t="s">
        <v>1359</v>
      </c>
    </row>
  </sheetData>
  <sortState ref="A17:AA581">
    <sortCondition ref="D17:D581"/>
  </sortState>
  <phoneticPr fontId="2" type="noConversion"/>
  <hyperlinks>
    <hyperlink ref="E600" r:id="rId1"/>
    <hyperlink ref="F600"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85"/>
  <sheetViews>
    <sheetView topLeftCell="A145" zoomScale="81" zoomScaleNormal="81" workbookViewId="0">
      <selection activeCell="F173" sqref="A173:XFD175"/>
    </sheetView>
  </sheetViews>
  <sheetFormatPr defaultColWidth="10.625" defaultRowHeight="15"/>
  <cols>
    <col min="1" max="1" width="9.5" style="109" bestFit="1" customWidth="1"/>
    <col min="2" max="2" width="9.75" style="109" bestFit="1" customWidth="1"/>
    <col min="3" max="12" width="11.375" style="109" bestFit="1" customWidth="1"/>
    <col min="13" max="13" width="29.625" style="109" bestFit="1" customWidth="1"/>
    <col min="14" max="14" width="14.625" style="109" bestFit="1" customWidth="1"/>
    <col min="15" max="16" width="10.5" style="109" bestFit="1" customWidth="1"/>
    <col min="17" max="17" width="15.5" style="109" bestFit="1" customWidth="1"/>
    <col min="18" max="18" width="17.125" style="109" bestFit="1" customWidth="1"/>
    <col min="19" max="19" width="13.25" style="109" bestFit="1" customWidth="1"/>
    <col min="20" max="20" width="19.875" style="109" bestFit="1" customWidth="1"/>
    <col min="21" max="21" width="14.375" style="109" bestFit="1" customWidth="1"/>
    <col min="22" max="22" width="14.125" style="110" bestFit="1" customWidth="1"/>
    <col min="23" max="23" width="15.5" style="109" bestFit="1" customWidth="1"/>
    <col min="24" max="24" width="19.375" style="111" bestFit="1" customWidth="1"/>
    <col min="25" max="25" width="9.5" style="111" bestFit="1" customWidth="1"/>
    <col min="26" max="26" width="10.875" style="111" bestFit="1" customWidth="1"/>
    <col min="27" max="27" width="10.875" style="110" bestFit="1" customWidth="1"/>
    <col min="28" max="28" width="12.5" style="110" bestFit="1" customWidth="1"/>
    <col min="29" max="29" width="12.875" style="110" bestFit="1" customWidth="1"/>
    <col min="30" max="30" width="15.75" style="109" bestFit="1" customWidth="1"/>
    <col min="31" max="32" width="10.625" style="109"/>
    <col min="33" max="16384" width="10.625" style="110"/>
  </cols>
  <sheetData>
    <row r="1" spans="1:30">
      <c r="A1" s="113" t="s">
        <v>535</v>
      </c>
      <c r="B1" s="113" t="s">
        <v>333</v>
      </c>
      <c r="C1" s="113" t="s">
        <v>524</v>
      </c>
      <c r="D1" s="113" t="s">
        <v>525</v>
      </c>
      <c r="E1" s="113" t="s">
        <v>526</v>
      </c>
      <c r="F1" s="113" t="s">
        <v>527</v>
      </c>
      <c r="G1" s="113" t="s">
        <v>528</v>
      </c>
      <c r="H1" s="113" t="s">
        <v>529</v>
      </c>
      <c r="I1" s="113" t="s">
        <v>530</v>
      </c>
      <c r="J1" s="113" t="s">
        <v>531</v>
      </c>
      <c r="K1" s="113" t="s">
        <v>532</v>
      </c>
      <c r="L1" s="113" t="s">
        <v>533</v>
      </c>
      <c r="M1" s="113" t="s">
        <v>334</v>
      </c>
      <c r="N1" s="113" t="s">
        <v>335</v>
      </c>
      <c r="O1" s="113" t="s">
        <v>336</v>
      </c>
      <c r="P1" s="113" t="s">
        <v>337</v>
      </c>
      <c r="Q1" s="113" t="s">
        <v>501</v>
      </c>
      <c r="R1" s="113" t="s">
        <v>502</v>
      </c>
      <c r="S1" s="113" t="s">
        <v>534</v>
      </c>
      <c r="T1" s="113" t="s">
        <v>611</v>
      </c>
      <c r="U1" s="113" t="s">
        <v>488</v>
      </c>
      <c r="V1" s="114" t="s">
        <v>489</v>
      </c>
      <c r="W1" s="113" t="s">
        <v>491</v>
      </c>
      <c r="X1" s="115" t="s">
        <v>602</v>
      </c>
      <c r="Y1" s="115" t="s">
        <v>492</v>
      </c>
      <c r="Z1" s="115" t="s">
        <v>493</v>
      </c>
      <c r="AA1" s="114" t="s">
        <v>503</v>
      </c>
      <c r="AB1" s="114" t="s">
        <v>504</v>
      </c>
      <c r="AC1" s="114" t="s">
        <v>522</v>
      </c>
      <c r="AD1" s="113" t="s">
        <v>490</v>
      </c>
    </row>
    <row r="2" spans="1:30">
      <c r="A2" s="112" t="s">
        <v>1483</v>
      </c>
      <c r="B2" s="112" t="s">
        <v>1514</v>
      </c>
      <c r="C2" s="112" t="s">
        <v>495</v>
      </c>
      <c r="D2" s="112" t="s">
        <v>541</v>
      </c>
      <c r="E2" s="112" t="s">
        <v>1426</v>
      </c>
      <c r="F2" s="112" t="s">
        <v>1512</v>
      </c>
      <c r="G2" s="112" t="s">
        <v>1514</v>
      </c>
      <c r="M2" s="112" t="s">
        <v>1714</v>
      </c>
      <c r="N2" s="112" t="s">
        <v>1416</v>
      </c>
      <c r="O2" s="108">
        <v>45078</v>
      </c>
      <c r="P2" s="108">
        <v>45078</v>
      </c>
      <c r="Q2" s="108">
        <v>45078</v>
      </c>
      <c r="R2" s="108">
        <v>45081</v>
      </c>
      <c r="S2" s="109">
        <v>23</v>
      </c>
      <c r="T2" s="109">
        <v>1</v>
      </c>
      <c r="U2" s="109">
        <v>1</v>
      </c>
      <c r="V2" s="110">
        <v>1</v>
      </c>
      <c r="W2" s="109">
        <v>1</v>
      </c>
      <c r="X2" s="111">
        <v>0</v>
      </c>
      <c r="Y2" s="111">
        <v>1</v>
      </c>
      <c r="Z2" s="111">
        <v>1</v>
      </c>
      <c r="AA2" s="108">
        <v>45078</v>
      </c>
      <c r="AB2" s="108">
        <v>45078</v>
      </c>
      <c r="AC2" s="110">
        <v>1</v>
      </c>
      <c r="AD2" s="109">
        <v>1</v>
      </c>
    </row>
    <row r="3" spans="1:30">
      <c r="A3" s="112" t="s">
        <v>1483</v>
      </c>
      <c r="B3" s="112" t="s">
        <v>1548</v>
      </c>
      <c r="C3" s="112" t="s">
        <v>495</v>
      </c>
      <c r="D3" s="112" t="s">
        <v>541</v>
      </c>
      <c r="E3" s="112" t="s">
        <v>1426</v>
      </c>
      <c r="F3" s="112" t="s">
        <v>1512</v>
      </c>
      <c r="G3" s="112" t="s">
        <v>1548</v>
      </c>
      <c r="M3" s="112" t="s">
        <v>1515</v>
      </c>
      <c r="N3" s="112" t="s">
        <v>1416</v>
      </c>
      <c r="O3" s="108">
        <v>45078</v>
      </c>
      <c r="P3" s="108">
        <v>45078</v>
      </c>
      <c r="Q3" s="108">
        <v>45078</v>
      </c>
      <c r="R3" s="108">
        <v>45081</v>
      </c>
      <c r="S3" s="109">
        <v>23</v>
      </c>
      <c r="T3" s="109">
        <v>1</v>
      </c>
      <c r="U3" s="109">
        <v>1</v>
      </c>
      <c r="V3" s="110">
        <v>1</v>
      </c>
      <c r="W3" s="109">
        <v>1</v>
      </c>
      <c r="X3" s="111">
        <v>0</v>
      </c>
      <c r="Y3" s="111">
        <v>1</v>
      </c>
      <c r="Z3" s="111">
        <v>1</v>
      </c>
      <c r="AA3" s="108">
        <v>45078</v>
      </c>
      <c r="AB3" s="108">
        <v>45078</v>
      </c>
      <c r="AC3" s="110">
        <v>1</v>
      </c>
      <c r="AD3" s="109">
        <v>1</v>
      </c>
    </row>
    <row r="4" spans="1:30">
      <c r="A4" s="112" t="s">
        <v>1483</v>
      </c>
      <c r="B4" s="112" t="s">
        <v>1516</v>
      </c>
      <c r="C4" s="112" t="s">
        <v>495</v>
      </c>
      <c r="D4" s="112" t="s">
        <v>541</v>
      </c>
      <c r="E4" s="112" t="s">
        <v>1426</v>
      </c>
      <c r="F4" s="112" t="s">
        <v>1513</v>
      </c>
      <c r="G4" s="112" t="s">
        <v>1516</v>
      </c>
      <c r="M4" s="112" t="s">
        <v>1517</v>
      </c>
      <c r="N4" s="112" t="s">
        <v>1416</v>
      </c>
      <c r="O4" s="108">
        <v>45110</v>
      </c>
      <c r="P4" s="108">
        <v>45114</v>
      </c>
      <c r="Q4" s="108">
        <v>45110</v>
      </c>
      <c r="R4" s="108">
        <v>45116</v>
      </c>
      <c r="S4" s="109">
        <v>28</v>
      </c>
      <c r="T4" s="109">
        <v>6</v>
      </c>
      <c r="U4" s="109">
        <v>5</v>
      </c>
      <c r="V4" s="110">
        <v>0</v>
      </c>
      <c r="W4" s="109">
        <v>1</v>
      </c>
      <c r="X4" s="111">
        <v>0</v>
      </c>
      <c r="Y4" s="111">
        <v>0</v>
      </c>
      <c r="Z4" s="111">
        <v>0</v>
      </c>
      <c r="AC4" s="110">
        <v>0</v>
      </c>
      <c r="AD4" s="109">
        <v>0</v>
      </c>
    </row>
    <row r="5" spans="1:30">
      <c r="A5" s="112" t="s">
        <v>1483</v>
      </c>
      <c r="B5" s="112" t="s">
        <v>1519</v>
      </c>
      <c r="C5" s="112" t="s">
        <v>495</v>
      </c>
      <c r="D5" s="112" t="s">
        <v>541</v>
      </c>
      <c r="E5" s="112" t="s">
        <v>1426</v>
      </c>
      <c r="F5" s="112" t="s">
        <v>1513</v>
      </c>
      <c r="G5" s="112" t="s">
        <v>1519</v>
      </c>
      <c r="M5" s="112" t="s">
        <v>1518</v>
      </c>
      <c r="N5" s="112" t="s">
        <v>1416</v>
      </c>
      <c r="O5" s="108">
        <v>45110</v>
      </c>
      <c r="P5" s="108">
        <v>45114</v>
      </c>
      <c r="Q5" s="108">
        <v>45110</v>
      </c>
      <c r="R5" s="108">
        <v>45116</v>
      </c>
      <c r="S5" s="109">
        <v>28</v>
      </c>
      <c r="T5" s="109">
        <v>6</v>
      </c>
      <c r="U5" s="109">
        <v>5</v>
      </c>
      <c r="V5" s="110">
        <v>0</v>
      </c>
      <c r="W5" s="109">
        <v>1</v>
      </c>
      <c r="X5" s="111">
        <v>0</v>
      </c>
      <c r="Y5" s="111">
        <v>0</v>
      </c>
      <c r="Z5" s="111">
        <v>0</v>
      </c>
      <c r="AC5" s="110">
        <v>0</v>
      </c>
      <c r="AD5" s="109">
        <v>0</v>
      </c>
    </row>
    <row r="6" spans="1:30">
      <c r="A6" s="112" t="s">
        <v>1813</v>
      </c>
      <c r="B6" s="112" t="s">
        <v>1445</v>
      </c>
      <c r="C6" s="112" t="s">
        <v>495</v>
      </c>
      <c r="D6" s="112" t="s">
        <v>541</v>
      </c>
      <c r="E6" s="112" t="s">
        <v>1427</v>
      </c>
      <c r="F6" s="112" t="s">
        <v>1445</v>
      </c>
      <c r="M6" s="112" t="s">
        <v>1511</v>
      </c>
      <c r="N6" s="112" t="s">
        <v>1416</v>
      </c>
      <c r="O6" s="108">
        <v>45082</v>
      </c>
      <c r="P6" s="108">
        <v>45082</v>
      </c>
      <c r="Q6" s="108">
        <v>45082</v>
      </c>
      <c r="R6" s="108">
        <v>45088</v>
      </c>
      <c r="S6" s="109">
        <v>24</v>
      </c>
      <c r="T6" s="109">
        <v>2</v>
      </c>
      <c r="U6" s="109">
        <v>1</v>
      </c>
      <c r="V6" s="110">
        <v>0</v>
      </c>
      <c r="W6" s="109">
        <v>1</v>
      </c>
      <c r="X6" s="111">
        <v>0</v>
      </c>
      <c r="Y6" s="111">
        <v>0</v>
      </c>
      <c r="Z6" s="111">
        <v>0</v>
      </c>
      <c r="AC6" s="110">
        <v>0</v>
      </c>
      <c r="AD6" s="109">
        <v>0</v>
      </c>
    </row>
    <row r="7" spans="1:30">
      <c r="A7" s="112" t="s">
        <v>1813</v>
      </c>
      <c r="B7" s="112" t="s">
        <v>1446</v>
      </c>
      <c r="C7" s="112" t="s">
        <v>495</v>
      </c>
      <c r="D7" s="112" t="s">
        <v>541</v>
      </c>
      <c r="E7" s="112" t="s">
        <v>1427</v>
      </c>
      <c r="F7" s="112" t="s">
        <v>1446</v>
      </c>
      <c r="M7" s="112" t="s">
        <v>1503</v>
      </c>
      <c r="N7" s="112" t="s">
        <v>1416</v>
      </c>
      <c r="O7" s="108">
        <v>45082</v>
      </c>
      <c r="P7" s="108">
        <v>45082</v>
      </c>
      <c r="Q7" s="108">
        <v>45082</v>
      </c>
      <c r="R7" s="108">
        <v>45088</v>
      </c>
      <c r="S7" s="109">
        <v>24</v>
      </c>
      <c r="T7" s="109">
        <v>2</v>
      </c>
      <c r="U7" s="109">
        <v>1</v>
      </c>
      <c r="V7" s="110">
        <v>0</v>
      </c>
      <c r="W7" s="109">
        <v>1</v>
      </c>
      <c r="X7" s="111">
        <v>0</v>
      </c>
      <c r="Y7" s="111">
        <v>0</v>
      </c>
      <c r="Z7" s="111">
        <v>0</v>
      </c>
      <c r="AC7" s="110">
        <v>0</v>
      </c>
      <c r="AD7" s="109">
        <v>0</v>
      </c>
    </row>
    <row r="8" spans="1:30">
      <c r="A8" s="112" t="s">
        <v>1813</v>
      </c>
      <c r="B8" s="112" t="s">
        <v>1506</v>
      </c>
      <c r="C8" s="112" t="s">
        <v>495</v>
      </c>
      <c r="D8" s="112" t="s">
        <v>541</v>
      </c>
      <c r="E8" s="112" t="s">
        <v>1504</v>
      </c>
      <c r="F8" s="112" t="s">
        <v>1506</v>
      </c>
      <c r="M8" s="112" t="s">
        <v>1508</v>
      </c>
      <c r="N8" s="112" t="s">
        <v>1416</v>
      </c>
      <c r="O8" s="108">
        <v>45084</v>
      </c>
      <c r="P8" s="108">
        <v>45084</v>
      </c>
      <c r="Q8" s="108">
        <v>45082</v>
      </c>
      <c r="R8" s="108">
        <v>45088</v>
      </c>
      <c r="S8" s="109">
        <v>24</v>
      </c>
      <c r="T8" s="109">
        <v>2</v>
      </c>
      <c r="U8" s="109">
        <v>1</v>
      </c>
      <c r="V8" s="110">
        <v>0</v>
      </c>
      <c r="W8" s="109">
        <v>1</v>
      </c>
      <c r="X8" s="111">
        <v>0</v>
      </c>
      <c r="Y8" s="111">
        <v>0</v>
      </c>
      <c r="Z8" s="111">
        <v>0</v>
      </c>
      <c r="AC8" s="110">
        <v>0</v>
      </c>
      <c r="AD8" s="109">
        <v>0</v>
      </c>
    </row>
    <row r="9" spans="1:30">
      <c r="A9" s="112" t="s">
        <v>1813</v>
      </c>
      <c r="B9" s="112" t="s">
        <v>1507</v>
      </c>
      <c r="C9" s="112" t="s">
        <v>495</v>
      </c>
      <c r="D9" s="112" t="s">
        <v>541</v>
      </c>
      <c r="E9" s="112" t="s">
        <v>1504</v>
      </c>
      <c r="F9" s="112" t="s">
        <v>1507</v>
      </c>
      <c r="M9" s="112" t="s">
        <v>1509</v>
      </c>
      <c r="N9" s="112" t="s">
        <v>1416</v>
      </c>
      <c r="O9" s="108">
        <v>45084</v>
      </c>
      <c r="P9" s="108">
        <v>45084</v>
      </c>
      <c r="Q9" s="108">
        <v>45082</v>
      </c>
      <c r="R9" s="108">
        <v>45088</v>
      </c>
      <c r="S9" s="109">
        <v>24</v>
      </c>
      <c r="T9" s="109">
        <v>2</v>
      </c>
      <c r="U9" s="109">
        <v>1</v>
      </c>
      <c r="V9" s="110">
        <v>0</v>
      </c>
      <c r="W9" s="109">
        <v>1</v>
      </c>
      <c r="X9" s="111">
        <v>0</v>
      </c>
      <c r="Y9" s="111">
        <v>0</v>
      </c>
      <c r="Z9" s="111">
        <v>0</v>
      </c>
      <c r="AC9" s="110">
        <v>0</v>
      </c>
      <c r="AD9" s="109">
        <v>0</v>
      </c>
    </row>
    <row r="10" spans="1:30">
      <c r="A10" s="112" t="s">
        <v>1813</v>
      </c>
      <c r="B10" s="112" t="s">
        <v>1510</v>
      </c>
      <c r="C10" s="112" t="s">
        <v>495</v>
      </c>
      <c r="D10" s="112" t="s">
        <v>541</v>
      </c>
      <c r="E10" s="112" t="s">
        <v>1504</v>
      </c>
      <c r="F10" s="112" t="s">
        <v>1510</v>
      </c>
      <c r="M10" s="112" t="s">
        <v>1715</v>
      </c>
      <c r="N10" s="112" t="s">
        <v>1416</v>
      </c>
      <c r="O10" s="108">
        <v>45084</v>
      </c>
      <c r="P10" s="108">
        <v>45084</v>
      </c>
      <c r="Q10" s="108">
        <v>45082</v>
      </c>
      <c r="R10" s="108">
        <v>45088</v>
      </c>
      <c r="S10" s="109">
        <v>24</v>
      </c>
      <c r="T10" s="109">
        <v>2</v>
      </c>
      <c r="U10" s="109">
        <v>1</v>
      </c>
      <c r="V10" s="110">
        <v>0</v>
      </c>
      <c r="W10" s="109">
        <v>1</v>
      </c>
      <c r="X10" s="111">
        <v>0</v>
      </c>
      <c r="Y10" s="111">
        <v>0</v>
      </c>
      <c r="Z10" s="111">
        <v>0</v>
      </c>
      <c r="AC10" s="110">
        <v>0</v>
      </c>
      <c r="AD10" s="109">
        <v>0</v>
      </c>
    </row>
    <row r="11" spans="1:30">
      <c r="A11" s="112" t="s">
        <v>1483</v>
      </c>
      <c r="B11" s="112" t="s">
        <v>1521</v>
      </c>
      <c r="C11" s="112" t="s">
        <v>495</v>
      </c>
      <c r="D11" s="112" t="s">
        <v>1435</v>
      </c>
      <c r="E11" s="112" t="s">
        <v>1429</v>
      </c>
      <c r="F11" s="112" t="s">
        <v>1549</v>
      </c>
      <c r="G11" s="112" t="s">
        <v>1521</v>
      </c>
      <c r="M11" s="112" t="s">
        <v>1520</v>
      </c>
      <c r="N11" s="112" t="s">
        <v>1416</v>
      </c>
      <c r="O11" s="108">
        <v>45086</v>
      </c>
      <c r="P11" s="108">
        <v>45086</v>
      </c>
      <c r="Q11" s="108">
        <v>45082</v>
      </c>
      <c r="R11" s="108">
        <v>45088</v>
      </c>
      <c r="S11" s="109">
        <v>24</v>
      </c>
      <c r="T11" s="109">
        <v>2</v>
      </c>
      <c r="U11" s="109">
        <v>1</v>
      </c>
      <c r="V11" s="110">
        <v>0</v>
      </c>
      <c r="W11" s="109">
        <v>1</v>
      </c>
      <c r="X11" s="111">
        <v>0</v>
      </c>
      <c r="Y11" s="111">
        <v>0</v>
      </c>
      <c r="Z11" s="111">
        <v>0</v>
      </c>
      <c r="AC11" s="110">
        <v>0</v>
      </c>
      <c r="AD11" s="109">
        <v>0</v>
      </c>
    </row>
    <row r="12" spans="1:30">
      <c r="A12" s="112" t="s">
        <v>1483</v>
      </c>
      <c r="B12" s="112" t="s">
        <v>1522</v>
      </c>
      <c r="C12" s="112" t="s">
        <v>495</v>
      </c>
      <c r="D12" s="112" t="s">
        <v>1435</v>
      </c>
      <c r="E12" s="112" t="s">
        <v>1429</v>
      </c>
      <c r="F12" s="112" t="s">
        <v>1549</v>
      </c>
      <c r="G12" s="112" t="s">
        <v>1522</v>
      </c>
      <c r="M12" s="112" t="s">
        <v>1525</v>
      </c>
      <c r="N12" s="112" t="s">
        <v>1416</v>
      </c>
      <c r="O12" s="108">
        <v>45093</v>
      </c>
      <c r="P12" s="108">
        <v>45093</v>
      </c>
      <c r="Q12" s="108">
        <v>45089</v>
      </c>
      <c r="R12" s="108">
        <v>45095</v>
      </c>
      <c r="S12" s="109">
        <v>25</v>
      </c>
      <c r="T12" s="109">
        <v>3</v>
      </c>
      <c r="U12" s="109">
        <v>1</v>
      </c>
      <c r="V12" s="110">
        <v>0</v>
      </c>
      <c r="W12" s="109">
        <v>1</v>
      </c>
      <c r="X12" s="111">
        <v>0</v>
      </c>
      <c r="Y12" s="111">
        <v>0</v>
      </c>
      <c r="Z12" s="111">
        <v>0</v>
      </c>
      <c r="AC12" s="110">
        <v>0</v>
      </c>
      <c r="AD12" s="109">
        <v>0</v>
      </c>
    </row>
    <row r="13" spans="1:30">
      <c r="A13" s="112" t="s">
        <v>1483</v>
      </c>
      <c r="B13" s="112" t="s">
        <v>1523</v>
      </c>
      <c r="C13" s="112" t="s">
        <v>495</v>
      </c>
      <c r="D13" s="112" t="s">
        <v>1435</v>
      </c>
      <c r="E13" s="112" t="s">
        <v>1429</v>
      </c>
      <c r="F13" s="112" t="s">
        <v>1549</v>
      </c>
      <c r="G13" s="112" t="s">
        <v>1523</v>
      </c>
      <c r="M13" s="112" t="s">
        <v>1526</v>
      </c>
      <c r="N13" s="112" t="s">
        <v>1416</v>
      </c>
      <c r="O13" s="108">
        <v>45100</v>
      </c>
      <c r="P13" s="108">
        <v>45100</v>
      </c>
      <c r="Q13" s="108">
        <v>45096</v>
      </c>
      <c r="R13" s="108">
        <v>45102</v>
      </c>
      <c r="S13" s="109">
        <v>26</v>
      </c>
      <c r="T13" s="109">
        <v>4</v>
      </c>
      <c r="U13" s="109">
        <v>1</v>
      </c>
      <c r="V13" s="110">
        <v>0</v>
      </c>
      <c r="W13" s="109">
        <v>1</v>
      </c>
      <c r="X13" s="111">
        <v>0</v>
      </c>
      <c r="Y13" s="111">
        <v>0</v>
      </c>
      <c r="Z13" s="111">
        <v>0</v>
      </c>
      <c r="AC13" s="110">
        <v>0</v>
      </c>
      <c r="AD13" s="109">
        <v>0</v>
      </c>
    </row>
    <row r="14" spans="1:30">
      <c r="A14" s="112" t="s">
        <v>1483</v>
      </c>
      <c r="B14" s="112" t="s">
        <v>1524</v>
      </c>
      <c r="C14" s="112" t="s">
        <v>495</v>
      </c>
      <c r="D14" s="112" t="s">
        <v>1435</v>
      </c>
      <c r="E14" s="112" t="s">
        <v>1429</v>
      </c>
      <c r="F14" s="112" t="s">
        <v>1549</v>
      </c>
      <c r="G14" s="112" t="s">
        <v>1524</v>
      </c>
      <c r="M14" s="112" t="s">
        <v>1527</v>
      </c>
      <c r="N14" s="112" t="s">
        <v>1416</v>
      </c>
      <c r="O14" s="108">
        <v>45107</v>
      </c>
      <c r="P14" s="108">
        <v>45107</v>
      </c>
      <c r="Q14" s="108">
        <v>45103</v>
      </c>
      <c r="R14" s="108">
        <v>45109</v>
      </c>
      <c r="S14" s="109">
        <v>27</v>
      </c>
      <c r="T14" s="109">
        <v>5</v>
      </c>
      <c r="U14" s="109">
        <v>1</v>
      </c>
      <c r="V14" s="110">
        <v>0</v>
      </c>
      <c r="W14" s="109">
        <v>1</v>
      </c>
      <c r="X14" s="111">
        <v>0</v>
      </c>
      <c r="Y14" s="111">
        <v>0</v>
      </c>
      <c r="Z14" s="111">
        <v>0</v>
      </c>
      <c r="AC14" s="110">
        <v>0</v>
      </c>
      <c r="AD14" s="109">
        <v>0</v>
      </c>
    </row>
    <row r="15" spans="1:30">
      <c r="A15" s="112" t="s">
        <v>1483</v>
      </c>
      <c r="B15" s="112" t="s">
        <v>1555</v>
      </c>
      <c r="C15" s="112" t="s">
        <v>495</v>
      </c>
      <c r="D15" s="112" t="s">
        <v>1435</v>
      </c>
      <c r="E15" s="112" t="s">
        <v>1429</v>
      </c>
      <c r="F15" s="112" t="s">
        <v>1549</v>
      </c>
      <c r="G15" s="112" t="s">
        <v>1555</v>
      </c>
      <c r="M15" s="112" t="s">
        <v>1576</v>
      </c>
      <c r="N15" s="112" t="s">
        <v>1416</v>
      </c>
      <c r="O15" s="108">
        <v>45114</v>
      </c>
      <c r="P15" s="108">
        <v>45114</v>
      </c>
      <c r="Q15" s="108">
        <v>45110</v>
      </c>
      <c r="R15" s="108">
        <v>45116</v>
      </c>
      <c r="S15" s="109">
        <v>28</v>
      </c>
      <c r="T15" s="109">
        <v>6</v>
      </c>
      <c r="U15" s="109">
        <v>1</v>
      </c>
      <c r="V15" s="110">
        <v>0</v>
      </c>
      <c r="W15" s="109">
        <v>1</v>
      </c>
      <c r="X15" s="111">
        <v>0</v>
      </c>
      <c r="Y15" s="111">
        <v>0</v>
      </c>
      <c r="Z15" s="111">
        <v>0</v>
      </c>
      <c r="AC15" s="110">
        <v>0</v>
      </c>
      <c r="AD15" s="109">
        <v>0</v>
      </c>
    </row>
    <row r="16" spans="1:30">
      <c r="A16" s="112" t="s">
        <v>1483</v>
      </c>
      <c r="B16" s="112" t="s">
        <v>1556</v>
      </c>
      <c r="C16" s="112" t="s">
        <v>495</v>
      </c>
      <c r="D16" s="112" t="s">
        <v>1435</v>
      </c>
      <c r="E16" s="112" t="s">
        <v>1429</v>
      </c>
      <c r="F16" s="112" t="s">
        <v>1549</v>
      </c>
      <c r="G16" s="112" t="s">
        <v>1556</v>
      </c>
      <c r="M16" s="112" t="s">
        <v>1577</v>
      </c>
      <c r="N16" s="112" t="s">
        <v>1416</v>
      </c>
      <c r="O16" s="108">
        <v>45121</v>
      </c>
      <c r="P16" s="108">
        <v>45121</v>
      </c>
      <c r="Q16" s="108">
        <v>45117</v>
      </c>
      <c r="R16" s="108">
        <v>45123</v>
      </c>
      <c r="S16" s="109">
        <v>29</v>
      </c>
      <c r="T16" s="109">
        <v>7</v>
      </c>
      <c r="U16" s="109">
        <v>1</v>
      </c>
      <c r="V16" s="110">
        <v>0</v>
      </c>
      <c r="W16" s="109">
        <v>1</v>
      </c>
      <c r="X16" s="111">
        <v>0</v>
      </c>
      <c r="Y16" s="111">
        <v>0</v>
      </c>
      <c r="Z16" s="111">
        <v>0</v>
      </c>
      <c r="AC16" s="110">
        <v>0</v>
      </c>
      <c r="AD16" s="109">
        <v>0</v>
      </c>
    </row>
    <row r="17" spans="1:30">
      <c r="A17" s="112" t="s">
        <v>1483</v>
      </c>
      <c r="B17" s="112" t="s">
        <v>1557</v>
      </c>
      <c r="C17" s="112" t="s">
        <v>495</v>
      </c>
      <c r="D17" s="112" t="s">
        <v>1435</v>
      </c>
      <c r="E17" s="112" t="s">
        <v>1429</v>
      </c>
      <c r="F17" s="112" t="s">
        <v>1549</v>
      </c>
      <c r="G17" s="112" t="s">
        <v>1557</v>
      </c>
      <c r="M17" s="112" t="s">
        <v>1578</v>
      </c>
      <c r="N17" s="112" t="s">
        <v>1416</v>
      </c>
      <c r="O17" s="108">
        <v>45128</v>
      </c>
      <c r="P17" s="108">
        <v>45128</v>
      </c>
      <c r="Q17" s="108">
        <v>45124</v>
      </c>
      <c r="R17" s="108">
        <v>45130</v>
      </c>
      <c r="S17" s="109">
        <v>30</v>
      </c>
      <c r="T17" s="109">
        <v>8</v>
      </c>
      <c r="U17" s="109">
        <v>1</v>
      </c>
      <c r="V17" s="110">
        <v>0</v>
      </c>
      <c r="W17" s="109">
        <v>1</v>
      </c>
      <c r="X17" s="111">
        <v>0</v>
      </c>
      <c r="Y17" s="111">
        <v>0</v>
      </c>
      <c r="Z17" s="111">
        <v>0</v>
      </c>
      <c r="AC17" s="110">
        <v>0</v>
      </c>
      <c r="AD17" s="109">
        <v>0</v>
      </c>
    </row>
    <row r="18" spans="1:30">
      <c r="A18" s="112" t="s">
        <v>1483</v>
      </c>
      <c r="B18" s="112" t="s">
        <v>1558</v>
      </c>
      <c r="C18" s="112" t="s">
        <v>495</v>
      </c>
      <c r="D18" s="112" t="s">
        <v>1435</v>
      </c>
      <c r="E18" s="112" t="s">
        <v>1429</v>
      </c>
      <c r="F18" s="112" t="s">
        <v>1549</v>
      </c>
      <c r="G18" s="112" t="s">
        <v>1558</v>
      </c>
      <c r="M18" s="112" t="s">
        <v>1579</v>
      </c>
      <c r="N18" s="112" t="s">
        <v>1416</v>
      </c>
      <c r="O18" s="108">
        <v>45135</v>
      </c>
      <c r="P18" s="108">
        <v>45135</v>
      </c>
      <c r="Q18" s="108">
        <v>45131</v>
      </c>
      <c r="R18" s="108">
        <v>45137</v>
      </c>
      <c r="S18" s="109">
        <v>31</v>
      </c>
      <c r="T18" s="109">
        <v>9</v>
      </c>
      <c r="U18" s="109">
        <v>1</v>
      </c>
      <c r="V18" s="110">
        <v>0</v>
      </c>
      <c r="W18" s="109">
        <v>1</v>
      </c>
      <c r="X18" s="111">
        <v>0</v>
      </c>
      <c r="Y18" s="111">
        <v>0</v>
      </c>
      <c r="Z18" s="111">
        <v>0</v>
      </c>
      <c r="AC18" s="110">
        <v>0</v>
      </c>
      <c r="AD18" s="109">
        <v>0</v>
      </c>
    </row>
    <row r="19" spans="1:30">
      <c r="A19" s="112" t="s">
        <v>1483</v>
      </c>
      <c r="B19" s="112" t="s">
        <v>1559</v>
      </c>
      <c r="C19" s="112" t="s">
        <v>495</v>
      </c>
      <c r="D19" s="112" t="s">
        <v>1435</v>
      </c>
      <c r="E19" s="112" t="s">
        <v>1429</v>
      </c>
      <c r="F19" s="112" t="s">
        <v>1549</v>
      </c>
      <c r="G19" s="112" t="s">
        <v>1559</v>
      </c>
      <c r="M19" s="112" t="s">
        <v>1580</v>
      </c>
      <c r="N19" s="112" t="s">
        <v>1416</v>
      </c>
      <c r="O19" s="108">
        <v>45142</v>
      </c>
      <c r="P19" s="108">
        <v>45142</v>
      </c>
      <c r="Q19" s="108">
        <v>45138</v>
      </c>
      <c r="R19" s="108">
        <v>45144</v>
      </c>
      <c r="S19" s="109">
        <v>32</v>
      </c>
      <c r="T19" s="109">
        <v>10</v>
      </c>
      <c r="U19" s="109">
        <v>1</v>
      </c>
      <c r="V19" s="110">
        <v>0</v>
      </c>
      <c r="W19" s="109">
        <v>1</v>
      </c>
      <c r="X19" s="111">
        <v>0</v>
      </c>
      <c r="Y19" s="111">
        <v>0</v>
      </c>
      <c r="Z19" s="111">
        <v>0</v>
      </c>
      <c r="AC19" s="110">
        <v>0</v>
      </c>
      <c r="AD19" s="109">
        <v>0</v>
      </c>
    </row>
    <row r="20" spans="1:30">
      <c r="A20" s="112" t="s">
        <v>1483</v>
      </c>
      <c r="B20" s="112" t="s">
        <v>1560</v>
      </c>
      <c r="C20" s="112" t="s">
        <v>495</v>
      </c>
      <c r="D20" s="112" t="s">
        <v>1435</v>
      </c>
      <c r="E20" s="112" t="s">
        <v>1429</v>
      </c>
      <c r="F20" s="112" t="s">
        <v>1549</v>
      </c>
      <c r="G20" s="112" t="s">
        <v>1560</v>
      </c>
      <c r="M20" s="112" t="s">
        <v>1581</v>
      </c>
      <c r="N20" s="112" t="s">
        <v>1416</v>
      </c>
      <c r="O20" s="108">
        <v>45149</v>
      </c>
      <c r="P20" s="108">
        <v>45149</v>
      </c>
      <c r="Q20" s="108">
        <v>45145</v>
      </c>
      <c r="R20" s="108">
        <v>45151</v>
      </c>
      <c r="S20" s="109">
        <v>33</v>
      </c>
      <c r="T20" s="109">
        <v>11</v>
      </c>
      <c r="U20" s="109">
        <v>1</v>
      </c>
      <c r="V20" s="110">
        <v>0</v>
      </c>
      <c r="W20" s="109">
        <v>1</v>
      </c>
      <c r="X20" s="111">
        <v>0</v>
      </c>
      <c r="Y20" s="111">
        <v>0</v>
      </c>
      <c r="Z20" s="111">
        <v>0</v>
      </c>
      <c r="AC20" s="110">
        <v>0</v>
      </c>
      <c r="AD20" s="109">
        <v>0</v>
      </c>
    </row>
    <row r="21" spans="1:30">
      <c r="A21" s="112" t="s">
        <v>1483</v>
      </c>
      <c r="B21" s="112" t="s">
        <v>1561</v>
      </c>
      <c r="C21" s="112" t="s">
        <v>495</v>
      </c>
      <c r="D21" s="112" t="s">
        <v>1435</v>
      </c>
      <c r="E21" s="112" t="s">
        <v>1429</v>
      </c>
      <c r="F21" s="112" t="s">
        <v>1549</v>
      </c>
      <c r="G21" s="112" t="s">
        <v>1561</v>
      </c>
      <c r="M21" s="112" t="s">
        <v>1582</v>
      </c>
      <c r="N21" s="112" t="s">
        <v>1416</v>
      </c>
      <c r="O21" s="108">
        <v>45156</v>
      </c>
      <c r="P21" s="108">
        <v>45156</v>
      </c>
      <c r="Q21" s="108">
        <v>45152</v>
      </c>
      <c r="R21" s="108">
        <v>45158</v>
      </c>
      <c r="S21" s="109">
        <v>34</v>
      </c>
      <c r="T21" s="109">
        <v>12</v>
      </c>
      <c r="U21" s="109">
        <v>1</v>
      </c>
      <c r="V21" s="110">
        <v>0</v>
      </c>
      <c r="W21" s="109">
        <v>1</v>
      </c>
      <c r="X21" s="111">
        <v>0</v>
      </c>
      <c r="Y21" s="111">
        <v>0</v>
      </c>
      <c r="Z21" s="111">
        <v>0</v>
      </c>
      <c r="AC21" s="110">
        <v>0</v>
      </c>
      <c r="AD21" s="109">
        <v>0</v>
      </c>
    </row>
    <row r="22" spans="1:30">
      <c r="A22" s="112" t="s">
        <v>1483</v>
      </c>
      <c r="B22" s="112" t="s">
        <v>1562</v>
      </c>
      <c r="C22" s="112" t="s">
        <v>495</v>
      </c>
      <c r="D22" s="112" t="s">
        <v>1435</v>
      </c>
      <c r="E22" s="112" t="s">
        <v>1429</v>
      </c>
      <c r="F22" s="112" t="s">
        <v>1549</v>
      </c>
      <c r="G22" s="112" t="s">
        <v>1562</v>
      </c>
      <c r="M22" s="112" t="s">
        <v>1583</v>
      </c>
      <c r="N22" s="112" t="s">
        <v>1416</v>
      </c>
      <c r="O22" s="108">
        <v>45163</v>
      </c>
      <c r="P22" s="108">
        <v>45163</v>
      </c>
      <c r="Q22" s="108">
        <v>45159</v>
      </c>
      <c r="R22" s="108">
        <v>45165</v>
      </c>
      <c r="S22" s="109">
        <v>35</v>
      </c>
      <c r="T22" s="109">
        <v>13</v>
      </c>
      <c r="U22" s="109">
        <v>1</v>
      </c>
      <c r="V22" s="110">
        <v>0</v>
      </c>
      <c r="W22" s="109">
        <v>1</v>
      </c>
      <c r="X22" s="111">
        <v>0</v>
      </c>
      <c r="Y22" s="111">
        <v>0</v>
      </c>
      <c r="Z22" s="111">
        <v>0</v>
      </c>
      <c r="AC22" s="110">
        <v>0</v>
      </c>
      <c r="AD22" s="109">
        <v>0</v>
      </c>
    </row>
    <row r="23" spans="1:30">
      <c r="A23" s="112" t="s">
        <v>1483</v>
      </c>
      <c r="B23" s="112" t="s">
        <v>1563</v>
      </c>
      <c r="C23" s="112" t="s">
        <v>495</v>
      </c>
      <c r="D23" s="112" t="s">
        <v>1435</v>
      </c>
      <c r="E23" s="112" t="s">
        <v>1429</v>
      </c>
      <c r="F23" s="112" t="s">
        <v>1549</v>
      </c>
      <c r="G23" s="112" t="s">
        <v>1563</v>
      </c>
      <c r="M23" s="112" t="s">
        <v>1584</v>
      </c>
      <c r="N23" s="112" t="s">
        <v>1416</v>
      </c>
      <c r="O23" s="108">
        <v>45170</v>
      </c>
      <c r="P23" s="108">
        <v>45170</v>
      </c>
      <c r="Q23" s="108">
        <v>45166</v>
      </c>
      <c r="R23" s="108">
        <v>45172</v>
      </c>
      <c r="S23" s="109">
        <v>36</v>
      </c>
      <c r="T23" s="109">
        <v>14</v>
      </c>
      <c r="U23" s="109">
        <v>1</v>
      </c>
      <c r="V23" s="110">
        <v>0</v>
      </c>
      <c r="W23" s="109">
        <v>1</v>
      </c>
      <c r="X23" s="111">
        <v>0</v>
      </c>
      <c r="Y23" s="111">
        <v>0</v>
      </c>
      <c r="Z23" s="111">
        <v>0</v>
      </c>
      <c r="AC23" s="110">
        <v>0</v>
      </c>
      <c r="AD23" s="109">
        <v>0</v>
      </c>
    </row>
    <row r="24" spans="1:30">
      <c r="A24" s="112" t="s">
        <v>1483</v>
      </c>
      <c r="B24" s="112" t="s">
        <v>1564</v>
      </c>
      <c r="C24" s="112" t="s">
        <v>495</v>
      </c>
      <c r="D24" s="112" t="s">
        <v>1435</v>
      </c>
      <c r="E24" s="112" t="s">
        <v>1429</v>
      </c>
      <c r="F24" s="112" t="s">
        <v>1549</v>
      </c>
      <c r="G24" s="112" t="s">
        <v>1564</v>
      </c>
      <c r="M24" s="112" t="s">
        <v>1585</v>
      </c>
      <c r="N24" s="112" t="s">
        <v>1416</v>
      </c>
      <c r="O24" s="108">
        <v>45177</v>
      </c>
      <c r="P24" s="108">
        <v>45177</v>
      </c>
      <c r="Q24" s="108">
        <v>45173</v>
      </c>
      <c r="R24" s="108">
        <v>45179</v>
      </c>
      <c r="S24" s="109">
        <v>37</v>
      </c>
      <c r="T24" s="109">
        <v>15</v>
      </c>
      <c r="U24" s="109">
        <v>1</v>
      </c>
      <c r="V24" s="110">
        <v>0</v>
      </c>
      <c r="W24" s="109">
        <v>1</v>
      </c>
      <c r="X24" s="111">
        <v>0</v>
      </c>
      <c r="Y24" s="111">
        <v>0</v>
      </c>
      <c r="Z24" s="111">
        <v>0</v>
      </c>
      <c r="AC24" s="110">
        <v>0</v>
      </c>
      <c r="AD24" s="109">
        <v>0</v>
      </c>
    </row>
    <row r="25" spans="1:30">
      <c r="A25" s="112" t="s">
        <v>1483</v>
      </c>
      <c r="B25" s="112" t="s">
        <v>1565</v>
      </c>
      <c r="C25" s="112" t="s">
        <v>495</v>
      </c>
      <c r="D25" s="112" t="s">
        <v>1435</v>
      </c>
      <c r="E25" s="112" t="s">
        <v>1429</v>
      </c>
      <c r="F25" s="112" t="s">
        <v>1549</v>
      </c>
      <c r="G25" s="112" t="s">
        <v>1565</v>
      </c>
      <c r="M25" s="112" t="s">
        <v>1586</v>
      </c>
      <c r="N25" s="112" t="s">
        <v>1416</v>
      </c>
      <c r="O25" s="108">
        <v>45184</v>
      </c>
      <c r="P25" s="108">
        <v>45184</v>
      </c>
      <c r="Q25" s="108">
        <v>45180</v>
      </c>
      <c r="R25" s="108">
        <v>45186</v>
      </c>
      <c r="S25" s="109">
        <v>38</v>
      </c>
      <c r="T25" s="109">
        <v>16</v>
      </c>
      <c r="U25" s="109">
        <v>1</v>
      </c>
      <c r="V25" s="110">
        <v>0</v>
      </c>
      <c r="W25" s="109">
        <v>1</v>
      </c>
      <c r="X25" s="111">
        <v>0</v>
      </c>
      <c r="Y25" s="111">
        <v>0</v>
      </c>
      <c r="Z25" s="111">
        <v>0</v>
      </c>
      <c r="AC25" s="110">
        <v>0</v>
      </c>
      <c r="AD25" s="109">
        <v>0</v>
      </c>
    </row>
    <row r="26" spans="1:30">
      <c r="A26" s="112" t="s">
        <v>1483</v>
      </c>
      <c r="B26" s="112" t="s">
        <v>1566</v>
      </c>
      <c r="C26" s="112" t="s">
        <v>495</v>
      </c>
      <c r="D26" s="112" t="s">
        <v>1435</v>
      </c>
      <c r="E26" s="112" t="s">
        <v>1429</v>
      </c>
      <c r="F26" s="112" t="s">
        <v>1549</v>
      </c>
      <c r="G26" s="112" t="s">
        <v>1566</v>
      </c>
      <c r="M26" s="112" t="s">
        <v>1587</v>
      </c>
      <c r="N26" s="112" t="s">
        <v>1416</v>
      </c>
      <c r="O26" s="108">
        <v>45191</v>
      </c>
      <c r="P26" s="108">
        <v>45191</v>
      </c>
      <c r="Q26" s="108">
        <v>45187</v>
      </c>
      <c r="R26" s="108">
        <v>45193</v>
      </c>
      <c r="S26" s="109">
        <v>39</v>
      </c>
      <c r="T26" s="109">
        <v>17</v>
      </c>
      <c r="U26" s="109">
        <v>1</v>
      </c>
      <c r="V26" s="110">
        <v>0</v>
      </c>
      <c r="W26" s="109">
        <v>1</v>
      </c>
      <c r="X26" s="111">
        <v>0</v>
      </c>
      <c r="Y26" s="111">
        <v>0</v>
      </c>
      <c r="Z26" s="111">
        <v>0</v>
      </c>
      <c r="AC26" s="110">
        <v>0</v>
      </c>
      <c r="AD26" s="109">
        <v>0</v>
      </c>
    </row>
    <row r="27" spans="1:30">
      <c r="A27" s="112" t="s">
        <v>1483</v>
      </c>
      <c r="B27" s="112" t="s">
        <v>1567</v>
      </c>
      <c r="C27" s="112" t="s">
        <v>495</v>
      </c>
      <c r="D27" s="112" t="s">
        <v>1435</v>
      </c>
      <c r="E27" s="112" t="s">
        <v>1429</v>
      </c>
      <c r="F27" s="112" t="s">
        <v>1549</v>
      </c>
      <c r="G27" s="112" t="s">
        <v>1567</v>
      </c>
      <c r="M27" s="112" t="s">
        <v>1588</v>
      </c>
      <c r="N27" s="112" t="s">
        <v>1416</v>
      </c>
      <c r="O27" s="108">
        <v>45198</v>
      </c>
      <c r="P27" s="108">
        <v>45198</v>
      </c>
      <c r="Q27" s="108">
        <v>45194</v>
      </c>
      <c r="R27" s="108">
        <v>45200</v>
      </c>
      <c r="S27" s="109">
        <v>40</v>
      </c>
      <c r="T27" s="109">
        <v>18</v>
      </c>
      <c r="U27" s="109">
        <v>0</v>
      </c>
      <c r="V27" s="110">
        <v>0</v>
      </c>
      <c r="W27" s="109">
        <v>1</v>
      </c>
      <c r="X27" s="111">
        <v>0</v>
      </c>
      <c r="Y27" s="111">
        <v>0</v>
      </c>
      <c r="Z27" s="111">
        <v>0</v>
      </c>
      <c r="AC27" s="110">
        <v>0</v>
      </c>
      <c r="AD27" s="109">
        <v>0</v>
      </c>
    </row>
    <row r="28" spans="1:30">
      <c r="A28" s="112" t="s">
        <v>1483</v>
      </c>
      <c r="B28" s="112" t="s">
        <v>1568</v>
      </c>
      <c r="C28" s="112" t="s">
        <v>495</v>
      </c>
      <c r="D28" s="112" t="s">
        <v>1435</v>
      </c>
      <c r="E28" s="112" t="s">
        <v>1429</v>
      </c>
      <c r="F28" s="112" t="s">
        <v>1549</v>
      </c>
      <c r="G28" s="112" t="s">
        <v>1568</v>
      </c>
      <c r="M28" s="112" t="s">
        <v>1589</v>
      </c>
      <c r="N28" s="112" t="s">
        <v>1416</v>
      </c>
      <c r="O28" s="108">
        <v>45205</v>
      </c>
      <c r="P28" s="108">
        <v>45205</v>
      </c>
      <c r="Q28" s="108">
        <v>45201</v>
      </c>
      <c r="R28" s="108">
        <v>45207</v>
      </c>
      <c r="S28" s="109">
        <v>41</v>
      </c>
      <c r="T28" s="109">
        <v>19</v>
      </c>
      <c r="U28" s="109">
        <v>1</v>
      </c>
      <c r="V28" s="110">
        <v>0</v>
      </c>
      <c r="W28" s="109">
        <v>1</v>
      </c>
      <c r="X28" s="111">
        <v>0</v>
      </c>
      <c r="Y28" s="111">
        <v>0</v>
      </c>
      <c r="Z28" s="111">
        <v>0</v>
      </c>
      <c r="AC28" s="110">
        <v>0</v>
      </c>
      <c r="AD28" s="109">
        <v>0</v>
      </c>
    </row>
    <row r="29" spans="1:30">
      <c r="A29" s="112" t="s">
        <v>1483</v>
      </c>
      <c r="B29" s="112" t="s">
        <v>1569</v>
      </c>
      <c r="C29" s="112" t="s">
        <v>495</v>
      </c>
      <c r="D29" s="112" t="s">
        <v>1435</v>
      </c>
      <c r="E29" s="112" t="s">
        <v>1429</v>
      </c>
      <c r="F29" s="112" t="s">
        <v>1549</v>
      </c>
      <c r="G29" s="112" t="s">
        <v>1569</v>
      </c>
      <c r="M29" s="112" t="s">
        <v>1590</v>
      </c>
      <c r="N29" s="112" t="s">
        <v>1416</v>
      </c>
      <c r="O29" s="108">
        <v>45212</v>
      </c>
      <c r="P29" s="108">
        <v>45212</v>
      </c>
      <c r="Q29" s="108">
        <v>45208</v>
      </c>
      <c r="R29" s="108">
        <v>45214</v>
      </c>
      <c r="S29" s="109">
        <v>42</v>
      </c>
      <c r="T29" s="109">
        <v>20</v>
      </c>
      <c r="U29" s="109">
        <v>1</v>
      </c>
      <c r="V29" s="110">
        <v>0</v>
      </c>
      <c r="W29" s="109">
        <v>1</v>
      </c>
      <c r="X29" s="111">
        <v>0</v>
      </c>
      <c r="Y29" s="111">
        <v>0</v>
      </c>
      <c r="Z29" s="111">
        <v>0</v>
      </c>
      <c r="AC29" s="110">
        <v>0</v>
      </c>
      <c r="AD29" s="109">
        <v>0</v>
      </c>
    </row>
    <row r="30" spans="1:30">
      <c r="A30" s="112" t="s">
        <v>1483</v>
      </c>
      <c r="B30" s="112" t="s">
        <v>1570</v>
      </c>
      <c r="C30" s="112" t="s">
        <v>495</v>
      </c>
      <c r="D30" s="112" t="s">
        <v>1435</v>
      </c>
      <c r="E30" s="112" t="s">
        <v>1429</v>
      </c>
      <c r="F30" s="112" t="s">
        <v>1549</v>
      </c>
      <c r="G30" s="112" t="s">
        <v>1570</v>
      </c>
      <c r="M30" s="112" t="s">
        <v>1591</v>
      </c>
      <c r="N30" s="112" t="s">
        <v>1416</v>
      </c>
      <c r="O30" s="108">
        <v>45219</v>
      </c>
      <c r="P30" s="108">
        <v>45219</v>
      </c>
      <c r="Q30" s="108">
        <v>45215</v>
      </c>
      <c r="R30" s="108">
        <v>45221</v>
      </c>
      <c r="S30" s="109">
        <v>43</v>
      </c>
      <c r="T30" s="109">
        <v>21</v>
      </c>
      <c r="U30" s="109">
        <v>1</v>
      </c>
      <c r="V30" s="110">
        <v>0</v>
      </c>
      <c r="W30" s="109">
        <v>1</v>
      </c>
      <c r="X30" s="111">
        <v>0</v>
      </c>
      <c r="Y30" s="111">
        <v>0</v>
      </c>
      <c r="Z30" s="111">
        <v>0</v>
      </c>
      <c r="AC30" s="110">
        <v>0</v>
      </c>
      <c r="AD30" s="109">
        <v>0</v>
      </c>
    </row>
    <row r="31" spans="1:30">
      <c r="A31" s="112" t="s">
        <v>1483</v>
      </c>
      <c r="B31" s="112" t="s">
        <v>1571</v>
      </c>
      <c r="C31" s="112" t="s">
        <v>495</v>
      </c>
      <c r="D31" s="112" t="s">
        <v>1435</v>
      </c>
      <c r="E31" s="112" t="s">
        <v>1429</v>
      </c>
      <c r="F31" s="112" t="s">
        <v>1549</v>
      </c>
      <c r="G31" s="112" t="s">
        <v>1571</v>
      </c>
      <c r="M31" s="112" t="s">
        <v>1592</v>
      </c>
      <c r="N31" s="112" t="s">
        <v>1416</v>
      </c>
      <c r="O31" s="108">
        <v>45226</v>
      </c>
      <c r="P31" s="108">
        <v>45226</v>
      </c>
      <c r="Q31" s="108">
        <v>45222</v>
      </c>
      <c r="R31" s="108">
        <v>45228</v>
      </c>
      <c r="S31" s="109">
        <v>44</v>
      </c>
      <c r="T31" s="109">
        <v>22</v>
      </c>
      <c r="U31" s="109">
        <v>1</v>
      </c>
      <c r="V31" s="110">
        <v>0</v>
      </c>
      <c r="W31" s="109">
        <v>1</v>
      </c>
      <c r="X31" s="111">
        <v>0</v>
      </c>
      <c r="Y31" s="111">
        <v>0</v>
      </c>
      <c r="Z31" s="111">
        <v>0</v>
      </c>
      <c r="AC31" s="110">
        <v>0</v>
      </c>
      <c r="AD31" s="109">
        <v>0</v>
      </c>
    </row>
    <row r="32" spans="1:30">
      <c r="A32" s="112" t="s">
        <v>1483</v>
      </c>
      <c r="B32" s="112" t="s">
        <v>1572</v>
      </c>
      <c r="C32" s="112" t="s">
        <v>495</v>
      </c>
      <c r="D32" s="112" t="s">
        <v>1435</v>
      </c>
      <c r="E32" s="112" t="s">
        <v>1429</v>
      </c>
      <c r="F32" s="112" t="s">
        <v>1549</v>
      </c>
      <c r="G32" s="112" t="s">
        <v>1572</v>
      </c>
      <c r="M32" s="112" t="s">
        <v>1593</v>
      </c>
      <c r="N32" s="112" t="s">
        <v>1416</v>
      </c>
      <c r="O32" s="108">
        <v>45233</v>
      </c>
      <c r="P32" s="108">
        <v>45233</v>
      </c>
      <c r="Q32" s="108">
        <v>45229</v>
      </c>
      <c r="R32" s="108">
        <v>45235</v>
      </c>
      <c r="S32" s="109">
        <v>45</v>
      </c>
      <c r="T32" s="109">
        <v>23</v>
      </c>
      <c r="U32" s="109">
        <v>1</v>
      </c>
      <c r="V32" s="110">
        <v>0</v>
      </c>
      <c r="W32" s="109">
        <v>1</v>
      </c>
      <c r="X32" s="111">
        <v>0</v>
      </c>
      <c r="Y32" s="111">
        <v>0</v>
      </c>
      <c r="Z32" s="111">
        <v>0</v>
      </c>
      <c r="AC32" s="110">
        <v>0</v>
      </c>
      <c r="AD32" s="109">
        <v>0</v>
      </c>
    </row>
    <row r="33" spans="1:30">
      <c r="A33" s="112" t="s">
        <v>1483</v>
      </c>
      <c r="B33" s="112" t="s">
        <v>1573</v>
      </c>
      <c r="C33" s="112" t="s">
        <v>495</v>
      </c>
      <c r="D33" s="112" t="s">
        <v>1435</v>
      </c>
      <c r="E33" s="112" t="s">
        <v>1429</v>
      </c>
      <c r="F33" s="112" t="s">
        <v>1549</v>
      </c>
      <c r="G33" s="112" t="s">
        <v>1573</v>
      </c>
      <c r="M33" s="112" t="s">
        <v>1594</v>
      </c>
      <c r="N33" s="112" t="s">
        <v>1416</v>
      </c>
      <c r="O33" s="108">
        <v>45240</v>
      </c>
      <c r="P33" s="108">
        <v>45240</v>
      </c>
      <c r="Q33" s="108">
        <v>45236</v>
      </c>
      <c r="R33" s="108">
        <v>45242</v>
      </c>
      <c r="S33" s="109">
        <v>46</v>
      </c>
      <c r="T33" s="109">
        <v>24</v>
      </c>
      <c r="U33" s="109">
        <v>1</v>
      </c>
      <c r="V33" s="110">
        <v>0</v>
      </c>
      <c r="W33" s="109">
        <v>1</v>
      </c>
      <c r="X33" s="111">
        <v>0</v>
      </c>
      <c r="Y33" s="111">
        <v>0</v>
      </c>
      <c r="Z33" s="111">
        <v>0</v>
      </c>
      <c r="AC33" s="110">
        <v>0</v>
      </c>
      <c r="AD33" s="109">
        <v>0</v>
      </c>
    </row>
    <row r="34" spans="1:30">
      <c r="A34" s="112" t="s">
        <v>1483</v>
      </c>
      <c r="B34" s="112" t="s">
        <v>1574</v>
      </c>
      <c r="C34" s="112" t="s">
        <v>495</v>
      </c>
      <c r="D34" s="112" t="s">
        <v>1435</v>
      </c>
      <c r="E34" s="112" t="s">
        <v>1429</v>
      </c>
      <c r="F34" s="112" t="s">
        <v>1549</v>
      </c>
      <c r="G34" s="112" t="s">
        <v>1574</v>
      </c>
      <c r="M34" s="112" t="s">
        <v>1595</v>
      </c>
      <c r="N34" s="112" t="s">
        <v>1416</v>
      </c>
      <c r="O34" s="108">
        <v>45247</v>
      </c>
      <c r="P34" s="108">
        <v>45247</v>
      </c>
      <c r="Q34" s="108">
        <v>45243</v>
      </c>
      <c r="R34" s="108">
        <v>45249</v>
      </c>
      <c r="S34" s="109">
        <v>47</v>
      </c>
      <c r="T34" s="109">
        <v>25</v>
      </c>
      <c r="U34" s="109">
        <v>1</v>
      </c>
      <c r="V34" s="110">
        <v>0</v>
      </c>
      <c r="W34" s="109">
        <v>1</v>
      </c>
      <c r="X34" s="111">
        <v>0</v>
      </c>
      <c r="Y34" s="111">
        <v>0</v>
      </c>
      <c r="Z34" s="111">
        <v>0</v>
      </c>
      <c r="AC34" s="110">
        <v>0</v>
      </c>
      <c r="AD34" s="109">
        <v>0</v>
      </c>
    </row>
    <row r="35" spans="1:30">
      <c r="A35" s="112" t="s">
        <v>1483</v>
      </c>
      <c r="B35" s="112" t="s">
        <v>1575</v>
      </c>
      <c r="C35" s="112" t="s">
        <v>495</v>
      </c>
      <c r="D35" s="112" t="s">
        <v>1435</v>
      </c>
      <c r="E35" s="112" t="s">
        <v>1429</v>
      </c>
      <c r="F35" s="112" t="s">
        <v>1549</v>
      </c>
      <c r="G35" s="112" t="s">
        <v>1575</v>
      </c>
      <c r="M35" s="112" t="s">
        <v>1596</v>
      </c>
      <c r="N35" s="112" t="s">
        <v>1416</v>
      </c>
      <c r="O35" s="108">
        <v>45254</v>
      </c>
      <c r="P35" s="108">
        <v>45254</v>
      </c>
      <c r="Q35" s="108">
        <v>45250</v>
      </c>
      <c r="R35" s="108">
        <v>45256</v>
      </c>
      <c r="S35" s="109">
        <v>48</v>
      </c>
      <c r="T35" s="109">
        <v>26</v>
      </c>
      <c r="U35" s="109">
        <v>1</v>
      </c>
      <c r="V35" s="110">
        <v>0</v>
      </c>
      <c r="W35" s="109">
        <v>1</v>
      </c>
      <c r="X35" s="111">
        <v>0</v>
      </c>
      <c r="Y35" s="111">
        <v>0</v>
      </c>
      <c r="Z35" s="111">
        <v>0</v>
      </c>
      <c r="AC35" s="110">
        <v>0</v>
      </c>
      <c r="AD35" s="109">
        <v>0</v>
      </c>
    </row>
    <row r="36" spans="1:30">
      <c r="A36" s="112" t="s">
        <v>1483</v>
      </c>
      <c r="B36" s="112" t="s">
        <v>1528</v>
      </c>
      <c r="C36" s="112" t="s">
        <v>495</v>
      </c>
      <c r="D36" s="112" t="s">
        <v>1435</v>
      </c>
      <c r="E36" s="112" t="s">
        <v>1429</v>
      </c>
      <c r="F36" s="112" t="s">
        <v>1500</v>
      </c>
      <c r="G36" s="112" t="s">
        <v>1528</v>
      </c>
      <c r="M36" s="112" t="s">
        <v>1447</v>
      </c>
      <c r="N36" s="112" t="s">
        <v>1416</v>
      </c>
      <c r="O36" s="108">
        <v>45112</v>
      </c>
      <c r="P36" s="108">
        <v>45112</v>
      </c>
      <c r="Q36" s="108">
        <v>45110</v>
      </c>
      <c r="R36" s="108">
        <v>45116</v>
      </c>
      <c r="S36" s="109">
        <v>28</v>
      </c>
      <c r="T36" s="109">
        <v>6</v>
      </c>
      <c r="U36" s="109">
        <v>0</v>
      </c>
      <c r="V36" s="110">
        <v>0</v>
      </c>
      <c r="W36" s="109">
        <v>1</v>
      </c>
      <c r="X36" s="111">
        <v>0</v>
      </c>
      <c r="Y36" s="111">
        <v>0</v>
      </c>
      <c r="Z36" s="111">
        <v>0</v>
      </c>
      <c r="AC36" s="110">
        <v>0</v>
      </c>
      <c r="AD36" s="109">
        <v>0</v>
      </c>
    </row>
    <row r="37" spans="1:30">
      <c r="A37" s="112" t="s">
        <v>1483</v>
      </c>
      <c r="B37" s="112" t="s">
        <v>1550</v>
      </c>
      <c r="C37" s="112" t="s">
        <v>495</v>
      </c>
      <c r="D37" s="112" t="s">
        <v>1435</v>
      </c>
      <c r="E37" s="112" t="s">
        <v>1429</v>
      </c>
      <c r="F37" s="112" t="s">
        <v>1500</v>
      </c>
      <c r="G37" s="112" t="s">
        <v>1550</v>
      </c>
      <c r="M37" s="112" t="s">
        <v>1626</v>
      </c>
      <c r="N37" s="112" t="s">
        <v>1416</v>
      </c>
      <c r="O37" s="108">
        <v>45229</v>
      </c>
      <c r="P37" s="108">
        <v>45229</v>
      </c>
      <c r="Q37" s="108">
        <v>45229</v>
      </c>
      <c r="R37" s="108">
        <v>45235</v>
      </c>
      <c r="S37" s="109">
        <v>45</v>
      </c>
      <c r="T37" s="109">
        <v>23</v>
      </c>
      <c r="U37" s="109">
        <v>0</v>
      </c>
      <c r="V37" s="110">
        <v>0</v>
      </c>
      <c r="W37" s="109">
        <v>1</v>
      </c>
      <c r="X37" s="111">
        <v>0</v>
      </c>
      <c r="Y37" s="111">
        <v>0</v>
      </c>
      <c r="Z37" s="111">
        <v>0</v>
      </c>
      <c r="AC37" s="110">
        <v>0</v>
      </c>
      <c r="AD37" s="109">
        <v>0</v>
      </c>
    </row>
    <row r="38" spans="1:30">
      <c r="A38" s="112" t="s">
        <v>1483</v>
      </c>
      <c r="B38" s="112" t="s">
        <v>1625</v>
      </c>
      <c r="C38" s="112" t="s">
        <v>495</v>
      </c>
      <c r="D38" s="112" t="s">
        <v>1435</v>
      </c>
      <c r="E38" s="112" t="s">
        <v>1429</v>
      </c>
      <c r="F38" s="112" t="s">
        <v>1500</v>
      </c>
      <c r="G38" s="112" t="s">
        <v>1625</v>
      </c>
      <c r="M38" s="112" t="s">
        <v>1451</v>
      </c>
      <c r="N38" s="112" t="s">
        <v>1416</v>
      </c>
      <c r="O38" s="108">
        <v>45252</v>
      </c>
      <c r="P38" s="108">
        <v>45252</v>
      </c>
      <c r="Q38" s="108">
        <v>45250</v>
      </c>
      <c r="R38" s="108">
        <v>45256</v>
      </c>
      <c r="S38" s="109">
        <v>48</v>
      </c>
      <c r="T38" s="109">
        <v>26</v>
      </c>
      <c r="U38" s="109">
        <v>0</v>
      </c>
      <c r="V38" s="110">
        <v>0</v>
      </c>
      <c r="W38" s="109">
        <v>1</v>
      </c>
      <c r="X38" s="111">
        <v>0</v>
      </c>
      <c r="Y38" s="111">
        <v>0</v>
      </c>
      <c r="Z38" s="111">
        <v>0</v>
      </c>
      <c r="AC38" s="110">
        <v>0</v>
      </c>
      <c r="AD38" s="109">
        <v>0</v>
      </c>
    </row>
    <row r="39" spans="1:30">
      <c r="A39" s="112" t="s">
        <v>1483</v>
      </c>
      <c r="B39" s="112" t="s">
        <v>1530</v>
      </c>
      <c r="C39" s="112" t="s">
        <v>495</v>
      </c>
      <c r="D39" s="112" t="s">
        <v>1435</v>
      </c>
      <c r="E39" s="112" t="s">
        <v>1430</v>
      </c>
      <c r="F39" s="112" t="s">
        <v>1529</v>
      </c>
      <c r="G39" s="112" t="s">
        <v>1530</v>
      </c>
      <c r="M39" s="112" t="s">
        <v>1537</v>
      </c>
      <c r="N39" s="112" t="s">
        <v>1416</v>
      </c>
      <c r="O39" s="108">
        <v>45103</v>
      </c>
      <c r="P39" s="108">
        <v>45106</v>
      </c>
      <c r="Q39" s="108">
        <v>45103</v>
      </c>
      <c r="R39" s="108">
        <v>45109</v>
      </c>
      <c r="S39" s="109">
        <v>27</v>
      </c>
      <c r="T39" s="109">
        <v>5</v>
      </c>
      <c r="U39" s="109">
        <v>4</v>
      </c>
      <c r="V39" s="110">
        <v>0</v>
      </c>
      <c r="W39" s="109">
        <v>1</v>
      </c>
      <c r="X39" s="111">
        <v>0</v>
      </c>
      <c r="Y39" s="111">
        <v>0</v>
      </c>
      <c r="Z39" s="111">
        <v>0</v>
      </c>
      <c r="AC39" s="110">
        <v>0</v>
      </c>
      <c r="AD39" s="109">
        <v>0</v>
      </c>
    </row>
    <row r="40" spans="1:30">
      <c r="A40" s="112" t="s">
        <v>1483</v>
      </c>
      <c r="B40" s="112" t="s">
        <v>1532</v>
      </c>
      <c r="C40" s="112" t="s">
        <v>495</v>
      </c>
      <c r="D40" s="112" t="s">
        <v>1435</v>
      </c>
      <c r="E40" s="112" t="s">
        <v>1430</v>
      </c>
      <c r="F40" s="112" t="s">
        <v>1529</v>
      </c>
      <c r="G40" s="112" t="s">
        <v>1532</v>
      </c>
      <c r="M40" s="112" t="s">
        <v>1531</v>
      </c>
      <c r="N40" s="112" t="s">
        <v>1416</v>
      </c>
      <c r="O40" s="108">
        <v>45107</v>
      </c>
      <c r="P40" s="108">
        <v>45107</v>
      </c>
      <c r="Q40" s="108">
        <v>45103</v>
      </c>
      <c r="R40" s="108">
        <v>45109</v>
      </c>
      <c r="S40" s="109">
        <v>27</v>
      </c>
      <c r="T40" s="109">
        <v>5</v>
      </c>
      <c r="U40" s="109">
        <v>1</v>
      </c>
      <c r="V40" s="110">
        <v>0</v>
      </c>
      <c r="W40" s="109">
        <v>1</v>
      </c>
      <c r="X40" s="111">
        <v>0</v>
      </c>
      <c r="Y40" s="111">
        <v>0</v>
      </c>
      <c r="Z40" s="111">
        <v>0</v>
      </c>
      <c r="AC40" s="110">
        <v>0</v>
      </c>
      <c r="AD40" s="109">
        <v>0</v>
      </c>
    </row>
    <row r="41" spans="1:30">
      <c r="A41" s="112" t="s">
        <v>1483</v>
      </c>
      <c r="B41" s="112" t="s">
        <v>1534</v>
      </c>
      <c r="C41" s="112" t="s">
        <v>495</v>
      </c>
      <c r="D41" s="112" t="s">
        <v>1435</v>
      </c>
      <c r="E41" s="112" t="s">
        <v>1430</v>
      </c>
      <c r="F41" s="112" t="s">
        <v>1533</v>
      </c>
      <c r="G41" s="112" t="s">
        <v>1534</v>
      </c>
      <c r="M41" s="112" t="s">
        <v>1536</v>
      </c>
      <c r="N41" s="112" t="s">
        <v>1416</v>
      </c>
      <c r="O41" s="108">
        <v>45131</v>
      </c>
      <c r="P41" s="108">
        <v>45134</v>
      </c>
      <c r="Q41" s="108">
        <v>45131</v>
      </c>
      <c r="R41" s="108">
        <v>45137</v>
      </c>
      <c r="S41" s="109">
        <v>31</v>
      </c>
      <c r="T41" s="109">
        <v>9</v>
      </c>
      <c r="U41" s="109">
        <v>4</v>
      </c>
      <c r="V41" s="110">
        <v>0</v>
      </c>
      <c r="W41" s="109">
        <v>1</v>
      </c>
      <c r="X41" s="111">
        <v>0</v>
      </c>
      <c r="Y41" s="111">
        <v>0</v>
      </c>
      <c r="Z41" s="111">
        <v>0</v>
      </c>
      <c r="AC41" s="110">
        <v>0</v>
      </c>
      <c r="AD41" s="109">
        <v>0</v>
      </c>
    </row>
    <row r="42" spans="1:30">
      <c r="A42" s="112" t="s">
        <v>1483</v>
      </c>
      <c r="B42" s="112" t="s">
        <v>1535</v>
      </c>
      <c r="C42" s="112" t="s">
        <v>495</v>
      </c>
      <c r="D42" s="112" t="s">
        <v>1435</v>
      </c>
      <c r="E42" s="112" t="s">
        <v>1430</v>
      </c>
      <c r="F42" s="112" t="s">
        <v>1533</v>
      </c>
      <c r="G42" s="112" t="s">
        <v>1535</v>
      </c>
      <c r="M42" s="112" t="s">
        <v>1531</v>
      </c>
      <c r="N42" s="112" t="s">
        <v>1416</v>
      </c>
      <c r="O42" s="108">
        <v>45138</v>
      </c>
      <c r="P42" s="108">
        <v>45138</v>
      </c>
      <c r="Q42" s="108">
        <v>45138</v>
      </c>
      <c r="R42" s="108">
        <v>45144</v>
      </c>
      <c r="S42" s="109">
        <v>32</v>
      </c>
      <c r="T42" s="109">
        <v>10</v>
      </c>
      <c r="U42" s="109">
        <v>1</v>
      </c>
      <c r="V42" s="110">
        <v>0</v>
      </c>
      <c r="W42" s="109">
        <v>1</v>
      </c>
      <c r="X42" s="111">
        <v>0</v>
      </c>
      <c r="Y42" s="111">
        <v>0</v>
      </c>
      <c r="Z42" s="111">
        <v>0</v>
      </c>
      <c r="AC42" s="110">
        <v>0</v>
      </c>
      <c r="AD42" s="109">
        <v>0</v>
      </c>
    </row>
    <row r="43" spans="1:30">
      <c r="A43" s="112" t="s">
        <v>1814</v>
      </c>
      <c r="B43" s="112" t="s">
        <v>1432</v>
      </c>
      <c r="C43" s="112" t="s">
        <v>495</v>
      </c>
      <c r="D43" s="112" t="s">
        <v>1436</v>
      </c>
      <c r="E43" s="112" t="s">
        <v>1432</v>
      </c>
      <c r="M43" s="112" t="s">
        <v>1449</v>
      </c>
      <c r="N43" s="112" t="s">
        <v>1416</v>
      </c>
      <c r="O43" s="108">
        <v>45236</v>
      </c>
      <c r="P43" s="108">
        <v>45238</v>
      </c>
      <c r="Q43" s="108">
        <v>45236</v>
      </c>
      <c r="R43" s="108">
        <v>45242</v>
      </c>
      <c r="S43" s="109">
        <v>46</v>
      </c>
      <c r="T43" s="109">
        <v>24</v>
      </c>
      <c r="U43" s="109">
        <v>3</v>
      </c>
      <c r="V43" s="110">
        <v>0</v>
      </c>
      <c r="W43" s="109">
        <v>1</v>
      </c>
      <c r="X43" s="111">
        <v>0</v>
      </c>
      <c r="Y43" s="111">
        <v>0</v>
      </c>
      <c r="Z43" s="111">
        <v>0</v>
      </c>
      <c r="AC43" s="110">
        <v>0</v>
      </c>
      <c r="AD43" s="109">
        <v>0</v>
      </c>
    </row>
    <row r="44" spans="1:30">
      <c r="A44" s="112" t="s">
        <v>1813</v>
      </c>
      <c r="B44" s="112" t="s">
        <v>1544</v>
      </c>
      <c r="C44" s="112" t="s">
        <v>495</v>
      </c>
      <c r="D44" s="112" t="s">
        <v>1436</v>
      </c>
      <c r="E44" s="112" t="s">
        <v>1433</v>
      </c>
      <c r="F44" s="112" t="s">
        <v>1544</v>
      </c>
      <c r="M44" s="112" t="s">
        <v>1546</v>
      </c>
      <c r="N44" s="112" t="s">
        <v>1416</v>
      </c>
      <c r="O44" s="108">
        <v>45238</v>
      </c>
      <c r="P44" s="108">
        <v>45239</v>
      </c>
      <c r="Q44" s="108">
        <v>45236</v>
      </c>
      <c r="R44" s="108">
        <v>45242</v>
      </c>
      <c r="S44" s="109">
        <v>46</v>
      </c>
      <c r="T44" s="109">
        <v>24</v>
      </c>
      <c r="U44" s="109">
        <v>2</v>
      </c>
      <c r="V44" s="110">
        <v>0</v>
      </c>
      <c r="W44" s="109">
        <v>1</v>
      </c>
      <c r="X44" s="111">
        <v>0</v>
      </c>
      <c r="Y44" s="111">
        <v>0</v>
      </c>
      <c r="Z44" s="111">
        <v>0</v>
      </c>
      <c r="AC44" s="110">
        <v>0</v>
      </c>
      <c r="AD44" s="109">
        <v>0</v>
      </c>
    </row>
    <row r="45" spans="1:30">
      <c r="A45" s="112" t="s">
        <v>1813</v>
      </c>
      <c r="B45" s="112" t="s">
        <v>1545</v>
      </c>
      <c r="C45" s="112" t="s">
        <v>495</v>
      </c>
      <c r="D45" s="112" t="s">
        <v>1436</v>
      </c>
      <c r="E45" s="112" t="s">
        <v>1433</v>
      </c>
      <c r="F45" s="112" t="s">
        <v>1545</v>
      </c>
      <c r="M45" s="112" t="s">
        <v>1547</v>
      </c>
      <c r="N45" s="112" t="s">
        <v>1416</v>
      </c>
      <c r="O45" s="108">
        <v>45243</v>
      </c>
      <c r="P45" s="108">
        <v>45254</v>
      </c>
      <c r="Q45" s="108">
        <v>45243</v>
      </c>
      <c r="R45" s="108">
        <v>45249</v>
      </c>
      <c r="S45" s="109">
        <v>47</v>
      </c>
      <c r="T45" s="109">
        <v>25</v>
      </c>
      <c r="U45" s="109">
        <v>5</v>
      </c>
      <c r="V45" s="110">
        <v>0</v>
      </c>
      <c r="W45" s="109">
        <v>1</v>
      </c>
      <c r="X45" s="111">
        <v>0</v>
      </c>
      <c r="Y45" s="111">
        <v>0</v>
      </c>
      <c r="Z45" s="111">
        <v>0</v>
      </c>
      <c r="AC45" s="110">
        <v>0</v>
      </c>
      <c r="AD45" s="109">
        <v>0</v>
      </c>
    </row>
    <row r="46" spans="1:30">
      <c r="A46" s="112" t="s">
        <v>1813</v>
      </c>
      <c r="B46" s="112" t="s">
        <v>1545</v>
      </c>
      <c r="C46" s="112" t="s">
        <v>495</v>
      </c>
      <c r="D46" s="112" t="s">
        <v>1436</v>
      </c>
      <c r="E46" s="112" t="s">
        <v>1433</v>
      </c>
      <c r="F46" s="112" t="s">
        <v>1545</v>
      </c>
      <c r="M46" s="112" t="s">
        <v>1547</v>
      </c>
      <c r="N46" s="112" t="s">
        <v>1416</v>
      </c>
      <c r="O46" s="108">
        <v>45243</v>
      </c>
      <c r="P46" s="108">
        <v>45254</v>
      </c>
      <c r="Q46" s="108">
        <v>45250</v>
      </c>
      <c r="R46" s="108">
        <v>45256</v>
      </c>
      <c r="S46" s="109">
        <v>48</v>
      </c>
      <c r="T46" s="109">
        <v>26</v>
      </c>
      <c r="U46" s="109">
        <v>5</v>
      </c>
      <c r="V46" s="110">
        <v>0</v>
      </c>
      <c r="W46" s="109">
        <v>1</v>
      </c>
      <c r="X46" s="111">
        <v>0</v>
      </c>
      <c r="Y46" s="111">
        <v>0</v>
      </c>
      <c r="Z46" s="111">
        <v>0</v>
      </c>
      <c r="AC46" s="110">
        <v>0</v>
      </c>
      <c r="AD46" s="109">
        <v>0</v>
      </c>
    </row>
    <row r="47" spans="1:30">
      <c r="A47" s="112" t="s">
        <v>1813</v>
      </c>
      <c r="B47" s="112" t="s">
        <v>1539</v>
      </c>
      <c r="C47" s="112" t="s">
        <v>495</v>
      </c>
      <c r="D47" s="112" t="s">
        <v>1436</v>
      </c>
      <c r="E47" s="112" t="s">
        <v>1450</v>
      </c>
      <c r="F47" s="112" t="s">
        <v>1539</v>
      </c>
      <c r="M47" s="112" t="s">
        <v>1540</v>
      </c>
      <c r="N47" s="112" t="s">
        <v>1416</v>
      </c>
      <c r="O47" s="108">
        <v>45257</v>
      </c>
      <c r="P47" s="108">
        <v>45257</v>
      </c>
      <c r="Q47" s="108">
        <v>45257</v>
      </c>
      <c r="R47" s="108">
        <v>45263</v>
      </c>
      <c r="S47" s="109">
        <v>49</v>
      </c>
      <c r="T47" s="109">
        <v>27</v>
      </c>
      <c r="U47" s="109">
        <v>1</v>
      </c>
      <c r="V47" s="110">
        <v>0</v>
      </c>
      <c r="W47" s="109">
        <v>1</v>
      </c>
      <c r="X47" s="111">
        <v>0</v>
      </c>
      <c r="Y47" s="111">
        <v>0</v>
      </c>
      <c r="Z47" s="111">
        <v>0</v>
      </c>
      <c r="AC47" s="110">
        <v>0</v>
      </c>
      <c r="AD47" s="109">
        <v>0</v>
      </c>
    </row>
    <row r="48" spans="1:30">
      <c r="A48" s="112" t="s">
        <v>1813</v>
      </c>
      <c r="B48" s="112" t="s">
        <v>1542</v>
      </c>
      <c r="C48" s="112" t="s">
        <v>495</v>
      </c>
      <c r="D48" s="112" t="s">
        <v>1436</v>
      </c>
      <c r="E48" s="112" t="s">
        <v>1450</v>
      </c>
      <c r="F48" s="112" t="s">
        <v>1542</v>
      </c>
      <c r="M48" s="112" t="s">
        <v>1541</v>
      </c>
      <c r="N48" s="112" t="s">
        <v>1416</v>
      </c>
      <c r="O48" s="108">
        <v>45259</v>
      </c>
      <c r="P48" s="108">
        <v>45259</v>
      </c>
      <c r="Q48" s="108">
        <v>45257</v>
      </c>
      <c r="R48" s="108">
        <v>45263</v>
      </c>
      <c r="S48" s="109">
        <v>49</v>
      </c>
      <c r="T48" s="109">
        <v>27</v>
      </c>
      <c r="U48" s="109">
        <v>1</v>
      </c>
      <c r="V48" s="110">
        <v>0</v>
      </c>
      <c r="W48" s="109">
        <v>1</v>
      </c>
      <c r="X48" s="111">
        <v>0</v>
      </c>
      <c r="Y48" s="111">
        <v>0</v>
      </c>
      <c r="Z48" s="111">
        <v>0</v>
      </c>
      <c r="AC48" s="110">
        <v>0</v>
      </c>
      <c r="AD48" s="109">
        <v>0</v>
      </c>
    </row>
    <row r="49" spans="1:30">
      <c r="A49" s="112" t="s">
        <v>1813</v>
      </c>
      <c r="B49" s="112" t="s">
        <v>1543</v>
      </c>
      <c r="C49" s="112" t="s">
        <v>495</v>
      </c>
      <c r="D49" s="112" t="s">
        <v>1436</v>
      </c>
      <c r="E49" s="112" t="s">
        <v>1450</v>
      </c>
      <c r="F49" s="112" t="s">
        <v>1543</v>
      </c>
      <c r="M49" s="112" t="s">
        <v>1448</v>
      </c>
      <c r="N49" s="112" t="s">
        <v>1416</v>
      </c>
      <c r="O49" s="108">
        <v>45260</v>
      </c>
      <c r="P49" s="108">
        <v>45260</v>
      </c>
      <c r="Q49" s="108">
        <v>45257</v>
      </c>
      <c r="R49" s="108">
        <v>45263</v>
      </c>
      <c r="S49" s="109">
        <v>49</v>
      </c>
      <c r="T49" s="109">
        <v>27</v>
      </c>
      <c r="U49" s="109">
        <v>1</v>
      </c>
      <c r="V49" s="110">
        <v>0</v>
      </c>
      <c r="W49" s="109">
        <v>1</v>
      </c>
      <c r="X49" s="111">
        <v>0</v>
      </c>
      <c r="Y49" s="111">
        <v>0</v>
      </c>
      <c r="Z49" s="111">
        <v>0</v>
      </c>
      <c r="AC49" s="110">
        <v>0</v>
      </c>
      <c r="AD49" s="109">
        <v>0</v>
      </c>
    </row>
    <row r="50" spans="1:30">
      <c r="A50" s="112" t="s">
        <v>1813</v>
      </c>
      <c r="B50" s="112" t="s">
        <v>1606</v>
      </c>
      <c r="C50" s="112" t="s">
        <v>774</v>
      </c>
      <c r="D50" s="112" t="s">
        <v>1440</v>
      </c>
      <c r="E50" s="112" t="s">
        <v>1441</v>
      </c>
      <c r="F50" s="112" t="s">
        <v>1606</v>
      </c>
      <c r="M50" s="112" t="s">
        <v>1599</v>
      </c>
      <c r="N50" s="112" t="s">
        <v>1416</v>
      </c>
      <c r="O50" s="108">
        <v>45082</v>
      </c>
      <c r="P50" s="108">
        <v>45084</v>
      </c>
      <c r="Q50" s="108">
        <v>45082</v>
      </c>
      <c r="R50" s="108">
        <v>45088</v>
      </c>
      <c r="S50" s="109">
        <v>24</v>
      </c>
      <c r="T50" s="109">
        <v>2</v>
      </c>
      <c r="U50" s="109">
        <v>2</v>
      </c>
      <c r="V50" s="110">
        <v>0</v>
      </c>
      <c r="W50" s="109">
        <v>1</v>
      </c>
      <c r="X50" s="111">
        <v>0</v>
      </c>
      <c r="Y50" s="111">
        <v>0</v>
      </c>
      <c r="Z50" s="111">
        <v>0</v>
      </c>
      <c r="AC50" s="110">
        <v>0</v>
      </c>
      <c r="AD50" s="109">
        <v>0</v>
      </c>
    </row>
    <row r="51" spans="1:30">
      <c r="A51" s="112" t="s">
        <v>1813</v>
      </c>
      <c r="B51" s="112" t="s">
        <v>1551</v>
      </c>
      <c r="C51" s="112" t="s">
        <v>774</v>
      </c>
      <c r="D51" s="112" t="s">
        <v>1440</v>
      </c>
      <c r="E51" s="112" t="s">
        <v>1441</v>
      </c>
      <c r="F51" s="112" t="s">
        <v>1551</v>
      </c>
      <c r="M51" s="112" t="s">
        <v>1600</v>
      </c>
      <c r="N51" s="112" t="s">
        <v>1416</v>
      </c>
      <c r="O51" s="108">
        <v>45084</v>
      </c>
      <c r="P51" s="108">
        <v>45086</v>
      </c>
      <c r="Q51" s="108">
        <v>45082</v>
      </c>
      <c r="R51" s="108">
        <v>45088</v>
      </c>
      <c r="S51" s="109">
        <v>24</v>
      </c>
      <c r="T51" s="109">
        <v>2</v>
      </c>
      <c r="U51" s="109">
        <v>3</v>
      </c>
      <c r="V51" s="110">
        <v>0</v>
      </c>
      <c r="W51" s="109">
        <v>1</v>
      </c>
      <c r="X51" s="111">
        <v>0</v>
      </c>
      <c r="Y51" s="111">
        <v>0</v>
      </c>
      <c r="Z51" s="111">
        <v>0</v>
      </c>
      <c r="AC51" s="110">
        <v>0</v>
      </c>
      <c r="AD51" s="109">
        <v>0</v>
      </c>
    </row>
    <row r="52" spans="1:30">
      <c r="A52" s="112" t="s">
        <v>1813</v>
      </c>
      <c r="B52" s="112" t="s">
        <v>1554</v>
      </c>
      <c r="C52" s="112" t="s">
        <v>774</v>
      </c>
      <c r="D52" s="112" t="s">
        <v>1440</v>
      </c>
      <c r="E52" s="112" t="s">
        <v>1441</v>
      </c>
      <c r="F52" s="112" t="s">
        <v>1554</v>
      </c>
      <c r="M52" s="112" t="s">
        <v>1806</v>
      </c>
      <c r="N52" s="112" t="s">
        <v>1416</v>
      </c>
      <c r="O52" s="108">
        <v>45089</v>
      </c>
      <c r="P52" s="108">
        <v>45093</v>
      </c>
      <c r="Q52" s="108">
        <v>45089</v>
      </c>
      <c r="R52" s="108">
        <v>45095</v>
      </c>
      <c r="S52" s="109">
        <v>25</v>
      </c>
      <c r="T52" s="109">
        <v>3</v>
      </c>
      <c r="U52" s="109">
        <v>5</v>
      </c>
      <c r="V52" s="110">
        <v>0</v>
      </c>
      <c r="W52" s="109">
        <v>1</v>
      </c>
      <c r="X52" s="111">
        <v>0</v>
      </c>
      <c r="Y52" s="111">
        <v>0</v>
      </c>
      <c r="Z52" s="111">
        <v>0</v>
      </c>
      <c r="AC52" s="110">
        <v>0</v>
      </c>
      <c r="AD52" s="109">
        <v>0</v>
      </c>
    </row>
    <row r="53" spans="1:30">
      <c r="A53" s="112" t="s">
        <v>1813</v>
      </c>
      <c r="B53" s="112" t="s">
        <v>1803</v>
      </c>
      <c r="C53" s="112" t="s">
        <v>774</v>
      </c>
      <c r="D53" s="112" t="s">
        <v>1440</v>
      </c>
      <c r="E53" s="112" t="s">
        <v>1441</v>
      </c>
      <c r="F53" s="112" t="s">
        <v>1803</v>
      </c>
      <c r="M53" s="112" t="s">
        <v>1807</v>
      </c>
      <c r="N53" s="112" t="s">
        <v>1416</v>
      </c>
      <c r="O53" s="108">
        <v>45089</v>
      </c>
      <c r="P53" s="108">
        <v>45093</v>
      </c>
      <c r="Q53" s="108">
        <v>45089</v>
      </c>
      <c r="R53" s="108">
        <v>45095</v>
      </c>
      <c r="S53" s="109">
        <v>25</v>
      </c>
      <c r="T53" s="109">
        <v>3</v>
      </c>
      <c r="U53" s="109">
        <v>5</v>
      </c>
      <c r="V53" s="110">
        <v>0</v>
      </c>
      <c r="W53" s="109">
        <v>1</v>
      </c>
      <c r="X53" s="111">
        <v>0</v>
      </c>
      <c r="Y53" s="111">
        <v>0</v>
      </c>
      <c r="Z53" s="111">
        <v>0</v>
      </c>
      <c r="AC53" s="110">
        <v>0</v>
      </c>
      <c r="AD53" s="109">
        <v>0</v>
      </c>
    </row>
    <row r="54" spans="1:30">
      <c r="A54" s="112" t="s">
        <v>1813</v>
      </c>
      <c r="B54" s="112" t="s">
        <v>1443</v>
      </c>
      <c r="C54" s="112" t="s">
        <v>774</v>
      </c>
      <c r="D54" s="112" t="s">
        <v>1440</v>
      </c>
      <c r="E54" s="112" t="s">
        <v>1442</v>
      </c>
      <c r="F54" s="112" t="s">
        <v>1443</v>
      </c>
      <c r="M54" s="112" t="s">
        <v>1602</v>
      </c>
      <c r="N54" s="112" t="s">
        <v>1416</v>
      </c>
      <c r="O54" s="108">
        <v>45091</v>
      </c>
      <c r="P54" s="108">
        <v>45096</v>
      </c>
      <c r="Q54" s="108">
        <v>45089</v>
      </c>
      <c r="R54" s="108">
        <v>45095</v>
      </c>
      <c r="S54" s="109">
        <v>25</v>
      </c>
      <c r="T54" s="109">
        <v>3</v>
      </c>
      <c r="U54" s="109">
        <v>3</v>
      </c>
      <c r="V54" s="110">
        <v>0</v>
      </c>
      <c r="W54" s="109">
        <v>1</v>
      </c>
      <c r="X54" s="111">
        <v>0</v>
      </c>
      <c r="Y54" s="111">
        <v>0</v>
      </c>
      <c r="Z54" s="111">
        <v>0</v>
      </c>
      <c r="AC54" s="110">
        <v>0</v>
      </c>
      <c r="AD54" s="109">
        <v>0</v>
      </c>
    </row>
    <row r="55" spans="1:30">
      <c r="A55" s="112" t="s">
        <v>1813</v>
      </c>
      <c r="B55" s="112" t="s">
        <v>1443</v>
      </c>
      <c r="C55" s="112" t="s">
        <v>774</v>
      </c>
      <c r="D55" s="112" t="s">
        <v>1440</v>
      </c>
      <c r="E55" s="112" t="s">
        <v>1442</v>
      </c>
      <c r="F55" s="112" t="s">
        <v>1443</v>
      </c>
      <c r="M55" s="112" t="s">
        <v>1602</v>
      </c>
      <c r="N55" s="112" t="s">
        <v>1416</v>
      </c>
      <c r="O55" s="108">
        <v>45091</v>
      </c>
      <c r="P55" s="108">
        <v>45096</v>
      </c>
      <c r="Q55" s="108">
        <v>45096</v>
      </c>
      <c r="R55" s="108">
        <v>45102</v>
      </c>
      <c r="S55" s="109">
        <v>26</v>
      </c>
      <c r="T55" s="109">
        <v>4</v>
      </c>
      <c r="U55" s="109">
        <v>1</v>
      </c>
      <c r="V55" s="110">
        <v>0</v>
      </c>
      <c r="W55" s="109">
        <v>1</v>
      </c>
      <c r="X55" s="111">
        <v>0</v>
      </c>
      <c r="Y55" s="111">
        <v>0</v>
      </c>
      <c r="Z55" s="111">
        <v>0</v>
      </c>
      <c r="AC55" s="110">
        <v>0</v>
      </c>
      <c r="AD55" s="109">
        <v>0</v>
      </c>
    </row>
    <row r="56" spans="1:30">
      <c r="A56" s="112" t="s">
        <v>1813</v>
      </c>
      <c r="B56" s="112" t="s">
        <v>1444</v>
      </c>
      <c r="C56" s="112" t="s">
        <v>774</v>
      </c>
      <c r="D56" s="112" t="s">
        <v>1440</v>
      </c>
      <c r="E56" s="112" t="s">
        <v>1442</v>
      </c>
      <c r="F56" s="112" t="s">
        <v>1444</v>
      </c>
      <c r="M56" s="112" t="s">
        <v>1603</v>
      </c>
      <c r="N56" s="112" t="s">
        <v>1416</v>
      </c>
      <c r="O56" s="108">
        <v>45097</v>
      </c>
      <c r="P56" s="108">
        <v>45099</v>
      </c>
      <c r="Q56" s="108">
        <v>45096</v>
      </c>
      <c r="R56" s="108">
        <v>45102</v>
      </c>
      <c r="S56" s="109">
        <v>26</v>
      </c>
      <c r="T56" s="109">
        <v>4</v>
      </c>
      <c r="U56" s="109">
        <v>3</v>
      </c>
      <c r="V56" s="110">
        <v>0</v>
      </c>
      <c r="W56" s="109">
        <v>1</v>
      </c>
      <c r="X56" s="111">
        <v>0</v>
      </c>
      <c r="Y56" s="111">
        <v>0</v>
      </c>
      <c r="Z56" s="111">
        <v>0</v>
      </c>
      <c r="AC56" s="110">
        <v>0</v>
      </c>
      <c r="AD56" s="109">
        <v>0</v>
      </c>
    </row>
    <row r="57" spans="1:30">
      <c r="A57" s="112" t="s">
        <v>1813</v>
      </c>
      <c r="B57" s="112" t="s">
        <v>1552</v>
      </c>
      <c r="C57" s="112" t="s">
        <v>774</v>
      </c>
      <c r="D57" s="112" t="s">
        <v>1440</v>
      </c>
      <c r="E57" s="112" t="s">
        <v>1442</v>
      </c>
      <c r="F57" s="112" t="s">
        <v>1552</v>
      </c>
      <c r="M57" s="112" t="s">
        <v>1604</v>
      </c>
      <c r="N57" s="112" t="s">
        <v>1416</v>
      </c>
      <c r="O57" s="108">
        <v>45100</v>
      </c>
      <c r="P57" s="108">
        <v>45100</v>
      </c>
      <c r="Q57" s="108">
        <v>45096</v>
      </c>
      <c r="R57" s="108">
        <v>45102</v>
      </c>
      <c r="S57" s="109">
        <v>26</v>
      </c>
      <c r="T57" s="109">
        <v>4</v>
      </c>
      <c r="U57" s="109">
        <v>1</v>
      </c>
      <c r="V57" s="110">
        <v>0</v>
      </c>
      <c r="W57" s="109">
        <v>1</v>
      </c>
      <c r="X57" s="111">
        <v>0</v>
      </c>
      <c r="Y57" s="111">
        <v>0</v>
      </c>
      <c r="Z57" s="111">
        <v>0</v>
      </c>
      <c r="AC57" s="110">
        <v>0</v>
      </c>
      <c r="AD57" s="109">
        <v>0</v>
      </c>
    </row>
    <row r="58" spans="1:30">
      <c r="A58" s="112" t="s">
        <v>1814</v>
      </c>
      <c r="B58" s="112" t="s">
        <v>1452</v>
      </c>
      <c r="C58" s="112" t="s">
        <v>774</v>
      </c>
      <c r="D58" s="112" t="s">
        <v>1475</v>
      </c>
      <c r="E58" s="112" t="s">
        <v>1452</v>
      </c>
      <c r="M58" s="112" t="s">
        <v>1453</v>
      </c>
      <c r="N58" s="112" t="s">
        <v>1416</v>
      </c>
      <c r="O58" s="108">
        <v>45096</v>
      </c>
      <c r="P58" s="108">
        <v>45107</v>
      </c>
      <c r="Q58" s="108">
        <v>45096</v>
      </c>
      <c r="R58" s="108">
        <v>45102</v>
      </c>
      <c r="S58" s="109">
        <v>26</v>
      </c>
      <c r="T58" s="109">
        <v>4</v>
      </c>
      <c r="U58" s="109">
        <v>5</v>
      </c>
      <c r="V58" s="110">
        <v>0</v>
      </c>
      <c r="W58" s="109">
        <v>1</v>
      </c>
      <c r="X58" s="111">
        <v>0</v>
      </c>
      <c r="Y58" s="111">
        <v>0</v>
      </c>
      <c r="Z58" s="111">
        <v>0</v>
      </c>
      <c r="AC58" s="110">
        <v>0</v>
      </c>
      <c r="AD58" s="109">
        <v>0</v>
      </c>
    </row>
    <row r="59" spans="1:30">
      <c r="A59" s="112" t="s">
        <v>1814</v>
      </c>
      <c r="B59" s="112" t="s">
        <v>1452</v>
      </c>
      <c r="C59" s="112" t="s">
        <v>774</v>
      </c>
      <c r="D59" s="112" t="s">
        <v>1475</v>
      </c>
      <c r="E59" s="112" t="s">
        <v>1452</v>
      </c>
      <c r="M59" s="112" t="s">
        <v>1453</v>
      </c>
      <c r="N59" s="112" t="s">
        <v>1416</v>
      </c>
      <c r="O59" s="108">
        <v>45096</v>
      </c>
      <c r="P59" s="108">
        <v>45107</v>
      </c>
      <c r="Q59" s="108">
        <v>45103</v>
      </c>
      <c r="R59" s="108">
        <v>45109</v>
      </c>
      <c r="S59" s="109">
        <v>27</v>
      </c>
      <c r="T59" s="109">
        <v>5</v>
      </c>
      <c r="U59" s="109">
        <v>5</v>
      </c>
      <c r="V59" s="110">
        <v>0</v>
      </c>
      <c r="W59" s="109">
        <v>1</v>
      </c>
      <c r="X59" s="111">
        <v>0</v>
      </c>
      <c r="Y59" s="111">
        <v>0</v>
      </c>
      <c r="Z59" s="111">
        <v>0</v>
      </c>
      <c r="AC59" s="110">
        <v>0</v>
      </c>
      <c r="AD59" s="109">
        <v>0</v>
      </c>
    </row>
    <row r="60" spans="1:30">
      <c r="A60" s="112" t="s">
        <v>1813</v>
      </c>
      <c r="B60" s="112" t="s">
        <v>1456</v>
      </c>
      <c r="C60" s="112" t="s">
        <v>774</v>
      </c>
      <c r="D60" s="112" t="s">
        <v>1475</v>
      </c>
      <c r="E60" s="112" t="s">
        <v>1454</v>
      </c>
      <c r="F60" s="112" t="s">
        <v>1456</v>
      </c>
      <c r="M60" s="112" t="s">
        <v>1460</v>
      </c>
      <c r="N60" s="112" t="s">
        <v>1416</v>
      </c>
      <c r="O60" s="108">
        <v>45096</v>
      </c>
      <c r="P60" s="108">
        <v>45107</v>
      </c>
      <c r="Q60" s="108">
        <v>45096</v>
      </c>
      <c r="R60" s="108">
        <v>45102</v>
      </c>
      <c r="S60" s="109">
        <v>26</v>
      </c>
      <c r="T60" s="109">
        <v>4</v>
      </c>
      <c r="U60" s="109">
        <v>5</v>
      </c>
      <c r="V60" s="110">
        <v>0</v>
      </c>
      <c r="W60" s="109">
        <v>1</v>
      </c>
      <c r="X60" s="111">
        <v>0</v>
      </c>
      <c r="Y60" s="111">
        <v>0</v>
      </c>
      <c r="Z60" s="111">
        <v>0</v>
      </c>
      <c r="AC60" s="110">
        <v>0</v>
      </c>
      <c r="AD60" s="109">
        <v>0</v>
      </c>
    </row>
    <row r="61" spans="1:30">
      <c r="A61" s="112" t="s">
        <v>1813</v>
      </c>
      <c r="B61" s="112" t="s">
        <v>1456</v>
      </c>
      <c r="C61" s="112" t="s">
        <v>774</v>
      </c>
      <c r="D61" s="112" t="s">
        <v>1475</v>
      </c>
      <c r="E61" s="112" t="s">
        <v>1454</v>
      </c>
      <c r="F61" s="112" t="s">
        <v>1456</v>
      </c>
      <c r="M61" s="112" t="s">
        <v>1460</v>
      </c>
      <c r="N61" s="112" t="s">
        <v>1416</v>
      </c>
      <c r="O61" s="108">
        <v>45096</v>
      </c>
      <c r="P61" s="108">
        <v>45107</v>
      </c>
      <c r="Q61" s="108">
        <v>45103</v>
      </c>
      <c r="R61" s="108">
        <v>45109</v>
      </c>
      <c r="S61" s="109">
        <v>27</v>
      </c>
      <c r="T61" s="109">
        <v>5</v>
      </c>
      <c r="U61" s="109">
        <v>5</v>
      </c>
      <c r="V61" s="110">
        <v>0</v>
      </c>
      <c r="W61" s="109">
        <v>1</v>
      </c>
      <c r="X61" s="111">
        <v>0</v>
      </c>
      <c r="Y61" s="111">
        <v>0</v>
      </c>
      <c r="Z61" s="111">
        <v>0</v>
      </c>
      <c r="AC61" s="110">
        <v>0</v>
      </c>
      <c r="AD61" s="109">
        <v>0</v>
      </c>
    </row>
    <row r="62" spans="1:30">
      <c r="A62" s="112" t="s">
        <v>1813</v>
      </c>
      <c r="B62" s="112" t="s">
        <v>1553</v>
      </c>
      <c r="C62" s="112" t="s">
        <v>774</v>
      </c>
      <c r="D62" s="112" t="s">
        <v>1475</v>
      </c>
      <c r="E62" s="112" t="s">
        <v>1454</v>
      </c>
      <c r="F62" s="112" t="s">
        <v>1553</v>
      </c>
      <c r="M62" s="112" t="s">
        <v>1719</v>
      </c>
      <c r="N62" s="112" t="s">
        <v>1416</v>
      </c>
      <c r="O62" s="108">
        <v>45096</v>
      </c>
      <c r="P62" s="108">
        <v>45107</v>
      </c>
      <c r="Q62" s="108">
        <v>45096</v>
      </c>
      <c r="R62" s="108">
        <v>45102</v>
      </c>
      <c r="S62" s="109">
        <v>26</v>
      </c>
      <c r="T62" s="109">
        <v>4</v>
      </c>
      <c r="U62" s="109">
        <v>5</v>
      </c>
      <c r="V62" s="110">
        <v>0</v>
      </c>
      <c r="W62" s="109">
        <v>1</v>
      </c>
      <c r="X62" s="111">
        <v>0</v>
      </c>
      <c r="Y62" s="111">
        <v>0</v>
      </c>
      <c r="Z62" s="111">
        <v>0</v>
      </c>
      <c r="AC62" s="110">
        <v>0</v>
      </c>
      <c r="AD62" s="109">
        <v>0</v>
      </c>
    </row>
    <row r="63" spans="1:30">
      <c r="A63" s="112" t="s">
        <v>1813</v>
      </c>
      <c r="B63" s="112" t="s">
        <v>1553</v>
      </c>
      <c r="C63" s="112" t="s">
        <v>774</v>
      </c>
      <c r="D63" s="112" t="s">
        <v>1475</v>
      </c>
      <c r="E63" s="112" t="s">
        <v>1454</v>
      </c>
      <c r="F63" s="112" t="s">
        <v>1553</v>
      </c>
      <c r="M63" s="112" t="s">
        <v>1719</v>
      </c>
      <c r="N63" s="112" t="s">
        <v>1416</v>
      </c>
      <c r="O63" s="108">
        <v>45096</v>
      </c>
      <c r="P63" s="108">
        <v>45107</v>
      </c>
      <c r="Q63" s="108">
        <v>45103</v>
      </c>
      <c r="R63" s="108">
        <v>45109</v>
      </c>
      <c r="S63" s="109">
        <v>27</v>
      </c>
      <c r="T63" s="109">
        <v>5</v>
      </c>
      <c r="U63" s="109">
        <v>5</v>
      </c>
      <c r="V63" s="110">
        <v>0</v>
      </c>
      <c r="W63" s="109">
        <v>1</v>
      </c>
      <c r="X63" s="111">
        <v>0</v>
      </c>
      <c r="Y63" s="111">
        <v>0</v>
      </c>
      <c r="Z63" s="111">
        <v>0</v>
      </c>
      <c r="AC63" s="110">
        <v>0</v>
      </c>
      <c r="AD63" s="109">
        <v>0</v>
      </c>
    </row>
    <row r="64" spans="1:30">
      <c r="A64" s="112" t="s">
        <v>1813</v>
      </c>
      <c r="B64" s="112" t="s">
        <v>1723</v>
      </c>
      <c r="C64" s="112" t="s">
        <v>774</v>
      </c>
      <c r="D64" s="112" t="s">
        <v>1475</v>
      </c>
      <c r="E64" s="112" t="s">
        <v>1454</v>
      </c>
      <c r="F64" s="112" t="s">
        <v>1723</v>
      </c>
      <c r="M64" s="112" t="s">
        <v>1720</v>
      </c>
      <c r="N64" s="112" t="s">
        <v>1416</v>
      </c>
      <c r="O64" s="108">
        <v>45096</v>
      </c>
      <c r="P64" s="108">
        <v>45107</v>
      </c>
      <c r="Q64" s="108">
        <v>45096</v>
      </c>
      <c r="R64" s="108">
        <v>45102</v>
      </c>
      <c r="S64" s="109">
        <v>26</v>
      </c>
      <c r="T64" s="109">
        <v>4</v>
      </c>
      <c r="U64" s="109">
        <v>5</v>
      </c>
      <c r="V64" s="110">
        <v>0</v>
      </c>
      <c r="W64" s="109">
        <v>1</v>
      </c>
      <c r="X64" s="111">
        <v>0</v>
      </c>
      <c r="Y64" s="111">
        <v>0</v>
      </c>
      <c r="Z64" s="111">
        <v>0</v>
      </c>
      <c r="AC64" s="110">
        <v>0</v>
      </c>
      <c r="AD64" s="109">
        <v>0</v>
      </c>
    </row>
    <row r="65" spans="1:30">
      <c r="A65" s="112" t="s">
        <v>1813</v>
      </c>
      <c r="B65" s="112" t="s">
        <v>1723</v>
      </c>
      <c r="C65" s="112" t="s">
        <v>774</v>
      </c>
      <c r="D65" s="112" t="s">
        <v>1475</v>
      </c>
      <c r="E65" s="112" t="s">
        <v>1454</v>
      </c>
      <c r="F65" s="112" t="s">
        <v>1723</v>
      </c>
      <c r="M65" s="112" t="s">
        <v>1720</v>
      </c>
      <c r="N65" s="112" t="s">
        <v>1416</v>
      </c>
      <c r="O65" s="108">
        <v>45096</v>
      </c>
      <c r="P65" s="108">
        <v>45107</v>
      </c>
      <c r="Q65" s="108">
        <v>45103</v>
      </c>
      <c r="R65" s="108">
        <v>45109</v>
      </c>
      <c r="S65" s="109">
        <v>27</v>
      </c>
      <c r="T65" s="109">
        <v>5</v>
      </c>
      <c r="U65" s="109">
        <v>5</v>
      </c>
      <c r="V65" s="110">
        <v>0</v>
      </c>
      <c r="W65" s="109">
        <v>1</v>
      </c>
      <c r="X65" s="111">
        <v>0</v>
      </c>
      <c r="Y65" s="111">
        <v>0</v>
      </c>
      <c r="Z65" s="111">
        <v>0</v>
      </c>
      <c r="AC65" s="110">
        <v>0</v>
      </c>
      <c r="AD65" s="109">
        <v>0</v>
      </c>
    </row>
    <row r="66" spans="1:30">
      <c r="A66" s="112" t="s">
        <v>1814</v>
      </c>
      <c r="B66" s="112" t="s">
        <v>1461</v>
      </c>
      <c r="C66" s="112" t="s">
        <v>774</v>
      </c>
      <c r="D66" s="112" t="s">
        <v>1475</v>
      </c>
      <c r="E66" s="112" t="s">
        <v>1461</v>
      </c>
      <c r="M66" s="112" t="s">
        <v>1458</v>
      </c>
      <c r="N66" s="112" t="s">
        <v>1416</v>
      </c>
      <c r="O66" s="108">
        <v>45096</v>
      </c>
      <c r="P66" s="108">
        <v>45107</v>
      </c>
      <c r="Q66" s="108">
        <v>45096</v>
      </c>
      <c r="R66" s="108">
        <v>45102</v>
      </c>
      <c r="S66" s="109">
        <v>26</v>
      </c>
      <c r="T66" s="109">
        <v>4</v>
      </c>
      <c r="U66" s="109">
        <v>5</v>
      </c>
      <c r="V66" s="110">
        <v>0</v>
      </c>
      <c r="W66" s="109">
        <v>1</v>
      </c>
      <c r="X66" s="111">
        <v>0</v>
      </c>
      <c r="Y66" s="111">
        <v>0</v>
      </c>
      <c r="Z66" s="111">
        <v>0</v>
      </c>
      <c r="AC66" s="110">
        <v>0</v>
      </c>
      <c r="AD66" s="109">
        <v>0</v>
      </c>
    </row>
    <row r="67" spans="1:30">
      <c r="A67" s="112" t="s">
        <v>1814</v>
      </c>
      <c r="B67" s="112" t="s">
        <v>1461</v>
      </c>
      <c r="C67" s="112" t="s">
        <v>774</v>
      </c>
      <c r="D67" s="112" t="s">
        <v>1475</v>
      </c>
      <c r="E67" s="112" t="s">
        <v>1461</v>
      </c>
      <c r="M67" s="112" t="s">
        <v>1458</v>
      </c>
      <c r="N67" s="112" t="s">
        <v>1416</v>
      </c>
      <c r="O67" s="108">
        <v>45096</v>
      </c>
      <c r="P67" s="108">
        <v>45107</v>
      </c>
      <c r="Q67" s="108">
        <v>45103</v>
      </c>
      <c r="R67" s="108">
        <v>45109</v>
      </c>
      <c r="S67" s="109">
        <v>27</v>
      </c>
      <c r="T67" s="109">
        <v>5</v>
      </c>
      <c r="U67" s="109">
        <v>5</v>
      </c>
      <c r="V67" s="110">
        <v>0</v>
      </c>
      <c r="W67" s="109">
        <v>1</v>
      </c>
      <c r="X67" s="111">
        <v>0</v>
      </c>
      <c r="Y67" s="111">
        <v>0</v>
      </c>
      <c r="Z67" s="111">
        <v>0</v>
      </c>
      <c r="AC67" s="110">
        <v>0</v>
      </c>
      <c r="AD67" s="109">
        <v>0</v>
      </c>
    </row>
    <row r="68" spans="1:30">
      <c r="A68" s="112" t="s">
        <v>1813</v>
      </c>
      <c r="B68" s="112" t="s">
        <v>1463</v>
      </c>
      <c r="C68" s="112" t="s">
        <v>774</v>
      </c>
      <c r="D68" s="112" t="s">
        <v>1476</v>
      </c>
      <c r="E68" s="112" t="s">
        <v>1462</v>
      </c>
      <c r="F68" s="112" t="s">
        <v>1463</v>
      </c>
      <c r="M68" s="112" t="s">
        <v>1757</v>
      </c>
      <c r="N68" s="112" t="s">
        <v>1416</v>
      </c>
      <c r="O68" s="108">
        <v>45110</v>
      </c>
      <c r="P68" s="108">
        <v>45110</v>
      </c>
      <c r="Q68" s="108">
        <v>45110</v>
      </c>
      <c r="R68" s="108">
        <v>45116</v>
      </c>
      <c r="S68" s="109">
        <v>28</v>
      </c>
      <c r="T68" s="109">
        <v>6</v>
      </c>
      <c r="U68" s="109">
        <v>1</v>
      </c>
      <c r="V68" s="110">
        <v>0</v>
      </c>
      <c r="W68" s="109">
        <v>1</v>
      </c>
      <c r="X68" s="111">
        <v>0</v>
      </c>
      <c r="Y68" s="111">
        <v>0</v>
      </c>
      <c r="Z68" s="111">
        <v>0</v>
      </c>
      <c r="AC68" s="110">
        <v>0</v>
      </c>
      <c r="AD68" s="109">
        <v>0</v>
      </c>
    </row>
    <row r="69" spans="1:30">
      <c r="A69" s="112" t="s">
        <v>1813</v>
      </c>
      <c r="B69" s="112" t="s">
        <v>1464</v>
      </c>
      <c r="C69" s="112" t="s">
        <v>774</v>
      </c>
      <c r="D69" s="112" t="s">
        <v>1476</v>
      </c>
      <c r="E69" s="112" t="s">
        <v>1462</v>
      </c>
      <c r="F69" s="112" t="s">
        <v>1464</v>
      </c>
      <c r="M69" s="112" t="s">
        <v>1758</v>
      </c>
      <c r="N69" s="112" t="s">
        <v>1416</v>
      </c>
      <c r="O69" s="108">
        <v>45110</v>
      </c>
      <c r="P69" s="108">
        <v>45111</v>
      </c>
      <c r="Q69" s="108">
        <v>45110</v>
      </c>
      <c r="R69" s="108">
        <v>45116</v>
      </c>
      <c r="S69" s="109">
        <v>28</v>
      </c>
      <c r="T69" s="109">
        <v>6</v>
      </c>
      <c r="U69" s="109">
        <v>2</v>
      </c>
      <c r="V69" s="110">
        <v>0</v>
      </c>
      <c r="W69" s="109">
        <v>1</v>
      </c>
      <c r="X69" s="111">
        <v>0</v>
      </c>
      <c r="Y69" s="111">
        <v>0</v>
      </c>
      <c r="Z69" s="111">
        <v>0</v>
      </c>
      <c r="AC69" s="110">
        <v>0</v>
      </c>
      <c r="AD69" s="109">
        <v>0</v>
      </c>
    </row>
    <row r="70" spans="1:30">
      <c r="A70" s="112" t="s">
        <v>1815</v>
      </c>
      <c r="B70" s="112" t="s">
        <v>1759</v>
      </c>
      <c r="C70" s="112" t="s">
        <v>774</v>
      </c>
      <c r="D70" s="112" t="s">
        <v>1476</v>
      </c>
      <c r="E70" s="112" t="s">
        <v>1462</v>
      </c>
      <c r="F70" s="112" t="s">
        <v>1641</v>
      </c>
      <c r="G70" s="112" t="s">
        <v>1642</v>
      </c>
      <c r="H70" s="112" t="s">
        <v>1759</v>
      </c>
      <c r="M70" s="112" t="s">
        <v>1726</v>
      </c>
      <c r="N70" s="112" t="s">
        <v>1416</v>
      </c>
      <c r="O70" s="108">
        <v>45112</v>
      </c>
      <c r="P70" s="108">
        <v>45117</v>
      </c>
      <c r="Q70" s="108">
        <v>45110</v>
      </c>
      <c r="R70" s="108">
        <v>45116</v>
      </c>
      <c r="S70" s="109">
        <v>28</v>
      </c>
      <c r="T70" s="109">
        <v>6</v>
      </c>
      <c r="U70" s="109">
        <v>3</v>
      </c>
      <c r="V70" s="110">
        <v>0</v>
      </c>
      <c r="W70" s="109">
        <v>1</v>
      </c>
      <c r="X70" s="111">
        <v>0</v>
      </c>
      <c r="Y70" s="111">
        <v>0</v>
      </c>
      <c r="Z70" s="111">
        <v>0</v>
      </c>
      <c r="AC70" s="110">
        <v>0</v>
      </c>
      <c r="AD70" s="109">
        <v>0</v>
      </c>
    </row>
    <row r="71" spans="1:30">
      <c r="A71" s="112" t="s">
        <v>1815</v>
      </c>
      <c r="B71" s="112" t="s">
        <v>1759</v>
      </c>
      <c r="C71" s="112" t="s">
        <v>774</v>
      </c>
      <c r="D71" s="112" t="s">
        <v>1476</v>
      </c>
      <c r="E71" s="112" t="s">
        <v>1462</v>
      </c>
      <c r="F71" s="112" t="s">
        <v>1641</v>
      </c>
      <c r="G71" s="112" t="s">
        <v>1642</v>
      </c>
      <c r="H71" s="112" t="s">
        <v>1759</v>
      </c>
      <c r="M71" s="112" t="s">
        <v>1726</v>
      </c>
      <c r="N71" s="112" t="s">
        <v>1416</v>
      </c>
      <c r="O71" s="108">
        <v>45112</v>
      </c>
      <c r="P71" s="108">
        <v>45117</v>
      </c>
      <c r="Q71" s="108">
        <v>45117</v>
      </c>
      <c r="R71" s="108">
        <v>45123</v>
      </c>
      <c r="S71" s="109">
        <v>29</v>
      </c>
      <c r="T71" s="109">
        <v>7</v>
      </c>
      <c r="U71" s="109">
        <v>1</v>
      </c>
      <c r="V71" s="110">
        <v>0</v>
      </c>
      <c r="W71" s="109">
        <v>1</v>
      </c>
      <c r="X71" s="111">
        <v>0</v>
      </c>
      <c r="Y71" s="111">
        <v>0</v>
      </c>
      <c r="Z71" s="111">
        <v>0</v>
      </c>
      <c r="AC71" s="110">
        <v>0</v>
      </c>
      <c r="AD71" s="109">
        <v>0</v>
      </c>
    </row>
    <row r="72" spans="1:30">
      <c r="A72" s="112" t="s">
        <v>1815</v>
      </c>
      <c r="B72" s="112" t="s">
        <v>1760</v>
      </c>
      <c r="C72" s="112" t="s">
        <v>774</v>
      </c>
      <c r="D72" s="112" t="s">
        <v>1476</v>
      </c>
      <c r="E72" s="112" t="s">
        <v>1462</v>
      </c>
      <c r="F72" s="112" t="s">
        <v>1641</v>
      </c>
      <c r="G72" s="112" t="s">
        <v>1642</v>
      </c>
      <c r="H72" s="112" t="s">
        <v>1760</v>
      </c>
      <c r="M72" s="112" t="s">
        <v>1727</v>
      </c>
      <c r="N72" s="112" t="s">
        <v>1416</v>
      </c>
      <c r="O72" s="108">
        <v>45118</v>
      </c>
      <c r="P72" s="108">
        <v>45121</v>
      </c>
      <c r="Q72" s="108">
        <v>45117</v>
      </c>
      <c r="R72" s="108">
        <v>45123</v>
      </c>
      <c r="S72" s="109">
        <v>29</v>
      </c>
      <c r="T72" s="109">
        <v>7</v>
      </c>
      <c r="U72" s="109">
        <v>4</v>
      </c>
      <c r="V72" s="110">
        <v>0</v>
      </c>
      <c r="W72" s="109">
        <v>1</v>
      </c>
      <c r="X72" s="111">
        <v>0</v>
      </c>
      <c r="Y72" s="111">
        <v>0</v>
      </c>
      <c r="Z72" s="111">
        <v>0</v>
      </c>
      <c r="AC72" s="110">
        <v>0</v>
      </c>
      <c r="AD72" s="109">
        <v>0</v>
      </c>
    </row>
    <row r="73" spans="1:30">
      <c r="A73" s="112" t="s">
        <v>1815</v>
      </c>
      <c r="B73" s="112" t="s">
        <v>1761</v>
      </c>
      <c r="C73" s="112" t="s">
        <v>774</v>
      </c>
      <c r="D73" s="112" t="s">
        <v>1476</v>
      </c>
      <c r="E73" s="112" t="s">
        <v>1462</v>
      </c>
      <c r="F73" s="112" t="s">
        <v>1641</v>
      </c>
      <c r="G73" s="112" t="s">
        <v>1642</v>
      </c>
      <c r="H73" s="112" t="s">
        <v>1761</v>
      </c>
      <c r="M73" s="112" t="s">
        <v>1728</v>
      </c>
      <c r="N73" s="112" t="s">
        <v>1416</v>
      </c>
      <c r="O73" s="108">
        <v>45124</v>
      </c>
      <c r="P73" s="108">
        <v>45128</v>
      </c>
      <c r="Q73" s="108">
        <v>45124</v>
      </c>
      <c r="R73" s="108">
        <v>45130</v>
      </c>
      <c r="S73" s="109">
        <v>30</v>
      </c>
      <c r="T73" s="109">
        <v>8</v>
      </c>
      <c r="U73" s="109">
        <v>5</v>
      </c>
      <c r="V73" s="110">
        <v>0</v>
      </c>
      <c r="W73" s="109">
        <v>1</v>
      </c>
      <c r="X73" s="111">
        <v>0</v>
      </c>
      <c r="Y73" s="111">
        <v>0</v>
      </c>
      <c r="Z73" s="111">
        <v>0</v>
      </c>
      <c r="AC73" s="110">
        <v>0</v>
      </c>
      <c r="AD73" s="109">
        <v>0</v>
      </c>
    </row>
    <row r="74" spans="1:30">
      <c r="A74" s="112" t="s">
        <v>1815</v>
      </c>
      <c r="B74" s="112" t="s">
        <v>1762</v>
      </c>
      <c r="C74" s="112" t="s">
        <v>774</v>
      </c>
      <c r="D74" s="112" t="s">
        <v>1476</v>
      </c>
      <c r="E74" s="112" t="s">
        <v>1462</v>
      </c>
      <c r="F74" s="112" t="s">
        <v>1641</v>
      </c>
      <c r="G74" s="112" t="s">
        <v>1643</v>
      </c>
      <c r="H74" s="112" t="s">
        <v>1762</v>
      </c>
      <c r="M74" s="112" t="s">
        <v>1729</v>
      </c>
      <c r="N74" s="112" t="s">
        <v>1416</v>
      </c>
      <c r="O74" s="108">
        <v>45117</v>
      </c>
      <c r="P74" s="108">
        <v>45121</v>
      </c>
      <c r="Q74" s="108">
        <v>45117</v>
      </c>
      <c r="R74" s="108">
        <v>45123</v>
      </c>
      <c r="S74" s="109">
        <v>29</v>
      </c>
      <c r="T74" s="109">
        <v>7</v>
      </c>
      <c r="U74" s="109">
        <v>5</v>
      </c>
      <c r="V74" s="110">
        <v>0</v>
      </c>
      <c r="W74" s="109">
        <v>1</v>
      </c>
      <c r="X74" s="111">
        <v>0</v>
      </c>
      <c r="Y74" s="111">
        <v>0</v>
      </c>
      <c r="Z74" s="111">
        <v>0</v>
      </c>
      <c r="AC74" s="110">
        <v>0</v>
      </c>
      <c r="AD74" s="109">
        <v>0</v>
      </c>
    </row>
    <row r="75" spans="1:30">
      <c r="A75" s="112" t="s">
        <v>1815</v>
      </c>
      <c r="B75" s="112" t="s">
        <v>1763</v>
      </c>
      <c r="C75" s="112" t="s">
        <v>774</v>
      </c>
      <c r="D75" s="112" t="s">
        <v>1476</v>
      </c>
      <c r="E75" s="112" t="s">
        <v>1462</v>
      </c>
      <c r="F75" s="112" t="s">
        <v>1641</v>
      </c>
      <c r="G75" s="112" t="s">
        <v>1643</v>
      </c>
      <c r="H75" s="112" t="s">
        <v>1763</v>
      </c>
      <c r="M75" s="112" t="s">
        <v>1730</v>
      </c>
      <c r="N75" s="112" t="s">
        <v>1416</v>
      </c>
      <c r="O75" s="108">
        <v>45124</v>
      </c>
      <c r="P75" s="108">
        <v>45128</v>
      </c>
      <c r="Q75" s="108">
        <v>45124</v>
      </c>
      <c r="R75" s="108">
        <v>45130</v>
      </c>
      <c r="S75" s="109">
        <v>30</v>
      </c>
      <c r="T75" s="109">
        <v>8</v>
      </c>
      <c r="U75" s="109">
        <v>5</v>
      </c>
      <c r="V75" s="110">
        <v>0</v>
      </c>
      <c r="W75" s="109">
        <v>1</v>
      </c>
      <c r="X75" s="111">
        <v>0</v>
      </c>
      <c r="Y75" s="111">
        <v>0</v>
      </c>
      <c r="Z75" s="111">
        <v>0</v>
      </c>
      <c r="AC75" s="110">
        <v>0</v>
      </c>
      <c r="AD75" s="109">
        <v>0</v>
      </c>
    </row>
    <row r="76" spans="1:30">
      <c r="A76" s="112" t="s">
        <v>1815</v>
      </c>
      <c r="B76" s="112" t="s">
        <v>1764</v>
      </c>
      <c r="C76" s="112" t="s">
        <v>774</v>
      </c>
      <c r="D76" s="112" t="s">
        <v>1476</v>
      </c>
      <c r="E76" s="112" t="s">
        <v>1462</v>
      </c>
      <c r="F76" s="112" t="s">
        <v>1641</v>
      </c>
      <c r="G76" s="112" t="s">
        <v>1643</v>
      </c>
      <c r="H76" s="112" t="s">
        <v>1764</v>
      </c>
      <c r="M76" s="112" t="s">
        <v>1731</v>
      </c>
      <c r="N76" s="112" t="s">
        <v>1416</v>
      </c>
      <c r="O76" s="108">
        <v>45131</v>
      </c>
      <c r="P76" s="108">
        <v>45135</v>
      </c>
      <c r="Q76" s="108">
        <v>45131</v>
      </c>
      <c r="R76" s="108">
        <v>45137</v>
      </c>
      <c r="S76" s="109">
        <v>31</v>
      </c>
      <c r="T76" s="109">
        <v>9</v>
      </c>
      <c r="U76" s="109">
        <v>5</v>
      </c>
      <c r="V76" s="110">
        <v>0</v>
      </c>
      <c r="W76" s="109">
        <v>1</v>
      </c>
      <c r="X76" s="111">
        <v>0</v>
      </c>
      <c r="Y76" s="111">
        <v>0</v>
      </c>
      <c r="Z76" s="111">
        <v>0</v>
      </c>
      <c r="AC76" s="110">
        <v>0</v>
      </c>
      <c r="AD76" s="109">
        <v>0</v>
      </c>
    </row>
    <row r="77" spans="1:30">
      <c r="A77" s="112" t="s">
        <v>1815</v>
      </c>
      <c r="B77" s="112" t="s">
        <v>1765</v>
      </c>
      <c r="C77" s="112" t="s">
        <v>774</v>
      </c>
      <c r="D77" s="112" t="s">
        <v>1476</v>
      </c>
      <c r="E77" s="112" t="s">
        <v>1462</v>
      </c>
      <c r="F77" s="112" t="s">
        <v>1641</v>
      </c>
      <c r="G77" s="112" t="s">
        <v>1644</v>
      </c>
      <c r="H77" s="112" t="s">
        <v>1765</v>
      </c>
      <c r="M77" s="112" t="s">
        <v>1732</v>
      </c>
      <c r="N77" s="112" t="s">
        <v>1416</v>
      </c>
      <c r="O77" s="108">
        <v>45117</v>
      </c>
      <c r="P77" s="108">
        <v>45121</v>
      </c>
      <c r="Q77" s="108">
        <v>45117</v>
      </c>
      <c r="R77" s="108">
        <v>45123</v>
      </c>
      <c r="S77" s="109">
        <v>29</v>
      </c>
      <c r="T77" s="109">
        <v>7</v>
      </c>
      <c r="U77" s="109">
        <v>5</v>
      </c>
      <c r="V77" s="110">
        <v>0</v>
      </c>
      <c r="W77" s="109">
        <v>1</v>
      </c>
      <c r="X77" s="111">
        <v>0</v>
      </c>
      <c r="Y77" s="111">
        <v>0</v>
      </c>
      <c r="Z77" s="111">
        <v>0</v>
      </c>
      <c r="AC77" s="110">
        <v>0</v>
      </c>
      <c r="AD77" s="109">
        <v>0</v>
      </c>
    </row>
    <row r="78" spans="1:30">
      <c r="A78" s="112" t="s">
        <v>1815</v>
      </c>
      <c r="B78" s="112" t="s">
        <v>1766</v>
      </c>
      <c r="C78" s="112" t="s">
        <v>774</v>
      </c>
      <c r="D78" s="112" t="s">
        <v>1476</v>
      </c>
      <c r="E78" s="112" t="s">
        <v>1462</v>
      </c>
      <c r="F78" s="112" t="s">
        <v>1641</v>
      </c>
      <c r="G78" s="112" t="s">
        <v>1644</v>
      </c>
      <c r="H78" s="112" t="s">
        <v>1766</v>
      </c>
      <c r="M78" s="112" t="s">
        <v>1733</v>
      </c>
      <c r="N78" s="112" t="s">
        <v>1416</v>
      </c>
      <c r="O78" s="108">
        <v>45124</v>
      </c>
      <c r="P78" s="108">
        <v>45128</v>
      </c>
      <c r="Q78" s="108">
        <v>45124</v>
      </c>
      <c r="R78" s="108">
        <v>45130</v>
      </c>
      <c r="S78" s="109">
        <v>30</v>
      </c>
      <c r="T78" s="109">
        <v>8</v>
      </c>
      <c r="U78" s="109">
        <v>5</v>
      </c>
      <c r="V78" s="110">
        <v>0</v>
      </c>
      <c r="W78" s="109">
        <v>1</v>
      </c>
      <c r="X78" s="111">
        <v>0</v>
      </c>
      <c r="Y78" s="111">
        <v>0</v>
      </c>
      <c r="Z78" s="111">
        <v>0</v>
      </c>
      <c r="AC78" s="110">
        <v>0</v>
      </c>
      <c r="AD78" s="109">
        <v>0</v>
      </c>
    </row>
    <row r="79" spans="1:30">
      <c r="A79" s="112" t="s">
        <v>1815</v>
      </c>
      <c r="B79" s="112" t="s">
        <v>1767</v>
      </c>
      <c r="C79" s="112" t="s">
        <v>774</v>
      </c>
      <c r="D79" s="112" t="s">
        <v>1476</v>
      </c>
      <c r="E79" s="112" t="s">
        <v>1462</v>
      </c>
      <c r="F79" s="112" t="s">
        <v>1641</v>
      </c>
      <c r="G79" s="112" t="s">
        <v>1644</v>
      </c>
      <c r="H79" s="112" t="s">
        <v>1767</v>
      </c>
      <c r="M79" s="112" t="s">
        <v>1734</v>
      </c>
      <c r="N79" s="112" t="s">
        <v>1416</v>
      </c>
      <c r="O79" s="108">
        <v>45124</v>
      </c>
      <c r="P79" s="108">
        <v>45128</v>
      </c>
      <c r="Q79" s="108">
        <v>45124</v>
      </c>
      <c r="R79" s="108">
        <v>45130</v>
      </c>
      <c r="S79" s="109">
        <v>30</v>
      </c>
      <c r="T79" s="109">
        <v>8</v>
      </c>
      <c r="U79" s="109">
        <v>5</v>
      </c>
      <c r="V79" s="110">
        <v>0</v>
      </c>
      <c r="W79" s="109">
        <v>1</v>
      </c>
      <c r="X79" s="111">
        <v>0</v>
      </c>
      <c r="Y79" s="111">
        <v>0</v>
      </c>
      <c r="Z79" s="111">
        <v>0</v>
      </c>
      <c r="AC79" s="110">
        <v>0</v>
      </c>
      <c r="AD79" s="109">
        <v>0</v>
      </c>
    </row>
    <row r="80" spans="1:30">
      <c r="A80" s="112" t="s">
        <v>1815</v>
      </c>
      <c r="B80" s="112" t="s">
        <v>1768</v>
      </c>
      <c r="C80" s="112" t="s">
        <v>774</v>
      </c>
      <c r="D80" s="112" t="s">
        <v>1476</v>
      </c>
      <c r="E80" s="112" t="s">
        <v>1462</v>
      </c>
      <c r="F80" s="112" t="s">
        <v>1641</v>
      </c>
      <c r="G80" s="112" t="s">
        <v>1644</v>
      </c>
      <c r="H80" s="112" t="s">
        <v>1768</v>
      </c>
      <c r="M80" s="112" t="s">
        <v>1735</v>
      </c>
      <c r="N80" s="112" t="s">
        <v>1416</v>
      </c>
      <c r="O80" s="108">
        <v>45131</v>
      </c>
      <c r="P80" s="108">
        <v>45142</v>
      </c>
      <c r="Q80" s="108">
        <v>45131</v>
      </c>
      <c r="R80" s="108">
        <v>45137</v>
      </c>
      <c r="S80" s="109">
        <v>31</v>
      </c>
      <c r="T80" s="109">
        <v>9</v>
      </c>
      <c r="U80" s="109">
        <v>5</v>
      </c>
      <c r="V80" s="110">
        <v>0</v>
      </c>
      <c r="W80" s="109">
        <v>1</v>
      </c>
      <c r="X80" s="111">
        <v>0</v>
      </c>
      <c r="Y80" s="111">
        <v>0</v>
      </c>
      <c r="Z80" s="111">
        <v>0</v>
      </c>
      <c r="AC80" s="110">
        <v>0</v>
      </c>
      <c r="AD80" s="109">
        <v>0</v>
      </c>
    </row>
    <row r="81" spans="1:30">
      <c r="A81" s="112" t="s">
        <v>1815</v>
      </c>
      <c r="B81" s="112" t="s">
        <v>1768</v>
      </c>
      <c r="C81" s="112" t="s">
        <v>774</v>
      </c>
      <c r="D81" s="112" t="s">
        <v>1476</v>
      </c>
      <c r="E81" s="112" t="s">
        <v>1462</v>
      </c>
      <c r="F81" s="112" t="s">
        <v>1641</v>
      </c>
      <c r="G81" s="112" t="s">
        <v>1644</v>
      </c>
      <c r="H81" s="112" t="s">
        <v>1768</v>
      </c>
      <c r="M81" s="112" t="s">
        <v>1735</v>
      </c>
      <c r="N81" s="112" t="s">
        <v>1416</v>
      </c>
      <c r="O81" s="108">
        <v>45131</v>
      </c>
      <c r="P81" s="108">
        <v>45142</v>
      </c>
      <c r="Q81" s="108">
        <v>45138</v>
      </c>
      <c r="R81" s="108">
        <v>45144</v>
      </c>
      <c r="S81" s="109">
        <v>32</v>
      </c>
      <c r="T81" s="109">
        <v>10</v>
      </c>
      <c r="U81" s="109">
        <v>5</v>
      </c>
      <c r="V81" s="110">
        <v>0</v>
      </c>
      <c r="W81" s="109">
        <v>1</v>
      </c>
      <c r="X81" s="111">
        <v>0</v>
      </c>
      <c r="Y81" s="111">
        <v>0</v>
      </c>
      <c r="Z81" s="111">
        <v>0</v>
      </c>
      <c r="AC81" s="110">
        <v>0</v>
      </c>
      <c r="AD81" s="109">
        <v>0</v>
      </c>
    </row>
    <row r="82" spans="1:30">
      <c r="A82" s="112" t="s">
        <v>1815</v>
      </c>
      <c r="B82" s="112" t="s">
        <v>1771</v>
      </c>
      <c r="C82" s="112" t="s">
        <v>774</v>
      </c>
      <c r="D82" s="112" t="s">
        <v>1476</v>
      </c>
      <c r="E82" s="112" t="s">
        <v>1462</v>
      </c>
      <c r="F82" s="112" t="s">
        <v>1641</v>
      </c>
      <c r="G82" s="112" t="s">
        <v>1770</v>
      </c>
      <c r="H82" s="112" t="s">
        <v>1771</v>
      </c>
      <c r="M82" s="112" t="s">
        <v>1737</v>
      </c>
      <c r="N82" s="112" t="s">
        <v>1416</v>
      </c>
      <c r="O82" s="108">
        <v>45117</v>
      </c>
      <c r="P82" s="108">
        <v>45119</v>
      </c>
      <c r="Q82" s="108">
        <v>45117</v>
      </c>
      <c r="R82" s="108">
        <v>45123</v>
      </c>
      <c r="S82" s="109">
        <v>29</v>
      </c>
      <c r="T82" s="109">
        <v>7</v>
      </c>
      <c r="U82" s="109">
        <v>3</v>
      </c>
      <c r="V82" s="110">
        <v>0</v>
      </c>
      <c r="W82" s="109">
        <v>1</v>
      </c>
      <c r="X82" s="111">
        <v>0</v>
      </c>
      <c r="Y82" s="111">
        <v>0</v>
      </c>
      <c r="Z82" s="111">
        <v>0</v>
      </c>
      <c r="AC82" s="110">
        <v>0</v>
      </c>
      <c r="AD82" s="109">
        <v>0</v>
      </c>
    </row>
    <row r="83" spans="1:30">
      <c r="A83" s="112" t="s">
        <v>1815</v>
      </c>
      <c r="B83" s="112" t="s">
        <v>1772</v>
      </c>
      <c r="C83" s="112" t="s">
        <v>774</v>
      </c>
      <c r="D83" s="112" t="s">
        <v>1476</v>
      </c>
      <c r="E83" s="112" t="s">
        <v>1462</v>
      </c>
      <c r="F83" s="112" t="s">
        <v>1641</v>
      </c>
      <c r="G83" s="112" t="s">
        <v>1770</v>
      </c>
      <c r="H83" s="112" t="s">
        <v>1772</v>
      </c>
      <c r="M83" s="112" t="s">
        <v>1738</v>
      </c>
      <c r="N83" s="112" t="s">
        <v>1416</v>
      </c>
      <c r="O83" s="108">
        <v>45120</v>
      </c>
      <c r="P83" s="108">
        <v>45124</v>
      </c>
      <c r="Q83" s="108">
        <v>45117</v>
      </c>
      <c r="R83" s="108">
        <v>45123</v>
      </c>
      <c r="S83" s="109">
        <v>29</v>
      </c>
      <c r="T83" s="109">
        <v>7</v>
      </c>
      <c r="U83" s="109">
        <v>2</v>
      </c>
      <c r="V83" s="110">
        <v>0</v>
      </c>
      <c r="W83" s="109">
        <v>1</v>
      </c>
      <c r="X83" s="111">
        <v>0</v>
      </c>
      <c r="Y83" s="111">
        <v>0</v>
      </c>
      <c r="Z83" s="111">
        <v>0</v>
      </c>
      <c r="AC83" s="110">
        <v>0</v>
      </c>
      <c r="AD83" s="109">
        <v>0</v>
      </c>
    </row>
    <row r="84" spans="1:30">
      <c r="A84" s="112" t="s">
        <v>1815</v>
      </c>
      <c r="B84" s="112" t="s">
        <v>1772</v>
      </c>
      <c r="C84" s="112" t="s">
        <v>774</v>
      </c>
      <c r="D84" s="112" t="s">
        <v>1476</v>
      </c>
      <c r="E84" s="112" t="s">
        <v>1462</v>
      </c>
      <c r="F84" s="112" t="s">
        <v>1641</v>
      </c>
      <c r="G84" s="112" t="s">
        <v>1770</v>
      </c>
      <c r="H84" s="112" t="s">
        <v>1772</v>
      </c>
      <c r="M84" s="112" t="s">
        <v>1738</v>
      </c>
      <c r="N84" s="112" t="s">
        <v>1416</v>
      </c>
      <c r="O84" s="108">
        <v>45120</v>
      </c>
      <c r="P84" s="108">
        <v>45124</v>
      </c>
      <c r="Q84" s="108">
        <v>45124</v>
      </c>
      <c r="R84" s="108">
        <v>45130</v>
      </c>
      <c r="S84" s="109">
        <v>30</v>
      </c>
      <c r="T84" s="109">
        <v>8</v>
      </c>
      <c r="U84" s="109">
        <v>1</v>
      </c>
      <c r="V84" s="110">
        <v>0</v>
      </c>
      <c r="W84" s="109">
        <v>1</v>
      </c>
      <c r="X84" s="111">
        <v>0</v>
      </c>
      <c r="Y84" s="111">
        <v>0</v>
      </c>
      <c r="Z84" s="111">
        <v>0</v>
      </c>
      <c r="AC84" s="110">
        <v>0</v>
      </c>
      <c r="AD84" s="109">
        <v>0</v>
      </c>
    </row>
    <row r="85" spans="1:30">
      <c r="A85" s="112" t="s">
        <v>1815</v>
      </c>
      <c r="B85" s="112" t="s">
        <v>1773</v>
      </c>
      <c r="C85" s="112" t="s">
        <v>774</v>
      </c>
      <c r="D85" s="112" t="s">
        <v>1476</v>
      </c>
      <c r="E85" s="112" t="s">
        <v>1462</v>
      </c>
      <c r="F85" s="112" t="s">
        <v>1641</v>
      </c>
      <c r="G85" s="112" t="s">
        <v>1770</v>
      </c>
      <c r="H85" s="112" t="s">
        <v>1773</v>
      </c>
      <c r="M85" s="112" t="s">
        <v>1739</v>
      </c>
      <c r="N85" s="112" t="s">
        <v>1416</v>
      </c>
      <c r="O85" s="108">
        <v>45125</v>
      </c>
      <c r="P85" s="108">
        <v>45128</v>
      </c>
      <c r="Q85" s="108">
        <v>45124</v>
      </c>
      <c r="R85" s="108">
        <v>45130</v>
      </c>
      <c r="S85" s="109">
        <v>30</v>
      </c>
      <c r="T85" s="109">
        <v>8</v>
      </c>
      <c r="U85" s="109">
        <v>4</v>
      </c>
      <c r="V85" s="110">
        <v>0</v>
      </c>
      <c r="W85" s="109">
        <v>1</v>
      </c>
      <c r="X85" s="111">
        <v>0</v>
      </c>
      <c r="Y85" s="111">
        <v>0</v>
      </c>
      <c r="Z85" s="111">
        <v>0</v>
      </c>
      <c r="AC85" s="110">
        <v>0</v>
      </c>
      <c r="AD85" s="109">
        <v>0</v>
      </c>
    </row>
    <row r="86" spans="1:30">
      <c r="A86" s="112" t="s">
        <v>1815</v>
      </c>
      <c r="B86" s="112" t="s">
        <v>1774</v>
      </c>
      <c r="C86" s="112" t="s">
        <v>774</v>
      </c>
      <c r="D86" s="112" t="s">
        <v>1476</v>
      </c>
      <c r="E86" s="112" t="s">
        <v>1462</v>
      </c>
      <c r="F86" s="112" t="s">
        <v>1641</v>
      </c>
      <c r="G86" s="112" t="s">
        <v>1770</v>
      </c>
      <c r="H86" s="112" t="s">
        <v>1774</v>
      </c>
      <c r="M86" s="112" t="s">
        <v>1740</v>
      </c>
      <c r="N86" s="112" t="s">
        <v>1416</v>
      </c>
      <c r="O86" s="108">
        <v>45131</v>
      </c>
      <c r="P86" s="108">
        <v>45135</v>
      </c>
      <c r="Q86" s="108">
        <v>45131</v>
      </c>
      <c r="R86" s="108">
        <v>45137</v>
      </c>
      <c r="S86" s="109">
        <v>31</v>
      </c>
      <c r="T86" s="109">
        <v>9</v>
      </c>
      <c r="U86" s="109">
        <v>5</v>
      </c>
      <c r="V86" s="110">
        <v>0</v>
      </c>
      <c r="W86" s="109">
        <v>1</v>
      </c>
      <c r="X86" s="111">
        <v>0</v>
      </c>
      <c r="Y86" s="111">
        <v>0</v>
      </c>
      <c r="Z86" s="111">
        <v>0</v>
      </c>
      <c r="AC86" s="110">
        <v>0</v>
      </c>
      <c r="AD86" s="109">
        <v>0</v>
      </c>
    </row>
    <row r="87" spans="1:30">
      <c r="A87" s="112" t="s">
        <v>1815</v>
      </c>
      <c r="B87" s="112" t="s">
        <v>1776</v>
      </c>
      <c r="C87" s="112" t="s">
        <v>774</v>
      </c>
      <c r="D87" s="112" t="s">
        <v>1476</v>
      </c>
      <c r="E87" s="112" t="s">
        <v>1462</v>
      </c>
      <c r="F87" s="112" t="s">
        <v>1641</v>
      </c>
      <c r="G87" s="112" t="s">
        <v>1775</v>
      </c>
      <c r="H87" s="112" t="s">
        <v>1776</v>
      </c>
      <c r="M87" s="112" t="s">
        <v>1741</v>
      </c>
      <c r="N87" s="112" t="s">
        <v>1416</v>
      </c>
      <c r="O87" s="108">
        <v>45131</v>
      </c>
      <c r="P87" s="108">
        <v>45135</v>
      </c>
      <c r="Q87" s="108">
        <v>45131</v>
      </c>
      <c r="R87" s="108">
        <v>45137</v>
      </c>
      <c r="S87" s="109">
        <v>31</v>
      </c>
      <c r="T87" s="109">
        <v>9</v>
      </c>
      <c r="U87" s="109">
        <v>5</v>
      </c>
      <c r="V87" s="110">
        <v>0</v>
      </c>
      <c r="W87" s="109">
        <v>1</v>
      </c>
      <c r="X87" s="111">
        <v>0</v>
      </c>
      <c r="Y87" s="111">
        <v>0</v>
      </c>
      <c r="Z87" s="111">
        <v>0</v>
      </c>
      <c r="AC87" s="110">
        <v>0</v>
      </c>
      <c r="AD87" s="109">
        <v>0</v>
      </c>
    </row>
    <row r="88" spans="1:30">
      <c r="A88" s="112" t="s">
        <v>1815</v>
      </c>
      <c r="B88" s="112" t="s">
        <v>1777</v>
      </c>
      <c r="C88" s="112" t="s">
        <v>774</v>
      </c>
      <c r="D88" s="112" t="s">
        <v>1476</v>
      </c>
      <c r="E88" s="112" t="s">
        <v>1462</v>
      </c>
      <c r="F88" s="112" t="s">
        <v>1641</v>
      </c>
      <c r="G88" s="112" t="s">
        <v>1775</v>
      </c>
      <c r="H88" s="112" t="s">
        <v>1777</v>
      </c>
      <c r="M88" s="112" t="s">
        <v>1742</v>
      </c>
      <c r="N88" s="112" t="s">
        <v>1416</v>
      </c>
      <c r="O88" s="108">
        <v>45131</v>
      </c>
      <c r="P88" s="108">
        <v>45135</v>
      </c>
      <c r="Q88" s="108">
        <v>45131</v>
      </c>
      <c r="R88" s="108">
        <v>45137</v>
      </c>
      <c r="S88" s="109">
        <v>31</v>
      </c>
      <c r="T88" s="109">
        <v>9</v>
      </c>
      <c r="U88" s="109">
        <v>5</v>
      </c>
      <c r="V88" s="110">
        <v>0</v>
      </c>
      <c r="W88" s="109">
        <v>1</v>
      </c>
      <c r="X88" s="111">
        <v>0</v>
      </c>
      <c r="Y88" s="111">
        <v>0</v>
      </c>
      <c r="Z88" s="111">
        <v>0</v>
      </c>
      <c r="AC88" s="110">
        <v>0</v>
      </c>
      <c r="AD88" s="109">
        <v>0</v>
      </c>
    </row>
    <row r="89" spans="1:30">
      <c r="A89" s="112" t="s">
        <v>1815</v>
      </c>
      <c r="B89" s="112" t="s">
        <v>1778</v>
      </c>
      <c r="C89" s="112" t="s">
        <v>774</v>
      </c>
      <c r="D89" s="112" t="s">
        <v>1476</v>
      </c>
      <c r="E89" s="112" t="s">
        <v>1462</v>
      </c>
      <c r="F89" s="112" t="s">
        <v>1641</v>
      </c>
      <c r="G89" s="112" t="s">
        <v>1775</v>
      </c>
      <c r="H89" s="112" t="s">
        <v>1778</v>
      </c>
      <c r="M89" s="112" t="s">
        <v>1743</v>
      </c>
      <c r="N89" s="112" t="s">
        <v>1416</v>
      </c>
      <c r="O89" s="108">
        <v>45131</v>
      </c>
      <c r="P89" s="108">
        <v>45135</v>
      </c>
      <c r="Q89" s="108">
        <v>45131</v>
      </c>
      <c r="R89" s="108">
        <v>45137</v>
      </c>
      <c r="S89" s="109">
        <v>31</v>
      </c>
      <c r="T89" s="109">
        <v>9</v>
      </c>
      <c r="U89" s="109">
        <v>5</v>
      </c>
      <c r="V89" s="110">
        <v>0</v>
      </c>
      <c r="W89" s="109">
        <v>1</v>
      </c>
      <c r="X89" s="111">
        <v>0</v>
      </c>
      <c r="Y89" s="111">
        <v>0</v>
      </c>
      <c r="Z89" s="111">
        <v>0</v>
      </c>
      <c r="AC89" s="110">
        <v>0</v>
      </c>
      <c r="AD89" s="109">
        <v>0</v>
      </c>
    </row>
    <row r="90" spans="1:30">
      <c r="A90" s="112" t="s">
        <v>1815</v>
      </c>
      <c r="B90" s="112" t="s">
        <v>1779</v>
      </c>
      <c r="C90" s="112" t="s">
        <v>774</v>
      </c>
      <c r="D90" s="112" t="s">
        <v>1476</v>
      </c>
      <c r="E90" s="112" t="s">
        <v>1462</v>
      </c>
      <c r="F90" s="112" t="s">
        <v>1641</v>
      </c>
      <c r="G90" s="112" t="s">
        <v>1775</v>
      </c>
      <c r="H90" s="112" t="s">
        <v>1779</v>
      </c>
      <c r="M90" s="112" t="s">
        <v>1744</v>
      </c>
      <c r="N90" s="112" t="s">
        <v>1416</v>
      </c>
      <c r="O90" s="108">
        <v>45131</v>
      </c>
      <c r="P90" s="108">
        <v>45135</v>
      </c>
      <c r="Q90" s="108">
        <v>45131</v>
      </c>
      <c r="R90" s="108">
        <v>45137</v>
      </c>
      <c r="S90" s="109">
        <v>31</v>
      </c>
      <c r="T90" s="109">
        <v>9</v>
      </c>
      <c r="U90" s="109">
        <v>5</v>
      </c>
      <c r="V90" s="110">
        <v>0</v>
      </c>
      <c r="W90" s="109">
        <v>1</v>
      </c>
      <c r="X90" s="111">
        <v>0</v>
      </c>
      <c r="Y90" s="111">
        <v>0</v>
      </c>
      <c r="Z90" s="111">
        <v>0</v>
      </c>
      <c r="AC90" s="110">
        <v>0</v>
      </c>
      <c r="AD90" s="109">
        <v>0</v>
      </c>
    </row>
    <row r="91" spans="1:30">
      <c r="A91" s="112" t="s">
        <v>1815</v>
      </c>
      <c r="B91" s="112" t="s">
        <v>1780</v>
      </c>
      <c r="C91" s="112" t="s">
        <v>774</v>
      </c>
      <c r="D91" s="112" t="s">
        <v>1476</v>
      </c>
      <c r="E91" s="112" t="s">
        <v>1462</v>
      </c>
      <c r="F91" s="112" t="s">
        <v>1641</v>
      </c>
      <c r="G91" s="112" t="s">
        <v>1775</v>
      </c>
      <c r="H91" s="112" t="s">
        <v>1780</v>
      </c>
      <c r="M91" s="112" t="s">
        <v>1745</v>
      </c>
      <c r="N91" s="112" t="s">
        <v>1416</v>
      </c>
      <c r="O91" s="108">
        <v>45131</v>
      </c>
      <c r="P91" s="108">
        <v>45135</v>
      </c>
      <c r="Q91" s="108">
        <v>45131</v>
      </c>
      <c r="R91" s="108">
        <v>45137</v>
      </c>
      <c r="S91" s="109">
        <v>31</v>
      </c>
      <c r="T91" s="109">
        <v>9</v>
      </c>
      <c r="U91" s="109">
        <v>5</v>
      </c>
      <c r="V91" s="110">
        <v>0</v>
      </c>
      <c r="W91" s="109">
        <v>1</v>
      </c>
      <c r="X91" s="111">
        <v>0</v>
      </c>
      <c r="Y91" s="111">
        <v>0</v>
      </c>
      <c r="Z91" s="111">
        <v>0</v>
      </c>
      <c r="AC91" s="110">
        <v>0</v>
      </c>
      <c r="AD91" s="109">
        <v>0</v>
      </c>
    </row>
    <row r="92" spans="1:30">
      <c r="A92" s="112" t="s">
        <v>1815</v>
      </c>
      <c r="B92" s="112" t="s">
        <v>1781</v>
      </c>
      <c r="C92" s="112" t="s">
        <v>774</v>
      </c>
      <c r="D92" s="112" t="s">
        <v>1476</v>
      </c>
      <c r="E92" s="112" t="s">
        <v>1462</v>
      </c>
      <c r="F92" s="112" t="s">
        <v>1641</v>
      </c>
      <c r="G92" s="112" t="s">
        <v>1775</v>
      </c>
      <c r="H92" s="112" t="s">
        <v>1781</v>
      </c>
      <c r="M92" s="112" t="s">
        <v>1746</v>
      </c>
      <c r="N92" s="112" t="s">
        <v>1416</v>
      </c>
      <c r="O92" s="108">
        <v>45131</v>
      </c>
      <c r="P92" s="108">
        <v>45135</v>
      </c>
      <c r="Q92" s="108">
        <v>45131</v>
      </c>
      <c r="R92" s="108">
        <v>45137</v>
      </c>
      <c r="S92" s="109">
        <v>31</v>
      </c>
      <c r="T92" s="109">
        <v>9</v>
      </c>
      <c r="U92" s="109">
        <v>5</v>
      </c>
      <c r="V92" s="110">
        <v>0</v>
      </c>
      <c r="W92" s="109">
        <v>1</v>
      </c>
      <c r="X92" s="111">
        <v>0</v>
      </c>
      <c r="Y92" s="111">
        <v>0</v>
      </c>
      <c r="Z92" s="111">
        <v>0</v>
      </c>
      <c r="AC92" s="110">
        <v>0</v>
      </c>
      <c r="AD92" s="109">
        <v>0</v>
      </c>
    </row>
    <row r="93" spans="1:30">
      <c r="A93" s="112" t="s">
        <v>1815</v>
      </c>
      <c r="B93" s="112" t="s">
        <v>1783</v>
      </c>
      <c r="C93" s="112" t="s">
        <v>774</v>
      </c>
      <c r="D93" s="112" t="s">
        <v>1476</v>
      </c>
      <c r="E93" s="112" t="s">
        <v>1462</v>
      </c>
      <c r="F93" s="112" t="s">
        <v>1641</v>
      </c>
      <c r="G93" s="112" t="s">
        <v>1782</v>
      </c>
      <c r="H93" s="112" t="s">
        <v>1783</v>
      </c>
      <c r="M93" s="112" t="s">
        <v>1748</v>
      </c>
      <c r="N93" s="112" t="s">
        <v>1416</v>
      </c>
      <c r="O93" s="108">
        <v>45138</v>
      </c>
      <c r="P93" s="108">
        <v>45142</v>
      </c>
      <c r="Q93" s="108">
        <v>45138</v>
      </c>
      <c r="R93" s="108">
        <v>45144</v>
      </c>
      <c r="S93" s="109">
        <v>32</v>
      </c>
      <c r="T93" s="109">
        <v>10</v>
      </c>
      <c r="U93" s="109">
        <v>5</v>
      </c>
      <c r="V93" s="110">
        <v>0</v>
      </c>
      <c r="W93" s="109">
        <v>1</v>
      </c>
      <c r="X93" s="111">
        <v>0</v>
      </c>
      <c r="Y93" s="111">
        <v>0</v>
      </c>
      <c r="Z93" s="111">
        <v>0</v>
      </c>
      <c r="AC93" s="110">
        <v>0</v>
      </c>
      <c r="AD93" s="109">
        <v>0</v>
      </c>
    </row>
    <row r="94" spans="1:30">
      <c r="A94" s="112" t="s">
        <v>1815</v>
      </c>
      <c r="B94" s="112" t="s">
        <v>1784</v>
      </c>
      <c r="C94" s="112" t="s">
        <v>774</v>
      </c>
      <c r="D94" s="112" t="s">
        <v>1476</v>
      </c>
      <c r="E94" s="112" t="s">
        <v>1462</v>
      </c>
      <c r="F94" s="112" t="s">
        <v>1641</v>
      </c>
      <c r="G94" s="112" t="s">
        <v>1782</v>
      </c>
      <c r="H94" s="112" t="s">
        <v>1784</v>
      </c>
      <c r="M94" s="112" t="s">
        <v>1749</v>
      </c>
      <c r="N94" s="112" t="s">
        <v>1416</v>
      </c>
      <c r="O94" s="108">
        <v>45138</v>
      </c>
      <c r="P94" s="108">
        <v>45142</v>
      </c>
      <c r="Q94" s="108">
        <v>45138</v>
      </c>
      <c r="R94" s="108">
        <v>45144</v>
      </c>
      <c r="S94" s="109">
        <v>32</v>
      </c>
      <c r="T94" s="109">
        <v>10</v>
      </c>
      <c r="U94" s="109">
        <v>5</v>
      </c>
      <c r="V94" s="110">
        <v>0</v>
      </c>
      <c r="W94" s="109">
        <v>1</v>
      </c>
      <c r="X94" s="111">
        <v>0</v>
      </c>
      <c r="Y94" s="111">
        <v>0</v>
      </c>
      <c r="Z94" s="111">
        <v>0</v>
      </c>
      <c r="AC94" s="110">
        <v>0</v>
      </c>
      <c r="AD94" s="109">
        <v>0</v>
      </c>
    </row>
    <row r="95" spans="1:30">
      <c r="A95" s="112" t="s">
        <v>1815</v>
      </c>
      <c r="B95" s="112" t="s">
        <v>1785</v>
      </c>
      <c r="C95" s="112" t="s">
        <v>774</v>
      </c>
      <c r="D95" s="112" t="s">
        <v>1476</v>
      </c>
      <c r="E95" s="112" t="s">
        <v>1462</v>
      </c>
      <c r="F95" s="112" t="s">
        <v>1641</v>
      </c>
      <c r="G95" s="112" t="s">
        <v>1782</v>
      </c>
      <c r="H95" s="112" t="s">
        <v>1785</v>
      </c>
      <c r="M95" s="112" t="s">
        <v>1750</v>
      </c>
      <c r="N95" s="112" t="s">
        <v>1416</v>
      </c>
      <c r="O95" s="108">
        <v>45138</v>
      </c>
      <c r="P95" s="108">
        <v>45142</v>
      </c>
      <c r="Q95" s="108">
        <v>45138</v>
      </c>
      <c r="R95" s="108">
        <v>45144</v>
      </c>
      <c r="S95" s="109">
        <v>32</v>
      </c>
      <c r="T95" s="109">
        <v>10</v>
      </c>
      <c r="U95" s="109">
        <v>5</v>
      </c>
      <c r="V95" s="110">
        <v>0</v>
      </c>
      <c r="W95" s="109">
        <v>1</v>
      </c>
      <c r="X95" s="111">
        <v>0</v>
      </c>
      <c r="Y95" s="111">
        <v>0</v>
      </c>
      <c r="Z95" s="111">
        <v>0</v>
      </c>
      <c r="AC95" s="110">
        <v>0</v>
      </c>
      <c r="AD95" s="109">
        <v>0</v>
      </c>
    </row>
    <row r="96" spans="1:30">
      <c r="A96" s="112" t="s">
        <v>1815</v>
      </c>
      <c r="B96" s="112" t="s">
        <v>1812</v>
      </c>
      <c r="C96" s="112" t="s">
        <v>774</v>
      </c>
      <c r="D96" s="112" t="s">
        <v>1476</v>
      </c>
      <c r="E96" s="112" t="s">
        <v>1462</v>
      </c>
      <c r="F96" s="112" t="s">
        <v>1641</v>
      </c>
      <c r="G96" s="112" t="s">
        <v>1811</v>
      </c>
      <c r="H96" s="112" t="s">
        <v>1812</v>
      </c>
      <c r="M96" s="112" t="s">
        <v>1808</v>
      </c>
      <c r="N96" s="112" t="s">
        <v>1416</v>
      </c>
      <c r="O96" s="108">
        <v>45138</v>
      </c>
      <c r="P96" s="108">
        <v>45142</v>
      </c>
      <c r="Q96" s="108">
        <v>45138</v>
      </c>
      <c r="R96" s="108">
        <v>45144</v>
      </c>
      <c r="S96" s="109">
        <v>32</v>
      </c>
      <c r="T96" s="109">
        <v>10</v>
      </c>
      <c r="U96" s="109">
        <v>5</v>
      </c>
      <c r="V96" s="110">
        <v>0</v>
      </c>
      <c r="W96" s="109">
        <v>1</v>
      </c>
      <c r="X96" s="111">
        <v>0</v>
      </c>
      <c r="Y96" s="111">
        <v>0</v>
      </c>
      <c r="Z96" s="111">
        <v>0</v>
      </c>
      <c r="AC96" s="110">
        <v>0</v>
      </c>
      <c r="AD96" s="109">
        <v>0</v>
      </c>
    </row>
    <row r="97" spans="1:30">
      <c r="A97" s="112" t="s">
        <v>1815</v>
      </c>
      <c r="B97" s="112" t="s">
        <v>1804</v>
      </c>
      <c r="C97" s="112" t="s">
        <v>774</v>
      </c>
      <c r="D97" s="112" t="s">
        <v>1476</v>
      </c>
      <c r="E97" s="112" t="s">
        <v>1462</v>
      </c>
      <c r="F97" s="112" t="s">
        <v>1641</v>
      </c>
      <c r="G97" s="112" t="s">
        <v>1811</v>
      </c>
      <c r="H97" s="112" t="s">
        <v>1804</v>
      </c>
      <c r="M97" s="112" t="s">
        <v>1809</v>
      </c>
      <c r="N97" s="112" t="s">
        <v>1416</v>
      </c>
      <c r="O97" s="108">
        <v>45138</v>
      </c>
      <c r="P97" s="108">
        <v>45142</v>
      </c>
      <c r="Q97" s="108">
        <v>45138</v>
      </c>
      <c r="R97" s="108">
        <v>45144</v>
      </c>
      <c r="S97" s="109">
        <v>32</v>
      </c>
      <c r="T97" s="109">
        <v>10</v>
      </c>
      <c r="U97" s="109">
        <v>5</v>
      </c>
      <c r="V97" s="110">
        <v>0</v>
      </c>
      <c r="W97" s="109">
        <v>1</v>
      </c>
      <c r="X97" s="111">
        <v>0</v>
      </c>
      <c r="Y97" s="111">
        <v>0</v>
      </c>
      <c r="Z97" s="111">
        <v>0</v>
      </c>
      <c r="AC97" s="110">
        <v>0</v>
      </c>
      <c r="AD97" s="109">
        <v>0</v>
      </c>
    </row>
    <row r="98" spans="1:30">
      <c r="A98" s="112" t="s">
        <v>1815</v>
      </c>
      <c r="B98" s="112" t="s">
        <v>1805</v>
      </c>
      <c r="C98" s="112" t="s">
        <v>774</v>
      </c>
      <c r="D98" s="112" t="s">
        <v>1476</v>
      </c>
      <c r="E98" s="112" t="s">
        <v>1462</v>
      </c>
      <c r="F98" s="112" t="s">
        <v>1641</v>
      </c>
      <c r="G98" s="112" t="s">
        <v>1811</v>
      </c>
      <c r="H98" s="112" t="s">
        <v>1805</v>
      </c>
      <c r="M98" s="112" t="s">
        <v>1810</v>
      </c>
      <c r="N98" s="112" t="s">
        <v>1416</v>
      </c>
      <c r="O98" s="108">
        <v>45138</v>
      </c>
      <c r="P98" s="108">
        <v>45142</v>
      </c>
      <c r="Q98" s="108">
        <v>45138</v>
      </c>
      <c r="R98" s="108">
        <v>45144</v>
      </c>
      <c r="S98" s="109">
        <v>32</v>
      </c>
      <c r="T98" s="109">
        <v>10</v>
      </c>
      <c r="U98" s="109">
        <v>5</v>
      </c>
      <c r="V98" s="110">
        <v>0</v>
      </c>
      <c r="W98" s="109">
        <v>1</v>
      </c>
      <c r="X98" s="111">
        <v>0</v>
      </c>
      <c r="Y98" s="111">
        <v>0</v>
      </c>
      <c r="Z98" s="111">
        <v>0</v>
      </c>
      <c r="AC98" s="110">
        <v>0</v>
      </c>
      <c r="AD98" s="109">
        <v>0</v>
      </c>
    </row>
    <row r="99" spans="1:30">
      <c r="A99" s="112" t="s">
        <v>1483</v>
      </c>
      <c r="B99" s="112" t="s">
        <v>1787</v>
      </c>
      <c r="C99" s="112" t="s">
        <v>774</v>
      </c>
      <c r="D99" s="112" t="s">
        <v>1476</v>
      </c>
      <c r="E99" s="112" t="s">
        <v>1462</v>
      </c>
      <c r="F99" s="112" t="s">
        <v>1786</v>
      </c>
      <c r="G99" s="112" t="s">
        <v>1787</v>
      </c>
      <c r="M99" s="112" t="s">
        <v>1640</v>
      </c>
      <c r="N99" s="112" t="s">
        <v>1416</v>
      </c>
      <c r="O99" s="108">
        <v>45139</v>
      </c>
      <c r="P99" s="108">
        <v>45149</v>
      </c>
      <c r="Q99" s="108">
        <v>45138</v>
      </c>
      <c r="R99" s="108">
        <v>45144</v>
      </c>
      <c r="S99" s="109">
        <v>32</v>
      </c>
      <c r="T99" s="109">
        <v>10</v>
      </c>
      <c r="U99" s="109">
        <v>4</v>
      </c>
      <c r="V99" s="110">
        <v>0</v>
      </c>
      <c r="W99" s="109">
        <v>1</v>
      </c>
      <c r="X99" s="111">
        <v>0</v>
      </c>
      <c r="Y99" s="111">
        <v>0</v>
      </c>
      <c r="Z99" s="111">
        <v>0</v>
      </c>
      <c r="AC99" s="110">
        <v>0</v>
      </c>
      <c r="AD99" s="109">
        <v>0</v>
      </c>
    </row>
    <row r="100" spans="1:30">
      <c r="A100" s="112" t="s">
        <v>1483</v>
      </c>
      <c r="B100" s="112" t="s">
        <v>1787</v>
      </c>
      <c r="C100" s="112" t="s">
        <v>774</v>
      </c>
      <c r="D100" s="112" t="s">
        <v>1476</v>
      </c>
      <c r="E100" s="112" t="s">
        <v>1462</v>
      </c>
      <c r="F100" s="112" t="s">
        <v>1786</v>
      </c>
      <c r="G100" s="112" t="s">
        <v>1787</v>
      </c>
      <c r="M100" s="112" t="s">
        <v>1640</v>
      </c>
      <c r="N100" s="112" t="s">
        <v>1416</v>
      </c>
      <c r="O100" s="108">
        <v>45139</v>
      </c>
      <c r="P100" s="108">
        <v>45149</v>
      </c>
      <c r="Q100" s="108">
        <v>45145</v>
      </c>
      <c r="R100" s="108">
        <v>45151</v>
      </c>
      <c r="S100" s="109">
        <v>33</v>
      </c>
      <c r="T100" s="109">
        <v>11</v>
      </c>
      <c r="U100" s="109">
        <v>5</v>
      </c>
      <c r="V100" s="110">
        <v>0</v>
      </c>
      <c r="W100" s="109">
        <v>1</v>
      </c>
      <c r="X100" s="111">
        <v>0</v>
      </c>
      <c r="Y100" s="111">
        <v>0</v>
      </c>
      <c r="Z100" s="111">
        <v>0</v>
      </c>
      <c r="AC100" s="110">
        <v>0</v>
      </c>
      <c r="AD100" s="109">
        <v>0</v>
      </c>
    </row>
    <row r="101" spans="1:30">
      <c r="A101" s="112" t="s">
        <v>1483</v>
      </c>
      <c r="B101" s="112" t="s">
        <v>1788</v>
      </c>
      <c r="C101" s="112" t="s">
        <v>774</v>
      </c>
      <c r="D101" s="112" t="s">
        <v>1476</v>
      </c>
      <c r="E101" s="112" t="s">
        <v>1462</v>
      </c>
      <c r="F101" s="112" t="s">
        <v>1786</v>
      </c>
      <c r="G101" s="112" t="s">
        <v>1788</v>
      </c>
      <c r="M101" s="112" t="s">
        <v>1751</v>
      </c>
      <c r="N101" s="112" t="s">
        <v>1416</v>
      </c>
      <c r="O101" s="108">
        <v>45145</v>
      </c>
      <c r="P101" s="108">
        <v>45156</v>
      </c>
      <c r="Q101" s="108">
        <v>45145</v>
      </c>
      <c r="R101" s="108">
        <v>45151</v>
      </c>
      <c r="S101" s="109">
        <v>33</v>
      </c>
      <c r="T101" s="109">
        <v>11</v>
      </c>
      <c r="U101" s="109">
        <v>5</v>
      </c>
      <c r="V101" s="110">
        <v>0</v>
      </c>
      <c r="W101" s="109">
        <v>1</v>
      </c>
      <c r="X101" s="111">
        <v>0</v>
      </c>
      <c r="Y101" s="111">
        <v>0</v>
      </c>
      <c r="Z101" s="111">
        <v>0</v>
      </c>
      <c r="AC101" s="110">
        <v>0</v>
      </c>
      <c r="AD101" s="109">
        <v>0</v>
      </c>
    </row>
    <row r="102" spans="1:30">
      <c r="A102" s="112" t="s">
        <v>1483</v>
      </c>
      <c r="B102" s="112" t="s">
        <v>1788</v>
      </c>
      <c r="C102" s="112" t="s">
        <v>774</v>
      </c>
      <c r="D102" s="112" t="s">
        <v>1476</v>
      </c>
      <c r="E102" s="112" t="s">
        <v>1462</v>
      </c>
      <c r="F102" s="112" t="s">
        <v>1786</v>
      </c>
      <c r="G102" s="112" t="s">
        <v>1788</v>
      </c>
      <c r="M102" s="112" t="s">
        <v>1751</v>
      </c>
      <c r="N102" s="112" t="s">
        <v>1416</v>
      </c>
      <c r="O102" s="108">
        <v>45145</v>
      </c>
      <c r="P102" s="108">
        <v>45156</v>
      </c>
      <c r="Q102" s="108">
        <v>45152</v>
      </c>
      <c r="R102" s="108">
        <v>45158</v>
      </c>
      <c r="S102" s="109">
        <v>34</v>
      </c>
      <c r="T102" s="109">
        <v>12</v>
      </c>
      <c r="U102" s="109">
        <v>4</v>
      </c>
      <c r="V102" s="110">
        <v>0</v>
      </c>
      <c r="W102" s="109">
        <v>1</v>
      </c>
      <c r="X102" s="111">
        <v>0</v>
      </c>
      <c r="Y102" s="111">
        <v>0</v>
      </c>
      <c r="Z102" s="111">
        <v>0</v>
      </c>
      <c r="AC102" s="110">
        <v>0</v>
      </c>
      <c r="AD102" s="109">
        <v>0</v>
      </c>
    </row>
    <row r="103" spans="1:30">
      <c r="A103" s="112" t="s">
        <v>1815</v>
      </c>
      <c r="B103" s="112" t="s">
        <v>1790</v>
      </c>
      <c r="C103" s="112" t="s">
        <v>774</v>
      </c>
      <c r="D103" s="112" t="s">
        <v>1476</v>
      </c>
      <c r="E103" s="112" t="s">
        <v>1462</v>
      </c>
      <c r="F103" s="112" t="s">
        <v>1786</v>
      </c>
      <c r="G103" s="112" t="s">
        <v>1789</v>
      </c>
      <c r="H103" s="112" t="s">
        <v>1790</v>
      </c>
      <c r="M103" s="112" t="s">
        <v>1752</v>
      </c>
      <c r="N103" s="112" t="s">
        <v>1416</v>
      </c>
      <c r="O103" s="108">
        <v>45145</v>
      </c>
      <c r="P103" s="108">
        <v>45156</v>
      </c>
      <c r="Q103" s="108">
        <v>45145</v>
      </c>
      <c r="R103" s="108">
        <v>45151</v>
      </c>
      <c r="S103" s="109">
        <v>33</v>
      </c>
      <c r="T103" s="109">
        <v>11</v>
      </c>
      <c r="U103" s="109">
        <v>5</v>
      </c>
      <c r="V103" s="110">
        <v>0</v>
      </c>
      <c r="W103" s="109">
        <v>1</v>
      </c>
      <c r="X103" s="111">
        <v>0</v>
      </c>
      <c r="Y103" s="111">
        <v>0</v>
      </c>
      <c r="Z103" s="111">
        <v>0</v>
      </c>
      <c r="AC103" s="110">
        <v>0</v>
      </c>
      <c r="AD103" s="109">
        <v>0</v>
      </c>
    </row>
    <row r="104" spans="1:30">
      <c r="A104" s="112" t="s">
        <v>1815</v>
      </c>
      <c r="B104" s="112" t="s">
        <v>1790</v>
      </c>
      <c r="C104" s="112" t="s">
        <v>774</v>
      </c>
      <c r="D104" s="112" t="s">
        <v>1476</v>
      </c>
      <c r="E104" s="112" t="s">
        <v>1462</v>
      </c>
      <c r="F104" s="112" t="s">
        <v>1786</v>
      </c>
      <c r="G104" s="112" t="s">
        <v>1789</v>
      </c>
      <c r="H104" s="112" t="s">
        <v>1790</v>
      </c>
      <c r="M104" s="112" t="s">
        <v>1752</v>
      </c>
      <c r="N104" s="112" t="s">
        <v>1416</v>
      </c>
      <c r="O104" s="108">
        <v>45145</v>
      </c>
      <c r="P104" s="108">
        <v>45156</v>
      </c>
      <c r="Q104" s="108">
        <v>45152</v>
      </c>
      <c r="R104" s="108">
        <v>45158</v>
      </c>
      <c r="S104" s="109">
        <v>34</v>
      </c>
      <c r="T104" s="109">
        <v>12</v>
      </c>
      <c r="U104" s="109">
        <v>4</v>
      </c>
      <c r="V104" s="110">
        <v>0</v>
      </c>
      <c r="W104" s="109">
        <v>1</v>
      </c>
      <c r="X104" s="111">
        <v>0</v>
      </c>
      <c r="Y104" s="111">
        <v>0</v>
      </c>
      <c r="Z104" s="111">
        <v>0</v>
      </c>
      <c r="AC104" s="110">
        <v>0</v>
      </c>
      <c r="AD104" s="109">
        <v>0</v>
      </c>
    </row>
    <row r="105" spans="1:30">
      <c r="A105" s="112" t="s">
        <v>1815</v>
      </c>
      <c r="B105" s="112" t="s">
        <v>1791</v>
      </c>
      <c r="C105" s="112" t="s">
        <v>774</v>
      </c>
      <c r="D105" s="112" t="s">
        <v>1476</v>
      </c>
      <c r="E105" s="112" t="s">
        <v>1462</v>
      </c>
      <c r="F105" s="112" t="s">
        <v>1786</v>
      </c>
      <c r="G105" s="112" t="s">
        <v>1789</v>
      </c>
      <c r="H105" s="112" t="s">
        <v>1791</v>
      </c>
      <c r="M105" s="112" t="s">
        <v>1753</v>
      </c>
      <c r="N105" s="112" t="s">
        <v>1416</v>
      </c>
      <c r="O105" s="108">
        <v>45159</v>
      </c>
      <c r="P105" s="108">
        <v>45169</v>
      </c>
      <c r="Q105" s="108">
        <v>45159</v>
      </c>
      <c r="R105" s="108">
        <v>45165</v>
      </c>
      <c r="S105" s="109">
        <v>35</v>
      </c>
      <c r="T105" s="109">
        <v>13</v>
      </c>
      <c r="U105" s="109">
        <v>5</v>
      </c>
      <c r="V105" s="110">
        <v>0</v>
      </c>
      <c r="W105" s="109">
        <v>1</v>
      </c>
      <c r="X105" s="111">
        <v>0</v>
      </c>
      <c r="Y105" s="111">
        <v>0</v>
      </c>
      <c r="Z105" s="111">
        <v>0</v>
      </c>
      <c r="AC105" s="110">
        <v>0</v>
      </c>
      <c r="AD105" s="109">
        <v>0</v>
      </c>
    </row>
    <row r="106" spans="1:30">
      <c r="A106" s="112" t="s">
        <v>1815</v>
      </c>
      <c r="B106" s="112" t="s">
        <v>1791</v>
      </c>
      <c r="C106" s="112" t="s">
        <v>774</v>
      </c>
      <c r="D106" s="112" t="s">
        <v>1476</v>
      </c>
      <c r="E106" s="112" t="s">
        <v>1462</v>
      </c>
      <c r="F106" s="112" t="s">
        <v>1786</v>
      </c>
      <c r="G106" s="112" t="s">
        <v>1789</v>
      </c>
      <c r="H106" s="112" t="s">
        <v>1791</v>
      </c>
      <c r="M106" s="112" t="s">
        <v>1753</v>
      </c>
      <c r="N106" s="112" t="s">
        <v>1416</v>
      </c>
      <c r="O106" s="108">
        <v>45159</v>
      </c>
      <c r="P106" s="108">
        <v>45169</v>
      </c>
      <c r="Q106" s="108">
        <v>45166</v>
      </c>
      <c r="R106" s="108">
        <v>45172</v>
      </c>
      <c r="S106" s="109">
        <v>36</v>
      </c>
      <c r="T106" s="109">
        <v>14</v>
      </c>
      <c r="U106" s="109">
        <v>4</v>
      </c>
      <c r="V106" s="110">
        <v>0</v>
      </c>
      <c r="W106" s="109">
        <v>1</v>
      </c>
      <c r="X106" s="111">
        <v>0</v>
      </c>
      <c r="Y106" s="111">
        <v>0</v>
      </c>
      <c r="Z106" s="111">
        <v>0</v>
      </c>
      <c r="AC106" s="110">
        <v>0</v>
      </c>
      <c r="AD106" s="109">
        <v>0</v>
      </c>
    </row>
    <row r="107" spans="1:30">
      <c r="A107" s="112" t="s">
        <v>1815</v>
      </c>
      <c r="B107" s="112" t="s">
        <v>1793</v>
      </c>
      <c r="C107" s="112" t="s">
        <v>774</v>
      </c>
      <c r="D107" s="112" t="s">
        <v>1476</v>
      </c>
      <c r="E107" s="112" t="s">
        <v>1462</v>
      </c>
      <c r="F107" s="112" t="s">
        <v>1786</v>
      </c>
      <c r="G107" s="112" t="s">
        <v>1792</v>
      </c>
      <c r="H107" s="112" t="s">
        <v>1793</v>
      </c>
      <c r="M107" s="112" t="s">
        <v>1754</v>
      </c>
      <c r="N107" s="112" t="s">
        <v>1416</v>
      </c>
      <c r="O107" s="108">
        <v>45145</v>
      </c>
      <c r="P107" s="108">
        <v>45149</v>
      </c>
      <c r="Q107" s="108">
        <v>45145</v>
      </c>
      <c r="R107" s="108">
        <v>45151</v>
      </c>
      <c r="S107" s="109">
        <v>33</v>
      </c>
      <c r="T107" s="109">
        <v>11</v>
      </c>
      <c r="U107" s="109">
        <v>5</v>
      </c>
      <c r="V107" s="110">
        <v>0</v>
      </c>
      <c r="W107" s="109">
        <v>1</v>
      </c>
      <c r="X107" s="111">
        <v>0</v>
      </c>
      <c r="Y107" s="111">
        <v>0</v>
      </c>
      <c r="Z107" s="111">
        <v>0</v>
      </c>
      <c r="AC107" s="110">
        <v>0</v>
      </c>
      <c r="AD107" s="109">
        <v>0</v>
      </c>
    </row>
    <row r="108" spans="1:30">
      <c r="A108" s="112" t="s">
        <v>1815</v>
      </c>
      <c r="B108" s="112" t="s">
        <v>1794</v>
      </c>
      <c r="C108" s="112" t="s">
        <v>774</v>
      </c>
      <c r="D108" s="112" t="s">
        <v>1476</v>
      </c>
      <c r="E108" s="112" t="s">
        <v>1462</v>
      </c>
      <c r="F108" s="112" t="s">
        <v>1786</v>
      </c>
      <c r="G108" s="112" t="s">
        <v>1792</v>
      </c>
      <c r="H108" s="112" t="s">
        <v>1794</v>
      </c>
      <c r="M108" s="112" t="s">
        <v>1737</v>
      </c>
      <c r="N108" s="112" t="s">
        <v>1416</v>
      </c>
      <c r="O108" s="108">
        <v>45145</v>
      </c>
      <c r="P108" s="108">
        <v>45156</v>
      </c>
      <c r="Q108" s="108">
        <v>45145</v>
      </c>
      <c r="R108" s="108">
        <v>45151</v>
      </c>
      <c r="S108" s="109">
        <v>33</v>
      </c>
      <c r="T108" s="109">
        <v>11</v>
      </c>
      <c r="U108" s="109">
        <v>5</v>
      </c>
      <c r="V108" s="110">
        <v>0</v>
      </c>
      <c r="W108" s="109">
        <v>1</v>
      </c>
      <c r="X108" s="111">
        <v>0</v>
      </c>
      <c r="Y108" s="111">
        <v>0</v>
      </c>
      <c r="Z108" s="111">
        <v>0</v>
      </c>
      <c r="AC108" s="110">
        <v>0</v>
      </c>
      <c r="AD108" s="109">
        <v>0</v>
      </c>
    </row>
    <row r="109" spans="1:30">
      <c r="A109" s="112" t="s">
        <v>1815</v>
      </c>
      <c r="B109" s="112" t="s">
        <v>1794</v>
      </c>
      <c r="C109" s="112" t="s">
        <v>774</v>
      </c>
      <c r="D109" s="112" t="s">
        <v>1476</v>
      </c>
      <c r="E109" s="112" t="s">
        <v>1462</v>
      </c>
      <c r="F109" s="112" t="s">
        <v>1786</v>
      </c>
      <c r="G109" s="112" t="s">
        <v>1792</v>
      </c>
      <c r="H109" s="112" t="s">
        <v>1794</v>
      </c>
      <c r="M109" s="112" t="s">
        <v>1737</v>
      </c>
      <c r="N109" s="112" t="s">
        <v>1416</v>
      </c>
      <c r="O109" s="108">
        <v>45145</v>
      </c>
      <c r="P109" s="108">
        <v>45156</v>
      </c>
      <c r="Q109" s="108">
        <v>45152</v>
      </c>
      <c r="R109" s="108">
        <v>45158</v>
      </c>
      <c r="S109" s="109">
        <v>34</v>
      </c>
      <c r="T109" s="109">
        <v>12</v>
      </c>
      <c r="U109" s="109">
        <v>4</v>
      </c>
      <c r="V109" s="110">
        <v>0</v>
      </c>
      <c r="W109" s="109">
        <v>1</v>
      </c>
      <c r="X109" s="111">
        <v>0</v>
      </c>
      <c r="Y109" s="111">
        <v>0</v>
      </c>
      <c r="Z109" s="111">
        <v>0</v>
      </c>
      <c r="AC109" s="110">
        <v>0</v>
      </c>
      <c r="AD109" s="109">
        <v>0</v>
      </c>
    </row>
    <row r="110" spans="1:30">
      <c r="A110" s="112" t="s">
        <v>1815</v>
      </c>
      <c r="B110" s="112" t="s">
        <v>1795</v>
      </c>
      <c r="C110" s="112" t="s">
        <v>774</v>
      </c>
      <c r="D110" s="112" t="s">
        <v>1476</v>
      </c>
      <c r="E110" s="112" t="s">
        <v>1462</v>
      </c>
      <c r="F110" s="112" t="s">
        <v>1786</v>
      </c>
      <c r="G110" s="112" t="s">
        <v>1792</v>
      </c>
      <c r="H110" s="112" t="s">
        <v>1795</v>
      </c>
      <c r="M110" s="112" t="s">
        <v>1755</v>
      </c>
      <c r="N110" s="112" t="s">
        <v>1416</v>
      </c>
      <c r="O110" s="108">
        <v>45159</v>
      </c>
      <c r="P110" s="108">
        <v>45163</v>
      </c>
      <c r="Q110" s="108">
        <v>45159</v>
      </c>
      <c r="R110" s="108">
        <v>45165</v>
      </c>
      <c r="S110" s="109">
        <v>35</v>
      </c>
      <c r="T110" s="109">
        <v>13</v>
      </c>
      <c r="U110" s="109">
        <v>5</v>
      </c>
      <c r="V110" s="110">
        <v>0</v>
      </c>
      <c r="W110" s="109">
        <v>1</v>
      </c>
      <c r="X110" s="111">
        <v>0</v>
      </c>
      <c r="Y110" s="111">
        <v>0</v>
      </c>
      <c r="Z110" s="111">
        <v>0</v>
      </c>
      <c r="AC110" s="110">
        <v>0</v>
      </c>
      <c r="AD110" s="109">
        <v>0</v>
      </c>
    </row>
    <row r="111" spans="1:30">
      <c r="A111" s="112" t="s">
        <v>1483</v>
      </c>
      <c r="B111" s="112" t="s">
        <v>1796</v>
      </c>
      <c r="C111" s="112" t="s">
        <v>774</v>
      </c>
      <c r="D111" s="112" t="s">
        <v>1476</v>
      </c>
      <c r="E111" s="112" t="s">
        <v>1462</v>
      </c>
      <c r="F111" s="112" t="s">
        <v>1786</v>
      </c>
      <c r="G111" s="112" t="s">
        <v>1796</v>
      </c>
      <c r="M111" s="112" t="s">
        <v>1747</v>
      </c>
      <c r="N111" s="112" t="s">
        <v>1416</v>
      </c>
      <c r="O111" s="108">
        <v>45166</v>
      </c>
      <c r="P111" s="108">
        <v>45173</v>
      </c>
      <c r="Q111" s="108">
        <v>45166</v>
      </c>
      <c r="R111" s="108">
        <v>45172</v>
      </c>
      <c r="S111" s="109">
        <v>36</v>
      </c>
      <c r="T111" s="109">
        <v>14</v>
      </c>
      <c r="U111" s="109">
        <v>5</v>
      </c>
      <c r="V111" s="110">
        <v>0</v>
      </c>
      <c r="W111" s="109">
        <v>1</v>
      </c>
      <c r="X111" s="111">
        <v>0</v>
      </c>
      <c r="Y111" s="111">
        <v>0</v>
      </c>
      <c r="Z111" s="111">
        <v>0</v>
      </c>
      <c r="AC111" s="110">
        <v>0</v>
      </c>
      <c r="AD111" s="109">
        <v>0</v>
      </c>
    </row>
    <row r="112" spans="1:30">
      <c r="A112" s="112" t="s">
        <v>1483</v>
      </c>
      <c r="B112" s="112" t="s">
        <v>1796</v>
      </c>
      <c r="C112" s="112" t="s">
        <v>774</v>
      </c>
      <c r="D112" s="112" t="s">
        <v>1476</v>
      </c>
      <c r="E112" s="112" t="s">
        <v>1462</v>
      </c>
      <c r="F112" s="112" t="s">
        <v>1786</v>
      </c>
      <c r="G112" s="112" t="s">
        <v>1796</v>
      </c>
      <c r="M112" s="112" t="s">
        <v>1747</v>
      </c>
      <c r="N112" s="112" t="s">
        <v>1416</v>
      </c>
      <c r="O112" s="108">
        <v>45166</v>
      </c>
      <c r="P112" s="108">
        <v>45173</v>
      </c>
      <c r="Q112" s="108">
        <v>45173</v>
      </c>
      <c r="R112" s="108">
        <v>45179</v>
      </c>
      <c r="S112" s="109">
        <v>37</v>
      </c>
      <c r="T112" s="109">
        <v>15</v>
      </c>
      <c r="U112" s="109">
        <v>1</v>
      </c>
      <c r="V112" s="110">
        <v>0</v>
      </c>
      <c r="W112" s="109">
        <v>1</v>
      </c>
      <c r="X112" s="111">
        <v>0</v>
      </c>
      <c r="Y112" s="111">
        <v>0</v>
      </c>
      <c r="Z112" s="111">
        <v>0</v>
      </c>
      <c r="AC112" s="110">
        <v>0</v>
      </c>
      <c r="AD112" s="109">
        <v>0</v>
      </c>
    </row>
    <row r="113" spans="1:30">
      <c r="A113" s="112" t="s">
        <v>1483</v>
      </c>
      <c r="B113" s="112" t="s">
        <v>1798</v>
      </c>
      <c r="C113" s="112" t="s">
        <v>774</v>
      </c>
      <c r="D113" s="112" t="s">
        <v>1476</v>
      </c>
      <c r="E113" s="112" t="s">
        <v>1462</v>
      </c>
      <c r="F113" s="112" t="s">
        <v>1797</v>
      </c>
      <c r="G113" s="112" t="s">
        <v>1798</v>
      </c>
      <c r="M113" s="112" t="s">
        <v>1902</v>
      </c>
      <c r="N113" s="112" t="s">
        <v>1416</v>
      </c>
      <c r="O113" s="108">
        <v>45112</v>
      </c>
      <c r="P113" s="108">
        <v>45128</v>
      </c>
      <c r="Q113" s="108">
        <v>45110</v>
      </c>
      <c r="R113" s="108">
        <v>45116</v>
      </c>
      <c r="S113" s="109">
        <v>28</v>
      </c>
      <c r="T113" s="109">
        <v>6</v>
      </c>
      <c r="U113" s="109">
        <v>3</v>
      </c>
      <c r="V113" s="110">
        <v>0</v>
      </c>
      <c r="W113" s="109">
        <v>1</v>
      </c>
      <c r="X113" s="111">
        <v>0</v>
      </c>
      <c r="Y113" s="111">
        <v>0</v>
      </c>
      <c r="Z113" s="111">
        <v>0</v>
      </c>
      <c r="AC113" s="110">
        <v>0</v>
      </c>
      <c r="AD113" s="109">
        <v>0</v>
      </c>
    </row>
    <row r="114" spans="1:30">
      <c r="A114" s="112" t="s">
        <v>1813</v>
      </c>
      <c r="B114" s="112" t="s">
        <v>1466</v>
      </c>
      <c r="C114" s="112" t="s">
        <v>774</v>
      </c>
      <c r="D114" s="112" t="s">
        <v>1476</v>
      </c>
      <c r="E114" s="112" t="s">
        <v>1465</v>
      </c>
      <c r="F114" s="112" t="s">
        <v>1466</v>
      </c>
      <c r="M114" s="112" t="s">
        <v>1690</v>
      </c>
      <c r="N114" s="112" t="s">
        <v>1416</v>
      </c>
      <c r="O114" s="108">
        <v>45180</v>
      </c>
      <c r="P114" s="108">
        <v>45184</v>
      </c>
      <c r="Q114" s="108">
        <v>45180</v>
      </c>
      <c r="R114" s="108">
        <v>45186</v>
      </c>
      <c r="S114" s="109">
        <v>38</v>
      </c>
      <c r="T114" s="109">
        <v>16</v>
      </c>
      <c r="U114" s="109">
        <v>5</v>
      </c>
      <c r="V114" s="110">
        <v>0</v>
      </c>
      <c r="W114" s="109">
        <v>1</v>
      </c>
      <c r="X114" s="111">
        <v>0</v>
      </c>
      <c r="Y114" s="111">
        <v>0</v>
      </c>
      <c r="Z114" s="111">
        <v>0</v>
      </c>
      <c r="AC114" s="110">
        <v>0</v>
      </c>
      <c r="AD114" s="109">
        <v>0</v>
      </c>
    </row>
    <row r="115" spans="1:30">
      <c r="A115" s="112" t="s">
        <v>1813</v>
      </c>
      <c r="B115" s="112" t="s">
        <v>1467</v>
      </c>
      <c r="C115" s="112" t="s">
        <v>774</v>
      </c>
      <c r="D115" s="112" t="s">
        <v>1476</v>
      </c>
      <c r="E115" s="112" t="s">
        <v>1465</v>
      </c>
      <c r="F115" s="112" t="s">
        <v>1467</v>
      </c>
      <c r="M115" s="112" t="s">
        <v>1716</v>
      </c>
      <c r="N115" s="112" t="s">
        <v>1416</v>
      </c>
      <c r="O115" s="108">
        <v>45180</v>
      </c>
      <c r="P115" s="108">
        <v>45184</v>
      </c>
      <c r="Q115" s="108">
        <v>45180</v>
      </c>
      <c r="R115" s="108">
        <v>45186</v>
      </c>
      <c r="S115" s="109">
        <v>38</v>
      </c>
      <c r="T115" s="109">
        <v>16</v>
      </c>
      <c r="U115" s="109">
        <v>5</v>
      </c>
      <c r="V115" s="110">
        <v>0</v>
      </c>
      <c r="W115" s="109">
        <v>1</v>
      </c>
      <c r="X115" s="111">
        <v>0</v>
      </c>
      <c r="Y115" s="111">
        <v>0</v>
      </c>
      <c r="Z115" s="111">
        <v>0</v>
      </c>
      <c r="AC115" s="110">
        <v>0</v>
      </c>
      <c r="AD115" s="109">
        <v>0</v>
      </c>
    </row>
    <row r="116" spans="1:30">
      <c r="A116" s="112" t="s">
        <v>1813</v>
      </c>
      <c r="B116" s="112" t="s">
        <v>1470</v>
      </c>
      <c r="C116" s="112" t="s">
        <v>774</v>
      </c>
      <c r="D116" s="112" t="s">
        <v>1477</v>
      </c>
      <c r="E116" s="112" t="s">
        <v>1468</v>
      </c>
      <c r="F116" s="112" t="s">
        <v>1470</v>
      </c>
      <c r="M116" s="112" t="s">
        <v>1648</v>
      </c>
      <c r="N116" s="112" t="s">
        <v>1416</v>
      </c>
      <c r="O116" s="108">
        <v>45175</v>
      </c>
      <c r="P116" s="108">
        <v>45184</v>
      </c>
      <c r="Q116" s="108">
        <v>45173</v>
      </c>
      <c r="R116" s="108">
        <v>45179</v>
      </c>
      <c r="S116" s="109">
        <v>37</v>
      </c>
      <c r="T116" s="109">
        <v>15</v>
      </c>
      <c r="U116" s="109">
        <v>3</v>
      </c>
      <c r="V116" s="110">
        <v>0</v>
      </c>
      <c r="W116" s="109">
        <v>1</v>
      </c>
      <c r="X116" s="111">
        <v>0</v>
      </c>
      <c r="Y116" s="111">
        <v>0</v>
      </c>
      <c r="Z116" s="111">
        <v>0</v>
      </c>
      <c r="AC116" s="110">
        <v>0</v>
      </c>
      <c r="AD116" s="109">
        <v>0</v>
      </c>
    </row>
    <row r="117" spans="1:30">
      <c r="A117" s="112" t="s">
        <v>1813</v>
      </c>
      <c r="B117" s="112" t="s">
        <v>1470</v>
      </c>
      <c r="C117" s="112" t="s">
        <v>774</v>
      </c>
      <c r="D117" s="112" t="s">
        <v>1477</v>
      </c>
      <c r="E117" s="112" t="s">
        <v>1468</v>
      </c>
      <c r="F117" s="112" t="s">
        <v>1470</v>
      </c>
      <c r="M117" s="112" t="s">
        <v>1648</v>
      </c>
      <c r="N117" s="112" t="s">
        <v>1416</v>
      </c>
      <c r="O117" s="108">
        <v>45175</v>
      </c>
      <c r="P117" s="108">
        <v>45184</v>
      </c>
      <c r="Q117" s="108">
        <v>45180</v>
      </c>
      <c r="R117" s="108">
        <v>45186</v>
      </c>
      <c r="S117" s="109">
        <v>38</v>
      </c>
      <c r="T117" s="109">
        <v>16</v>
      </c>
      <c r="U117" s="109">
        <v>5</v>
      </c>
      <c r="V117" s="110">
        <v>0</v>
      </c>
      <c r="W117" s="109">
        <v>1</v>
      </c>
      <c r="X117" s="111">
        <v>0</v>
      </c>
      <c r="Y117" s="111">
        <v>0</v>
      </c>
      <c r="Z117" s="111">
        <v>0</v>
      </c>
      <c r="AC117" s="110">
        <v>0</v>
      </c>
      <c r="AD117" s="109">
        <v>0</v>
      </c>
    </row>
    <row r="118" spans="1:30">
      <c r="A118" s="112" t="s">
        <v>1813</v>
      </c>
      <c r="B118" s="112" t="s">
        <v>1635</v>
      </c>
      <c r="C118" s="112" t="s">
        <v>774</v>
      </c>
      <c r="D118" s="112" t="s">
        <v>1477</v>
      </c>
      <c r="E118" s="112" t="s">
        <v>1468</v>
      </c>
      <c r="F118" s="112" t="s">
        <v>1635</v>
      </c>
      <c r="M118" s="112" t="s">
        <v>1649</v>
      </c>
      <c r="N118" s="112" t="s">
        <v>1416</v>
      </c>
      <c r="O118" s="108">
        <v>45175</v>
      </c>
      <c r="P118" s="108">
        <v>45184</v>
      </c>
      <c r="Q118" s="108">
        <v>45173</v>
      </c>
      <c r="R118" s="108">
        <v>45179</v>
      </c>
      <c r="S118" s="109">
        <v>37</v>
      </c>
      <c r="T118" s="109">
        <v>15</v>
      </c>
      <c r="U118" s="109">
        <v>3</v>
      </c>
      <c r="V118" s="110">
        <v>0</v>
      </c>
      <c r="W118" s="109">
        <v>1</v>
      </c>
      <c r="X118" s="111">
        <v>0</v>
      </c>
      <c r="Y118" s="111">
        <v>0</v>
      </c>
      <c r="Z118" s="111">
        <v>0</v>
      </c>
      <c r="AC118" s="110">
        <v>0</v>
      </c>
      <c r="AD118" s="109">
        <v>0</v>
      </c>
    </row>
    <row r="119" spans="1:30">
      <c r="A119" s="112" t="s">
        <v>1813</v>
      </c>
      <c r="B119" s="112" t="s">
        <v>1635</v>
      </c>
      <c r="C119" s="112" t="s">
        <v>774</v>
      </c>
      <c r="D119" s="112" t="s">
        <v>1477</v>
      </c>
      <c r="E119" s="112" t="s">
        <v>1468</v>
      </c>
      <c r="F119" s="112" t="s">
        <v>1635</v>
      </c>
      <c r="M119" s="112" t="s">
        <v>1649</v>
      </c>
      <c r="N119" s="112" t="s">
        <v>1416</v>
      </c>
      <c r="O119" s="108">
        <v>45175</v>
      </c>
      <c r="P119" s="108">
        <v>45184</v>
      </c>
      <c r="Q119" s="108">
        <v>45180</v>
      </c>
      <c r="R119" s="108">
        <v>45186</v>
      </c>
      <c r="S119" s="109">
        <v>38</v>
      </c>
      <c r="T119" s="109">
        <v>16</v>
      </c>
      <c r="U119" s="109">
        <v>5</v>
      </c>
      <c r="V119" s="110">
        <v>0</v>
      </c>
      <c r="W119" s="109">
        <v>1</v>
      </c>
      <c r="X119" s="111">
        <v>0</v>
      </c>
      <c r="Y119" s="111">
        <v>0</v>
      </c>
      <c r="Z119" s="111">
        <v>0</v>
      </c>
      <c r="AC119" s="110">
        <v>0</v>
      </c>
      <c r="AD119" s="109">
        <v>0</v>
      </c>
    </row>
    <row r="120" spans="1:30">
      <c r="A120" s="112" t="s">
        <v>1813</v>
      </c>
      <c r="B120" s="112" t="s">
        <v>1636</v>
      </c>
      <c r="C120" s="112" t="s">
        <v>774</v>
      </c>
      <c r="D120" s="112" t="s">
        <v>1477</v>
      </c>
      <c r="E120" s="112" t="s">
        <v>1468</v>
      </c>
      <c r="F120" s="112" t="s">
        <v>1636</v>
      </c>
      <c r="M120" s="112" t="s">
        <v>1650</v>
      </c>
      <c r="N120" s="112" t="s">
        <v>1416</v>
      </c>
      <c r="O120" s="108">
        <v>45175</v>
      </c>
      <c r="P120" s="108">
        <v>45184</v>
      </c>
      <c r="Q120" s="108">
        <v>45173</v>
      </c>
      <c r="R120" s="108">
        <v>45179</v>
      </c>
      <c r="S120" s="109">
        <v>37</v>
      </c>
      <c r="T120" s="109">
        <v>15</v>
      </c>
      <c r="U120" s="109">
        <v>3</v>
      </c>
      <c r="V120" s="110">
        <v>0</v>
      </c>
      <c r="W120" s="109">
        <v>1</v>
      </c>
      <c r="X120" s="111">
        <v>0</v>
      </c>
      <c r="Y120" s="111">
        <v>0</v>
      </c>
      <c r="Z120" s="111">
        <v>0</v>
      </c>
      <c r="AC120" s="110">
        <v>0</v>
      </c>
      <c r="AD120" s="109">
        <v>0</v>
      </c>
    </row>
    <row r="121" spans="1:30">
      <c r="A121" s="112" t="s">
        <v>1813</v>
      </c>
      <c r="B121" s="112" t="s">
        <v>1636</v>
      </c>
      <c r="C121" s="112" t="s">
        <v>774</v>
      </c>
      <c r="D121" s="112" t="s">
        <v>1477</v>
      </c>
      <c r="E121" s="112" t="s">
        <v>1468</v>
      </c>
      <c r="F121" s="112" t="s">
        <v>1636</v>
      </c>
      <c r="M121" s="112" t="s">
        <v>1650</v>
      </c>
      <c r="N121" s="112" t="s">
        <v>1416</v>
      </c>
      <c r="O121" s="108">
        <v>45175</v>
      </c>
      <c r="P121" s="108">
        <v>45184</v>
      </c>
      <c r="Q121" s="108">
        <v>45180</v>
      </c>
      <c r="R121" s="108">
        <v>45186</v>
      </c>
      <c r="S121" s="109">
        <v>38</v>
      </c>
      <c r="T121" s="109">
        <v>16</v>
      </c>
      <c r="U121" s="109">
        <v>5</v>
      </c>
      <c r="V121" s="110">
        <v>0</v>
      </c>
      <c r="W121" s="109">
        <v>1</v>
      </c>
      <c r="X121" s="111">
        <v>0</v>
      </c>
      <c r="Y121" s="111">
        <v>0</v>
      </c>
      <c r="Z121" s="111">
        <v>0</v>
      </c>
      <c r="AC121" s="110">
        <v>0</v>
      </c>
      <c r="AD121" s="109">
        <v>0</v>
      </c>
    </row>
    <row r="122" spans="1:30">
      <c r="A122" s="112" t="s">
        <v>1813</v>
      </c>
      <c r="B122" s="112" t="s">
        <v>1637</v>
      </c>
      <c r="C122" s="112" t="s">
        <v>774</v>
      </c>
      <c r="D122" s="112" t="s">
        <v>1477</v>
      </c>
      <c r="E122" s="112" t="s">
        <v>1468</v>
      </c>
      <c r="F122" s="112" t="s">
        <v>1637</v>
      </c>
      <c r="M122" s="112" t="s">
        <v>1651</v>
      </c>
      <c r="N122" s="112" t="s">
        <v>1416</v>
      </c>
      <c r="O122" s="108">
        <v>45175</v>
      </c>
      <c r="P122" s="108">
        <v>45184</v>
      </c>
      <c r="Q122" s="108">
        <v>45173</v>
      </c>
      <c r="R122" s="108">
        <v>45179</v>
      </c>
      <c r="S122" s="109">
        <v>37</v>
      </c>
      <c r="T122" s="109">
        <v>15</v>
      </c>
      <c r="U122" s="109">
        <v>3</v>
      </c>
      <c r="V122" s="110">
        <v>0</v>
      </c>
      <c r="W122" s="109">
        <v>1</v>
      </c>
      <c r="X122" s="111">
        <v>0</v>
      </c>
      <c r="Y122" s="111">
        <v>0</v>
      </c>
      <c r="Z122" s="111">
        <v>0</v>
      </c>
      <c r="AC122" s="110">
        <v>0</v>
      </c>
      <c r="AD122" s="109">
        <v>0</v>
      </c>
    </row>
    <row r="123" spans="1:30">
      <c r="A123" s="112" t="s">
        <v>1813</v>
      </c>
      <c r="B123" s="112" t="s">
        <v>1637</v>
      </c>
      <c r="C123" s="112" t="s">
        <v>774</v>
      </c>
      <c r="D123" s="112" t="s">
        <v>1477</v>
      </c>
      <c r="E123" s="112" t="s">
        <v>1468</v>
      </c>
      <c r="F123" s="112" t="s">
        <v>1637</v>
      </c>
      <c r="M123" s="112" t="s">
        <v>1651</v>
      </c>
      <c r="N123" s="112" t="s">
        <v>1416</v>
      </c>
      <c r="O123" s="108">
        <v>45175</v>
      </c>
      <c r="P123" s="108">
        <v>45184</v>
      </c>
      <c r="Q123" s="108">
        <v>45180</v>
      </c>
      <c r="R123" s="108">
        <v>45186</v>
      </c>
      <c r="S123" s="109">
        <v>38</v>
      </c>
      <c r="T123" s="109">
        <v>16</v>
      </c>
      <c r="U123" s="109">
        <v>5</v>
      </c>
      <c r="V123" s="110">
        <v>0</v>
      </c>
      <c r="W123" s="109">
        <v>1</v>
      </c>
      <c r="X123" s="111">
        <v>0</v>
      </c>
      <c r="Y123" s="111">
        <v>0</v>
      </c>
      <c r="Z123" s="111">
        <v>0</v>
      </c>
      <c r="AC123" s="110">
        <v>0</v>
      </c>
      <c r="AD123" s="109">
        <v>0</v>
      </c>
    </row>
    <row r="124" spans="1:30">
      <c r="A124" s="112" t="s">
        <v>1813</v>
      </c>
      <c r="B124" s="112" t="s">
        <v>1473</v>
      </c>
      <c r="C124" s="112" t="s">
        <v>774</v>
      </c>
      <c r="D124" s="112" t="s">
        <v>1477</v>
      </c>
      <c r="E124" s="112" t="s">
        <v>1471</v>
      </c>
      <c r="F124" s="112" t="s">
        <v>1473</v>
      </c>
      <c r="M124" s="112" t="s">
        <v>1657</v>
      </c>
      <c r="N124" s="112" t="s">
        <v>1416</v>
      </c>
      <c r="O124" s="108">
        <v>45175</v>
      </c>
      <c r="P124" s="108">
        <v>45184</v>
      </c>
      <c r="Q124" s="108">
        <v>45173</v>
      </c>
      <c r="R124" s="108">
        <v>45179</v>
      </c>
      <c r="S124" s="109">
        <v>37</v>
      </c>
      <c r="T124" s="109">
        <v>15</v>
      </c>
      <c r="U124" s="109">
        <v>3</v>
      </c>
      <c r="V124" s="110">
        <v>0</v>
      </c>
      <c r="W124" s="109">
        <v>1</v>
      </c>
      <c r="X124" s="111">
        <v>0</v>
      </c>
      <c r="Y124" s="111">
        <v>0</v>
      </c>
      <c r="Z124" s="111">
        <v>0</v>
      </c>
      <c r="AC124" s="110">
        <v>0</v>
      </c>
      <c r="AD124" s="109">
        <v>0</v>
      </c>
    </row>
    <row r="125" spans="1:30">
      <c r="A125" s="112" t="s">
        <v>1813</v>
      </c>
      <c r="B125" s="112" t="s">
        <v>1473</v>
      </c>
      <c r="C125" s="112" t="s">
        <v>774</v>
      </c>
      <c r="D125" s="112" t="s">
        <v>1477</v>
      </c>
      <c r="E125" s="112" t="s">
        <v>1471</v>
      </c>
      <c r="F125" s="112" t="s">
        <v>1473</v>
      </c>
      <c r="M125" s="112" t="s">
        <v>1657</v>
      </c>
      <c r="N125" s="112" t="s">
        <v>1416</v>
      </c>
      <c r="O125" s="108">
        <v>45175</v>
      </c>
      <c r="P125" s="108">
        <v>45184</v>
      </c>
      <c r="Q125" s="108">
        <v>45180</v>
      </c>
      <c r="R125" s="108">
        <v>45186</v>
      </c>
      <c r="S125" s="109">
        <v>38</v>
      </c>
      <c r="T125" s="109">
        <v>16</v>
      </c>
      <c r="U125" s="109">
        <v>5</v>
      </c>
      <c r="V125" s="110">
        <v>0</v>
      </c>
      <c r="W125" s="109">
        <v>1</v>
      </c>
      <c r="X125" s="111">
        <v>0</v>
      </c>
      <c r="Y125" s="111">
        <v>0</v>
      </c>
      <c r="Z125" s="111">
        <v>0</v>
      </c>
      <c r="AC125" s="110">
        <v>0</v>
      </c>
      <c r="AD125" s="109">
        <v>0</v>
      </c>
    </row>
    <row r="126" spans="1:30">
      <c r="A126" s="112" t="s">
        <v>1813</v>
      </c>
      <c r="B126" s="112" t="s">
        <v>1652</v>
      </c>
      <c r="C126" s="112" t="s">
        <v>774</v>
      </c>
      <c r="D126" s="112" t="s">
        <v>1477</v>
      </c>
      <c r="E126" s="112" t="s">
        <v>1471</v>
      </c>
      <c r="F126" s="112" t="s">
        <v>1652</v>
      </c>
      <c r="M126" s="112" t="s">
        <v>1658</v>
      </c>
      <c r="N126" s="112" t="s">
        <v>1416</v>
      </c>
      <c r="O126" s="108">
        <v>45175</v>
      </c>
      <c r="P126" s="108">
        <v>45184</v>
      </c>
      <c r="Q126" s="108">
        <v>45173</v>
      </c>
      <c r="R126" s="108">
        <v>45179</v>
      </c>
      <c r="S126" s="109">
        <v>37</v>
      </c>
      <c r="T126" s="109">
        <v>15</v>
      </c>
      <c r="U126" s="109">
        <v>3</v>
      </c>
      <c r="V126" s="110">
        <v>0</v>
      </c>
      <c r="W126" s="109">
        <v>1</v>
      </c>
      <c r="X126" s="111">
        <v>0</v>
      </c>
      <c r="Y126" s="111">
        <v>0</v>
      </c>
      <c r="Z126" s="111">
        <v>0</v>
      </c>
      <c r="AC126" s="110">
        <v>0</v>
      </c>
      <c r="AD126" s="109">
        <v>0</v>
      </c>
    </row>
    <row r="127" spans="1:30">
      <c r="A127" s="112" t="s">
        <v>1813</v>
      </c>
      <c r="B127" s="112" t="s">
        <v>1652</v>
      </c>
      <c r="C127" s="112" t="s">
        <v>774</v>
      </c>
      <c r="D127" s="112" t="s">
        <v>1477</v>
      </c>
      <c r="E127" s="112" t="s">
        <v>1471</v>
      </c>
      <c r="F127" s="112" t="s">
        <v>1652</v>
      </c>
      <c r="M127" s="112" t="s">
        <v>1658</v>
      </c>
      <c r="N127" s="112" t="s">
        <v>1416</v>
      </c>
      <c r="O127" s="108">
        <v>45175</v>
      </c>
      <c r="P127" s="108">
        <v>45184</v>
      </c>
      <c r="Q127" s="108">
        <v>45180</v>
      </c>
      <c r="R127" s="108">
        <v>45186</v>
      </c>
      <c r="S127" s="109">
        <v>38</v>
      </c>
      <c r="T127" s="109">
        <v>16</v>
      </c>
      <c r="U127" s="109">
        <v>5</v>
      </c>
      <c r="V127" s="110">
        <v>0</v>
      </c>
      <c r="W127" s="109">
        <v>1</v>
      </c>
      <c r="X127" s="111">
        <v>0</v>
      </c>
      <c r="Y127" s="111">
        <v>0</v>
      </c>
      <c r="Z127" s="111">
        <v>0</v>
      </c>
      <c r="AC127" s="110">
        <v>0</v>
      </c>
      <c r="AD127" s="109">
        <v>0</v>
      </c>
    </row>
    <row r="128" spans="1:30">
      <c r="A128" s="112" t="s">
        <v>1813</v>
      </c>
      <c r="B128" s="112" t="s">
        <v>1653</v>
      </c>
      <c r="C128" s="112" t="s">
        <v>774</v>
      </c>
      <c r="D128" s="112" t="s">
        <v>1477</v>
      </c>
      <c r="E128" s="112" t="s">
        <v>1471</v>
      </c>
      <c r="F128" s="112" t="s">
        <v>1653</v>
      </c>
      <c r="M128" s="112" t="s">
        <v>1659</v>
      </c>
      <c r="N128" s="112" t="s">
        <v>1416</v>
      </c>
      <c r="O128" s="108">
        <v>45175</v>
      </c>
      <c r="P128" s="108">
        <v>45184</v>
      </c>
      <c r="Q128" s="108">
        <v>45173</v>
      </c>
      <c r="R128" s="108">
        <v>45179</v>
      </c>
      <c r="S128" s="109">
        <v>37</v>
      </c>
      <c r="T128" s="109">
        <v>15</v>
      </c>
      <c r="U128" s="109">
        <v>3</v>
      </c>
      <c r="V128" s="110">
        <v>0</v>
      </c>
      <c r="W128" s="109">
        <v>1</v>
      </c>
      <c r="X128" s="111">
        <v>0</v>
      </c>
      <c r="Y128" s="111">
        <v>0</v>
      </c>
      <c r="Z128" s="111">
        <v>0</v>
      </c>
      <c r="AC128" s="110">
        <v>0</v>
      </c>
      <c r="AD128" s="109">
        <v>0</v>
      </c>
    </row>
    <row r="129" spans="1:30">
      <c r="A129" s="112" t="s">
        <v>1813</v>
      </c>
      <c r="B129" s="112" t="s">
        <v>1653</v>
      </c>
      <c r="C129" s="112" t="s">
        <v>774</v>
      </c>
      <c r="D129" s="112" t="s">
        <v>1477</v>
      </c>
      <c r="E129" s="112" t="s">
        <v>1471</v>
      </c>
      <c r="F129" s="112" t="s">
        <v>1653</v>
      </c>
      <c r="M129" s="112" t="s">
        <v>1659</v>
      </c>
      <c r="N129" s="112" t="s">
        <v>1416</v>
      </c>
      <c r="O129" s="108">
        <v>45175</v>
      </c>
      <c r="P129" s="108">
        <v>45184</v>
      </c>
      <c r="Q129" s="108">
        <v>45180</v>
      </c>
      <c r="R129" s="108">
        <v>45186</v>
      </c>
      <c r="S129" s="109">
        <v>38</v>
      </c>
      <c r="T129" s="109">
        <v>16</v>
      </c>
      <c r="U129" s="109">
        <v>5</v>
      </c>
      <c r="V129" s="110">
        <v>0</v>
      </c>
      <c r="W129" s="109">
        <v>1</v>
      </c>
      <c r="X129" s="111">
        <v>0</v>
      </c>
      <c r="Y129" s="111">
        <v>0</v>
      </c>
      <c r="Z129" s="111">
        <v>0</v>
      </c>
      <c r="AC129" s="110">
        <v>0</v>
      </c>
      <c r="AD129" s="109">
        <v>0</v>
      </c>
    </row>
    <row r="130" spans="1:30">
      <c r="A130" s="112" t="s">
        <v>1813</v>
      </c>
      <c r="B130" s="112" t="s">
        <v>1654</v>
      </c>
      <c r="C130" s="112" t="s">
        <v>774</v>
      </c>
      <c r="D130" s="112" t="s">
        <v>1477</v>
      </c>
      <c r="E130" s="112" t="s">
        <v>1471</v>
      </c>
      <c r="F130" s="112" t="s">
        <v>1654</v>
      </c>
      <c r="M130" s="112" t="s">
        <v>1651</v>
      </c>
      <c r="N130" s="112" t="s">
        <v>1416</v>
      </c>
      <c r="O130" s="108">
        <v>45175</v>
      </c>
      <c r="P130" s="108">
        <v>45184</v>
      </c>
      <c r="Q130" s="108">
        <v>45173</v>
      </c>
      <c r="R130" s="108">
        <v>45179</v>
      </c>
      <c r="S130" s="109">
        <v>37</v>
      </c>
      <c r="T130" s="109">
        <v>15</v>
      </c>
      <c r="U130" s="109">
        <v>3</v>
      </c>
      <c r="V130" s="110">
        <v>0</v>
      </c>
      <c r="W130" s="109">
        <v>1</v>
      </c>
      <c r="X130" s="111">
        <v>0</v>
      </c>
      <c r="Y130" s="111">
        <v>0</v>
      </c>
      <c r="Z130" s="111">
        <v>0</v>
      </c>
      <c r="AC130" s="110">
        <v>0</v>
      </c>
      <c r="AD130" s="109">
        <v>0</v>
      </c>
    </row>
    <row r="131" spans="1:30">
      <c r="A131" s="112" t="s">
        <v>1813</v>
      </c>
      <c r="B131" s="112" t="s">
        <v>1654</v>
      </c>
      <c r="C131" s="112" t="s">
        <v>774</v>
      </c>
      <c r="D131" s="112" t="s">
        <v>1477</v>
      </c>
      <c r="E131" s="112" t="s">
        <v>1471</v>
      </c>
      <c r="F131" s="112" t="s">
        <v>1654</v>
      </c>
      <c r="M131" s="112" t="s">
        <v>1651</v>
      </c>
      <c r="N131" s="112" t="s">
        <v>1416</v>
      </c>
      <c r="O131" s="108">
        <v>45175</v>
      </c>
      <c r="P131" s="108">
        <v>45184</v>
      </c>
      <c r="Q131" s="108">
        <v>45180</v>
      </c>
      <c r="R131" s="108">
        <v>45186</v>
      </c>
      <c r="S131" s="109">
        <v>38</v>
      </c>
      <c r="T131" s="109">
        <v>16</v>
      </c>
      <c r="U131" s="109">
        <v>5</v>
      </c>
      <c r="V131" s="110">
        <v>0</v>
      </c>
      <c r="W131" s="109">
        <v>1</v>
      </c>
      <c r="X131" s="111">
        <v>0</v>
      </c>
      <c r="Y131" s="111">
        <v>0</v>
      </c>
      <c r="Z131" s="111">
        <v>0</v>
      </c>
      <c r="AC131" s="110">
        <v>0</v>
      </c>
      <c r="AD131" s="109">
        <v>0</v>
      </c>
    </row>
    <row r="132" spans="1:30">
      <c r="A132" s="112" t="s">
        <v>1813</v>
      </c>
      <c r="B132" s="112" t="s">
        <v>1656</v>
      </c>
      <c r="C132" s="112" t="s">
        <v>774</v>
      </c>
      <c r="D132" s="112" t="s">
        <v>1477</v>
      </c>
      <c r="E132" s="112" t="s">
        <v>1655</v>
      </c>
      <c r="F132" s="112" t="s">
        <v>1656</v>
      </c>
      <c r="M132" s="112" t="s">
        <v>1662</v>
      </c>
      <c r="N132" s="112" t="s">
        <v>1416</v>
      </c>
      <c r="O132" s="108">
        <v>45193</v>
      </c>
      <c r="P132" s="108">
        <v>45201</v>
      </c>
      <c r="Q132" s="108">
        <v>45187</v>
      </c>
      <c r="R132" s="108">
        <v>45193</v>
      </c>
      <c r="S132" s="109">
        <v>39</v>
      </c>
      <c r="T132" s="109">
        <v>17</v>
      </c>
      <c r="U132" s="109">
        <v>0</v>
      </c>
      <c r="V132" s="110">
        <v>0</v>
      </c>
      <c r="W132" s="109">
        <v>1</v>
      </c>
      <c r="X132" s="111">
        <v>0</v>
      </c>
      <c r="Y132" s="111">
        <v>0</v>
      </c>
      <c r="Z132" s="111">
        <v>0</v>
      </c>
      <c r="AC132" s="110">
        <v>0</v>
      </c>
      <c r="AD132" s="109">
        <v>0</v>
      </c>
    </row>
    <row r="133" spans="1:30">
      <c r="A133" s="112" t="s">
        <v>1813</v>
      </c>
      <c r="B133" s="112" t="s">
        <v>1656</v>
      </c>
      <c r="C133" s="112" t="s">
        <v>774</v>
      </c>
      <c r="D133" s="112" t="s">
        <v>1477</v>
      </c>
      <c r="E133" s="112" t="s">
        <v>1655</v>
      </c>
      <c r="F133" s="112" t="s">
        <v>1656</v>
      </c>
      <c r="M133" s="112" t="s">
        <v>1662</v>
      </c>
      <c r="N133" s="112" t="s">
        <v>1416</v>
      </c>
      <c r="O133" s="108">
        <v>45193</v>
      </c>
      <c r="P133" s="108">
        <v>45201</v>
      </c>
      <c r="Q133" s="108">
        <v>45194</v>
      </c>
      <c r="R133" s="108">
        <v>45200</v>
      </c>
      <c r="S133" s="109">
        <v>40</v>
      </c>
      <c r="T133" s="109">
        <v>18</v>
      </c>
      <c r="U133" s="109">
        <v>3</v>
      </c>
      <c r="V133" s="110">
        <v>0</v>
      </c>
      <c r="W133" s="109">
        <v>1</v>
      </c>
      <c r="X133" s="111">
        <v>0</v>
      </c>
      <c r="Y133" s="111">
        <v>0</v>
      </c>
      <c r="Z133" s="111">
        <v>0</v>
      </c>
      <c r="AC133" s="110">
        <v>0</v>
      </c>
      <c r="AD133" s="109">
        <v>0</v>
      </c>
    </row>
    <row r="134" spans="1:30">
      <c r="A134" s="112" t="s">
        <v>1813</v>
      </c>
      <c r="B134" s="112" t="s">
        <v>1656</v>
      </c>
      <c r="C134" s="112" t="s">
        <v>774</v>
      </c>
      <c r="D134" s="112" t="s">
        <v>1477</v>
      </c>
      <c r="E134" s="112" t="s">
        <v>1655</v>
      </c>
      <c r="F134" s="112" t="s">
        <v>1656</v>
      </c>
      <c r="M134" s="112" t="s">
        <v>1662</v>
      </c>
      <c r="N134" s="112" t="s">
        <v>1416</v>
      </c>
      <c r="O134" s="108">
        <v>45193</v>
      </c>
      <c r="P134" s="108">
        <v>45201</v>
      </c>
      <c r="Q134" s="108">
        <v>45201</v>
      </c>
      <c r="R134" s="108">
        <v>45207</v>
      </c>
      <c r="S134" s="109">
        <v>41</v>
      </c>
      <c r="T134" s="109">
        <v>19</v>
      </c>
      <c r="U134" s="109">
        <v>1</v>
      </c>
      <c r="V134" s="110">
        <v>0</v>
      </c>
      <c r="W134" s="109">
        <v>1</v>
      </c>
      <c r="X134" s="111">
        <v>0</v>
      </c>
      <c r="Y134" s="111">
        <v>0</v>
      </c>
      <c r="Z134" s="111">
        <v>0</v>
      </c>
      <c r="AC134" s="110">
        <v>0</v>
      </c>
      <c r="AD134" s="109">
        <v>0</v>
      </c>
    </row>
    <row r="135" spans="1:30">
      <c r="A135" s="112" t="s">
        <v>1813</v>
      </c>
      <c r="B135" s="112" t="s">
        <v>1660</v>
      </c>
      <c r="C135" s="112" t="s">
        <v>774</v>
      </c>
      <c r="D135" s="112" t="s">
        <v>1477</v>
      </c>
      <c r="E135" s="112" t="s">
        <v>1655</v>
      </c>
      <c r="F135" s="112" t="s">
        <v>1660</v>
      </c>
      <c r="M135" s="112" t="s">
        <v>1663</v>
      </c>
      <c r="N135" s="112" t="s">
        <v>1416</v>
      </c>
      <c r="O135" s="108">
        <v>45194</v>
      </c>
      <c r="P135" s="108">
        <v>45201</v>
      </c>
      <c r="Q135" s="108">
        <v>45194</v>
      </c>
      <c r="R135" s="108">
        <v>45200</v>
      </c>
      <c r="S135" s="109">
        <v>40</v>
      </c>
      <c r="T135" s="109">
        <v>18</v>
      </c>
      <c r="U135" s="109">
        <v>3</v>
      </c>
      <c r="V135" s="110">
        <v>0</v>
      </c>
      <c r="W135" s="109">
        <v>1</v>
      </c>
      <c r="X135" s="111">
        <v>0</v>
      </c>
      <c r="Y135" s="111">
        <v>0</v>
      </c>
      <c r="Z135" s="111">
        <v>0</v>
      </c>
      <c r="AC135" s="110">
        <v>0</v>
      </c>
      <c r="AD135" s="109">
        <v>0</v>
      </c>
    </row>
    <row r="136" spans="1:30">
      <c r="A136" s="112" t="s">
        <v>1813</v>
      </c>
      <c r="B136" s="112" t="s">
        <v>1660</v>
      </c>
      <c r="C136" s="112" t="s">
        <v>774</v>
      </c>
      <c r="D136" s="112" t="s">
        <v>1477</v>
      </c>
      <c r="E136" s="112" t="s">
        <v>1655</v>
      </c>
      <c r="F136" s="112" t="s">
        <v>1660</v>
      </c>
      <c r="M136" s="112" t="s">
        <v>1663</v>
      </c>
      <c r="N136" s="112" t="s">
        <v>1416</v>
      </c>
      <c r="O136" s="108">
        <v>45194</v>
      </c>
      <c r="P136" s="108">
        <v>45201</v>
      </c>
      <c r="Q136" s="108">
        <v>45201</v>
      </c>
      <c r="R136" s="108">
        <v>45207</v>
      </c>
      <c r="S136" s="109">
        <v>41</v>
      </c>
      <c r="T136" s="109">
        <v>19</v>
      </c>
      <c r="U136" s="109">
        <v>1</v>
      </c>
      <c r="V136" s="110">
        <v>0</v>
      </c>
      <c r="W136" s="109">
        <v>1</v>
      </c>
      <c r="X136" s="111">
        <v>0</v>
      </c>
      <c r="Y136" s="111">
        <v>0</v>
      </c>
      <c r="Z136" s="111">
        <v>0</v>
      </c>
      <c r="AC136" s="110">
        <v>0</v>
      </c>
      <c r="AD136" s="109">
        <v>0</v>
      </c>
    </row>
    <row r="137" spans="1:30">
      <c r="A137" s="112" t="s">
        <v>1483</v>
      </c>
      <c r="B137" s="112" t="s">
        <v>1667</v>
      </c>
      <c r="C137" s="112" t="s">
        <v>774</v>
      </c>
      <c r="D137" s="112" t="s">
        <v>1477</v>
      </c>
      <c r="E137" s="112" t="s">
        <v>1655</v>
      </c>
      <c r="F137" s="112" t="s">
        <v>1661</v>
      </c>
      <c r="G137" s="112" t="s">
        <v>1667</v>
      </c>
      <c r="M137" s="112" t="s">
        <v>1671</v>
      </c>
      <c r="N137" s="112" t="s">
        <v>1416</v>
      </c>
      <c r="O137" s="108">
        <v>45196</v>
      </c>
      <c r="P137" s="108">
        <v>45201</v>
      </c>
      <c r="Q137" s="108">
        <v>45194</v>
      </c>
      <c r="R137" s="108">
        <v>45200</v>
      </c>
      <c r="S137" s="109">
        <v>40</v>
      </c>
      <c r="T137" s="109">
        <v>18</v>
      </c>
      <c r="U137" s="109">
        <v>1</v>
      </c>
      <c r="V137" s="110">
        <v>0</v>
      </c>
      <c r="W137" s="109">
        <v>1</v>
      </c>
      <c r="X137" s="111">
        <v>0</v>
      </c>
      <c r="Y137" s="111">
        <v>0</v>
      </c>
      <c r="Z137" s="111">
        <v>0</v>
      </c>
      <c r="AC137" s="110">
        <v>0</v>
      </c>
      <c r="AD137" s="109">
        <v>0</v>
      </c>
    </row>
    <row r="138" spans="1:30">
      <c r="A138" s="112" t="s">
        <v>1483</v>
      </c>
      <c r="B138" s="112" t="s">
        <v>1667</v>
      </c>
      <c r="C138" s="112" t="s">
        <v>774</v>
      </c>
      <c r="D138" s="112" t="s">
        <v>1477</v>
      </c>
      <c r="E138" s="112" t="s">
        <v>1655</v>
      </c>
      <c r="F138" s="112" t="s">
        <v>1661</v>
      </c>
      <c r="G138" s="112" t="s">
        <v>1667</v>
      </c>
      <c r="M138" s="112" t="s">
        <v>1671</v>
      </c>
      <c r="N138" s="112" t="s">
        <v>1416</v>
      </c>
      <c r="O138" s="108">
        <v>45196</v>
      </c>
      <c r="P138" s="108">
        <v>45201</v>
      </c>
      <c r="Q138" s="108">
        <v>45201</v>
      </c>
      <c r="R138" s="108">
        <v>45207</v>
      </c>
      <c r="S138" s="109">
        <v>41</v>
      </c>
      <c r="T138" s="109">
        <v>19</v>
      </c>
      <c r="U138" s="109">
        <v>1</v>
      </c>
      <c r="V138" s="110">
        <v>0</v>
      </c>
      <c r="W138" s="109">
        <v>1</v>
      </c>
      <c r="X138" s="111">
        <v>0</v>
      </c>
      <c r="Y138" s="111">
        <v>0</v>
      </c>
      <c r="Z138" s="111">
        <v>0</v>
      </c>
      <c r="AC138" s="110">
        <v>0</v>
      </c>
      <c r="AD138" s="109">
        <v>0</v>
      </c>
    </row>
    <row r="139" spans="1:30">
      <c r="A139" s="112" t="s">
        <v>1483</v>
      </c>
      <c r="B139" s="112" t="s">
        <v>1668</v>
      </c>
      <c r="C139" s="112" t="s">
        <v>774</v>
      </c>
      <c r="D139" s="112" t="s">
        <v>1477</v>
      </c>
      <c r="E139" s="112" t="s">
        <v>1655</v>
      </c>
      <c r="F139" s="112" t="s">
        <v>1661</v>
      </c>
      <c r="G139" s="112" t="s">
        <v>1668</v>
      </c>
      <c r="M139" s="112" t="s">
        <v>1664</v>
      </c>
      <c r="N139" s="112" t="s">
        <v>1416</v>
      </c>
      <c r="O139" s="108">
        <v>45197</v>
      </c>
      <c r="P139" s="108">
        <v>45212</v>
      </c>
      <c r="Q139" s="108">
        <v>45194</v>
      </c>
      <c r="R139" s="108">
        <v>45200</v>
      </c>
      <c r="S139" s="109">
        <v>40</v>
      </c>
      <c r="T139" s="109">
        <v>18</v>
      </c>
      <c r="U139" s="109">
        <v>0</v>
      </c>
      <c r="V139" s="110">
        <v>0</v>
      </c>
      <c r="W139" s="109">
        <v>1</v>
      </c>
      <c r="X139" s="111">
        <v>0</v>
      </c>
      <c r="Y139" s="111">
        <v>0</v>
      </c>
      <c r="Z139" s="111">
        <v>0</v>
      </c>
      <c r="AC139" s="110">
        <v>0</v>
      </c>
      <c r="AD139" s="109">
        <v>0</v>
      </c>
    </row>
    <row r="140" spans="1:30">
      <c r="A140" s="112" t="s">
        <v>1483</v>
      </c>
      <c r="B140" s="112" t="s">
        <v>1668</v>
      </c>
      <c r="C140" s="112" t="s">
        <v>774</v>
      </c>
      <c r="D140" s="112" t="s">
        <v>1477</v>
      </c>
      <c r="E140" s="112" t="s">
        <v>1655</v>
      </c>
      <c r="F140" s="112" t="s">
        <v>1661</v>
      </c>
      <c r="G140" s="112" t="s">
        <v>1668</v>
      </c>
      <c r="M140" s="112" t="s">
        <v>1664</v>
      </c>
      <c r="N140" s="112" t="s">
        <v>1416</v>
      </c>
      <c r="O140" s="108">
        <v>45197</v>
      </c>
      <c r="P140" s="108">
        <v>45212</v>
      </c>
      <c r="Q140" s="108">
        <v>45201</v>
      </c>
      <c r="R140" s="108">
        <v>45207</v>
      </c>
      <c r="S140" s="109">
        <v>41</v>
      </c>
      <c r="T140" s="109">
        <v>19</v>
      </c>
      <c r="U140" s="109">
        <v>4</v>
      </c>
      <c r="V140" s="110">
        <v>0</v>
      </c>
      <c r="W140" s="109">
        <v>1</v>
      </c>
      <c r="X140" s="111">
        <v>0</v>
      </c>
      <c r="Y140" s="111">
        <v>0</v>
      </c>
      <c r="Z140" s="111">
        <v>0</v>
      </c>
      <c r="AC140" s="110">
        <v>0</v>
      </c>
      <c r="AD140" s="109">
        <v>0</v>
      </c>
    </row>
    <row r="141" spans="1:30">
      <c r="A141" s="112" t="s">
        <v>1483</v>
      </c>
      <c r="B141" s="112" t="s">
        <v>1668</v>
      </c>
      <c r="C141" s="112" t="s">
        <v>774</v>
      </c>
      <c r="D141" s="112" t="s">
        <v>1477</v>
      </c>
      <c r="E141" s="112" t="s">
        <v>1655</v>
      </c>
      <c r="F141" s="112" t="s">
        <v>1661</v>
      </c>
      <c r="G141" s="112" t="s">
        <v>1668</v>
      </c>
      <c r="M141" s="112" t="s">
        <v>1664</v>
      </c>
      <c r="N141" s="112" t="s">
        <v>1416</v>
      </c>
      <c r="O141" s="108">
        <v>45197</v>
      </c>
      <c r="P141" s="108">
        <v>45212</v>
      </c>
      <c r="Q141" s="108">
        <v>45208</v>
      </c>
      <c r="R141" s="108">
        <v>45214</v>
      </c>
      <c r="S141" s="109">
        <v>42</v>
      </c>
      <c r="T141" s="109">
        <v>20</v>
      </c>
      <c r="U141" s="109">
        <v>4</v>
      </c>
      <c r="V141" s="110">
        <v>0</v>
      </c>
      <c r="W141" s="109">
        <v>1</v>
      </c>
      <c r="X141" s="111">
        <v>0</v>
      </c>
      <c r="Y141" s="111">
        <v>0</v>
      </c>
      <c r="Z141" s="111">
        <v>0</v>
      </c>
      <c r="AC141" s="110">
        <v>0</v>
      </c>
      <c r="AD141" s="109">
        <v>0</v>
      </c>
    </row>
    <row r="142" spans="1:30">
      <c r="A142" s="112" t="s">
        <v>1483</v>
      </c>
      <c r="B142" s="112" t="s">
        <v>1669</v>
      </c>
      <c r="C142" s="112" t="s">
        <v>774</v>
      </c>
      <c r="D142" s="112" t="s">
        <v>1477</v>
      </c>
      <c r="E142" s="112" t="s">
        <v>1655</v>
      </c>
      <c r="F142" s="112" t="s">
        <v>1661</v>
      </c>
      <c r="G142" s="112" t="s">
        <v>1669</v>
      </c>
      <c r="M142" s="112" t="s">
        <v>1665</v>
      </c>
      <c r="N142" s="112" t="s">
        <v>1416</v>
      </c>
      <c r="O142" s="108">
        <v>45198</v>
      </c>
      <c r="P142" s="108">
        <v>45212</v>
      </c>
      <c r="Q142" s="108">
        <v>45194</v>
      </c>
      <c r="R142" s="108">
        <v>45200</v>
      </c>
      <c r="S142" s="109">
        <v>40</v>
      </c>
      <c r="T142" s="109">
        <v>18</v>
      </c>
      <c r="U142" s="109">
        <v>0</v>
      </c>
      <c r="V142" s="110">
        <v>0</v>
      </c>
      <c r="W142" s="109">
        <v>1</v>
      </c>
      <c r="X142" s="111">
        <v>0</v>
      </c>
      <c r="Y142" s="111">
        <v>0</v>
      </c>
      <c r="Z142" s="111">
        <v>0</v>
      </c>
      <c r="AC142" s="110">
        <v>0</v>
      </c>
      <c r="AD142" s="109">
        <v>0</v>
      </c>
    </row>
    <row r="143" spans="1:30">
      <c r="A143" s="112" t="s">
        <v>1483</v>
      </c>
      <c r="B143" s="112" t="s">
        <v>1669</v>
      </c>
      <c r="C143" s="112" t="s">
        <v>774</v>
      </c>
      <c r="D143" s="112" t="s">
        <v>1477</v>
      </c>
      <c r="E143" s="112" t="s">
        <v>1655</v>
      </c>
      <c r="F143" s="112" t="s">
        <v>1661</v>
      </c>
      <c r="G143" s="112" t="s">
        <v>1669</v>
      </c>
      <c r="M143" s="112" t="s">
        <v>1665</v>
      </c>
      <c r="N143" s="112" t="s">
        <v>1416</v>
      </c>
      <c r="O143" s="108">
        <v>45198</v>
      </c>
      <c r="P143" s="108">
        <v>45212</v>
      </c>
      <c r="Q143" s="108">
        <v>45201</v>
      </c>
      <c r="R143" s="108">
        <v>45207</v>
      </c>
      <c r="S143" s="109">
        <v>41</v>
      </c>
      <c r="T143" s="109">
        <v>19</v>
      </c>
      <c r="U143" s="109">
        <v>4</v>
      </c>
      <c r="V143" s="110">
        <v>0</v>
      </c>
      <c r="W143" s="109">
        <v>1</v>
      </c>
      <c r="X143" s="111">
        <v>0</v>
      </c>
      <c r="Y143" s="111">
        <v>0</v>
      </c>
      <c r="Z143" s="111">
        <v>0</v>
      </c>
      <c r="AC143" s="110">
        <v>0</v>
      </c>
      <c r="AD143" s="109">
        <v>0</v>
      </c>
    </row>
    <row r="144" spans="1:30">
      <c r="A144" s="112" t="s">
        <v>1483</v>
      </c>
      <c r="B144" s="112" t="s">
        <v>1669</v>
      </c>
      <c r="C144" s="112" t="s">
        <v>774</v>
      </c>
      <c r="D144" s="112" t="s">
        <v>1477</v>
      </c>
      <c r="E144" s="112" t="s">
        <v>1655</v>
      </c>
      <c r="F144" s="112" t="s">
        <v>1661</v>
      </c>
      <c r="G144" s="112" t="s">
        <v>1669</v>
      </c>
      <c r="M144" s="112" t="s">
        <v>1665</v>
      </c>
      <c r="N144" s="112" t="s">
        <v>1416</v>
      </c>
      <c r="O144" s="108">
        <v>45198</v>
      </c>
      <c r="P144" s="108">
        <v>45212</v>
      </c>
      <c r="Q144" s="108">
        <v>45208</v>
      </c>
      <c r="R144" s="108">
        <v>45214</v>
      </c>
      <c r="S144" s="109">
        <v>42</v>
      </c>
      <c r="T144" s="109">
        <v>20</v>
      </c>
      <c r="U144" s="109">
        <v>4</v>
      </c>
      <c r="V144" s="110">
        <v>0</v>
      </c>
      <c r="W144" s="109">
        <v>1</v>
      </c>
      <c r="X144" s="111">
        <v>0</v>
      </c>
      <c r="Y144" s="111">
        <v>0</v>
      </c>
      <c r="Z144" s="111">
        <v>0</v>
      </c>
      <c r="AC144" s="110">
        <v>0</v>
      </c>
      <c r="AD144" s="109">
        <v>0</v>
      </c>
    </row>
    <row r="145" spans="1:30">
      <c r="A145" s="112" t="s">
        <v>1483</v>
      </c>
      <c r="B145" s="112" t="s">
        <v>1670</v>
      </c>
      <c r="C145" s="112" t="s">
        <v>774</v>
      </c>
      <c r="D145" s="112" t="s">
        <v>1477</v>
      </c>
      <c r="E145" s="112" t="s">
        <v>1655</v>
      </c>
      <c r="F145" s="112" t="s">
        <v>1661</v>
      </c>
      <c r="G145" s="112" t="s">
        <v>1670</v>
      </c>
      <c r="M145" s="112" t="s">
        <v>1666</v>
      </c>
      <c r="N145" s="112" t="s">
        <v>1416</v>
      </c>
      <c r="O145" s="108">
        <v>45199</v>
      </c>
      <c r="P145" s="108">
        <v>45212</v>
      </c>
      <c r="Q145" s="108">
        <v>45194</v>
      </c>
      <c r="R145" s="108">
        <v>45200</v>
      </c>
      <c r="S145" s="109">
        <v>40</v>
      </c>
      <c r="T145" s="109">
        <v>18</v>
      </c>
      <c r="U145" s="109">
        <v>0</v>
      </c>
      <c r="V145" s="110">
        <v>0</v>
      </c>
      <c r="W145" s="109">
        <v>1</v>
      </c>
      <c r="X145" s="111">
        <v>0</v>
      </c>
      <c r="Y145" s="111">
        <v>0</v>
      </c>
      <c r="Z145" s="111">
        <v>0</v>
      </c>
      <c r="AC145" s="110">
        <v>0</v>
      </c>
      <c r="AD145" s="109">
        <v>0</v>
      </c>
    </row>
    <row r="146" spans="1:30">
      <c r="A146" s="112" t="s">
        <v>1483</v>
      </c>
      <c r="B146" s="112" t="s">
        <v>1670</v>
      </c>
      <c r="C146" s="112" t="s">
        <v>774</v>
      </c>
      <c r="D146" s="112" t="s">
        <v>1477</v>
      </c>
      <c r="E146" s="112" t="s">
        <v>1655</v>
      </c>
      <c r="F146" s="112" t="s">
        <v>1661</v>
      </c>
      <c r="G146" s="112" t="s">
        <v>1670</v>
      </c>
      <c r="M146" s="112" t="s">
        <v>1666</v>
      </c>
      <c r="N146" s="112" t="s">
        <v>1416</v>
      </c>
      <c r="O146" s="108">
        <v>45199</v>
      </c>
      <c r="P146" s="108">
        <v>45212</v>
      </c>
      <c r="Q146" s="108">
        <v>45201</v>
      </c>
      <c r="R146" s="108">
        <v>45207</v>
      </c>
      <c r="S146" s="109">
        <v>41</v>
      </c>
      <c r="T146" s="109">
        <v>19</v>
      </c>
      <c r="U146" s="109">
        <v>4</v>
      </c>
      <c r="V146" s="110">
        <v>0</v>
      </c>
      <c r="W146" s="109">
        <v>1</v>
      </c>
      <c r="X146" s="111">
        <v>0</v>
      </c>
      <c r="Y146" s="111">
        <v>0</v>
      </c>
      <c r="Z146" s="111">
        <v>0</v>
      </c>
      <c r="AC146" s="110">
        <v>0</v>
      </c>
      <c r="AD146" s="109">
        <v>0</v>
      </c>
    </row>
    <row r="147" spans="1:30">
      <c r="A147" s="112" t="s">
        <v>1483</v>
      </c>
      <c r="B147" s="112" t="s">
        <v>1670</v>
      </c>
      <c r="C147" s="112" t="s">
        <v>774</v>
      </c>
      <c r="D147" s="112" t="s">
        <v>1477</v>
      </c>
      <c r="E147" s="112" t="s">
        <v>1655</v>
      </c>
      <c r="F147" s="112" t="s">
        <v>1661</v>
      </c>
      <c r="G147" s="112" t="s">
        <v>1670</v>
      </c>
      <c r="M147" s="112" t="s">
        <v>1666</v>
      </c>
      <c r="N147" s="112" t="s">
        <v>1416</v>
      </c>
      <c r="O147" s="108">
        <v>45199</v>
      </c>
      <c r="P147" s="108">
        <v>45212</v>
      </c>
      <c r="Q147" s="108">
        <v>45208</v>
      </c>
      <c r="R147" s="108">
        <v>45214</v>
      </c>
      <c r="S147" s="109">
        <v>42</v>
      </c>
      <c r="T147" s="109">
        <v>20</v>
      </c>
      <c r="U147" s="109">
        <v>4</v>
      </c>
      <c r="V147" s="110">
        <v>0</v>
      </c>
      <c r="W147" s="109">
        <v>1</v>
      </c>
      <c r="X147" s="111">
        <v>0</v>
      </c>
      <c r="Y147" s="111">
        <v>0</v>
      </c>
      <c r="Z147" s="111">
        <v>0</v>
      </c>
      <c r="AC147" s="110">
        <v>0</v>
      </c>
      <c r="AD147" s="109">
        <v>0</v>
      </c>
    </row>
    <row r="148" spans="1:30">
      <c r="A148" s="112" t="s">
        <v>1483</v>
      </c>
      <c r="B148" s="112" t="s">
        <v>1672</v>
      </c>
      <c r="C148" s="112" t="s">
        <v>774</v>
      </c>
      <c r="D148" s="112" t="s">
        <v>1477</v>
      </c>
      <c r="E148" s="112" t="s">
        <v>1655</v>
      </c>
      <c r="F148" s="112" t="s">
        <v>1661</v>
      </c>
      <c r="G148" s="112" t="s">
        <v>1672</v>
      </c>
      <c r="M148" s="112" t="s">
        <v>1676</v>
      </c>
      <c r="N148" s="112" t="s">
        <v>1416</v>
      </c>
      <c r="O148" s="108">
        <v>45200</v>
      </c>
      <c r="P148" s="108">
        <v>45215</v>
      </c>
      <c r="Q148" s="108">
        <v>45194</v>
      </c>
      <c r="R148" s="108">
        <v>45200</v>
      </c>
      <c r="S148" s="109">
        <v>40</v>
      </c>
      <c r="T148" s="109">
        <v>18</v>
      </c>
      <c r="U148" s="109">
        <v>0</v>
      </c>
      <c r="V148" s="110">
        <v>0</v>
      </c>
      <c r="W148" s="109">
        <v>1</v>
      </c>
      <c r="X148" s="111">
        <v>0</v>
      </c>
      <c r="Y148" s="111">
        <v>0</v>
      </c>
      <c r="Z148" s="111">
        <v>0</v>
      </c>
      <c r="AC148" s="110">
        <v>0</v>
      </c>
      <c r="AD148" s="109">
        <v>0</v>
      </c>
    </row>
    <row r="149" spans="1:30">
      <c r="A149" s="112" t="s">
        <v>1483</v>
      </c>
      <c r="B149" s="112" t="s">
        <v>1672</v>
      </c>
      <c r="C149" s="112" t="s">
        <v>774</v>
      </c>
      <c r="D149" s="112" t="s">
        <v>1477</v>
      </c>
      <c r="E149" s="112" t="s">
        <v>1655</v>
      </c>
      <c r="F149" s="112" t="s">
        <v>1661</v>
      </c>
      <c r="G149" s="112" t="s">
        <v>1672</v>
      </c>
      <c r="M149" s="112" t="s">
        <v>1676</v>
      </c>
      <c r="N149" s="112" t="s">
        <v>1416</v>
      </c>
      <c r="O149" s="108">
        <v>45200</v>
      </c>
      <c r="P149" s="108">
        <v>45215</v>
      </c>
      <c r="Q149" s="108">
        <v>45201</v>
      </c>
      <c r="R149" s="108">
        <v>45207</v>
      </c>
      <c r="S149" s="109">
        <v>41</v>
      </c>
      <c r="T149" s="109">
        <v>19</v>
      </c>
      <c r="U149" s="109">
        <v>4</v>
      </c>
      <c r="V149" s="110">
        <v>0</v>
      </c>
      <c r="W149" s="109">
        <v>1</v>
      </c>
      <c r="X149" s="111">
        <v>0</v>
      </c>
      <c r="Y149" s="111">
        <v>0</v>
      </c>
      <c r="Z149" s="111">
        <v>0</v>
      </c>
      <c r="AC149" s="110">
        <v>0</v>
      </c>
      <c r="AD149" s="109">
        <v>0</v>
      </c>
    </row>
    <row r="150" spans="1:30">
      <c r="A150" s="112" t="s">
        <v>1483</v>
      </c>
      <c r="B150" s="112" t="s">
        <v>1672</v>
      </c>
      <c r="C150" s="112" t="s">
        <v>774</v>
      </c>
      <c r="D150" s="112" t="s">
        <v>1477</v>
      </c>
      <c r="E150" s="112" t="s">
        <v>1655</v>
      </c>
      <c r="F150" s="112" t="s">
        <v>1661</v>
      </c>
      <c r="G150" s="112" t="s">
        <v>1672</v>
      </c>
      <c r="M150" s="112" t="s">
        <v>1676</v>
      </c>
      <c r="N150" s="112" t="s">
        <v>1416</v>
      </c>
      <c r="O150" s="108">
        <v>45200</v>
      </c>
      <c r="P150" s="108">
        <v>45215</v>
      </c>
      <c r="Q150" s="108">
        <v>45208</v>
      </c>
      <c r="R150" s="108">
        <v>45214</v>
      </c>
      <c r="S150" s="109">
        <v>42</v>
      </c>
      <c r="T150" s="109">
        <v>20</v>
      </c>
      <c r="U150" s="109">
        <v>4</v>
      </c>
      <c r="V150" s="110">
        <v>0</v>
      </c>
      <c r="W150" s="109">
        <v>1</v>
      </c>
      <c r="X150" s="111">
        <v>0</v>
      </c>
      <c r="Y150" s="111">
        <v>0</v>
      </c>
      <c r="Z150" s="111">
        <v>0</v>
      </c>
      <c r="AC150" s="110">
        <v>0</v>
      </c>
      <c r="AD150" s="109">
        <v>0</v>
      </c>
    </row>
    <row r="151" spans="1:30">
      <c r="A151" s="112" t="s">
        <v>1483</v>
      </c>
      <c r="B151" s="112" t="s">
        <v>1672</v>
      </c>
      <c r="C151" s="112" t="s">
        <v>774</v>
      </c>
      <c r="D151" s="112" t="s">
        <v>1477</v>
      </c>
      <c r="E151" s="112" t="s">
        <v>1655</v>
      </c>
      <c r="F151" s="112" t="s">
        <v>1661</v>
      </c>
      <c r="G151" s="112" t="s">
        <v>1672</v>
      </c>
      <c r="M151" s="112" t="s">
        <v>1676</v>
      </c>
      <c r="N151" s="112" t="s">
        <v>1416</v>
      </c>
      <c r="O151" s="108">
        <v>45200</v>
      </c>
      <c r="P151" s="108">
        <v>45215</v>
      </c>
      <c r="Q151" s="108">
        <v>45215</v>
      </c>
      <c r="R151" s="108">
        <v>45221</v>
      </c>
      <c r="S151" s="109">
        <v>43</v>
      </c>
      <c r="T151" s="109">
        <v>21</v>
      </c>
      <c r="U151" s="109">
        <v>1</v>
      </c>
      <c r="V151" s="110">
        <v>0</v>
      </c>
      <c r="W151" s="109">
        <v>1</v>
      </c>
      <c r="X151" s="111">
        <v>0</v>
      </c>
      <c r="Y151" s="111">
        <v>0</v>
      </c>
      <c r="Z151" s="111">
        <v>0</v>
      </c>
      <c r="AC151" s="110">
        <v>0</v>
      </c>
      <c r="AD151" s="109">
        <v>0</v>
      </c>
    </row>
    <row r="152" spans="1:30">
      <c r="A152" s="112" t="s">
        <v>1483</v>
      </c>
      <c r="B152" s="112" t="s">
        <v>1673</v>
      </c>
      <c r="C152" s="112" t="s">
        <v>774</v>
      </c>
      <c r="D152" s="112" t="s">
        <v>1477</v>
      </c>
      <c r="E152" s="112" t="s">
        <v>1655</v>
      </c>
      <c r="F152" s="112" t="s">
        <v>1661</v>
      </c>
      <c r="G152" s="112" t="s">
        <v>1673</v>
      </c>
      <c r="M152" s="112" t="s">
        <v>1677</v>
      </c>
      <c r="N152" s="112" t="s">
        <v>1416</v>
      </c>
      <c r="O152" s="108">
        <v>45201</v>
      </c>
      <c r="P152" s="108">
        <v>45226</v>
      </c>
      <c r="Q152" s="108">
        <v>45201</v>
      </c>
      <c r="R152" s="108">
        <v>45207</v>
      </c>
      <c r="S152" s="109">
        <v>41</v>
      </c>
      <c r="T152" s="109">
        <v>19</v>
      </c>
      <c r="U152" s="109">
        <v>4</v>
      </c>
      <c r="V152" s="110">
        <v>0</v>
      </c>
      <c r="W152" s="109">
        <v>1</v>
      </c>
      <c r="X152" s="111">
        <v>0</v>
      </c>
      <c r="Y152" s="111">
        <v>0</v>
      </c>
      <c r="Z152" s="111">
        <v>0</v>
      </c>
      <c r="AC152" s="110">
        <v>0</v>
      </c>
      <c r="AD152" s="109">
        <v>0</v>
      </c>
    </row>
    <row r="153" spans="1:30">
      <c r="A153" s="112" t="s">
        <v>1483</v>
      </c>
      <c r="B153" s="112" t="s">
        <v>1673</v>
      </c>
      <c r="C153" s="112" t="s">
        <v>774</v>
      </c>
      <c r="D153" s="112" t="s">
        <v>1477</v>
      </c>
      <c r="E153" s="112" t="s">
        <v>1655</v>
      </c>
      <c r="F153" s="112" t="s">
        <v>1661</v>
      </c>
      <c r="G153" s="112" t="s">
        <v>1673</v>
      </c>
      <c r="M153" s="112" t="s">
        <v>1677</v>
      </c>
      <c r="N153" s="112" t="s">
        <v>1416</v>
      </c>
      <c r="O153" s="108">
        <v>45201</v>
      </c>
      <c r="P153" s="108">
        <v>45226</v>
      </c>
      <c r="Q153" s="108">
        <v>45208</v>
      </c>
      <c r="R153" s="108">
        <v>45214</v>
      </c>
      <c r="S153" s="109">
        <v>42</v>
      </c>
      <c r="T153" s="109">
        <v>20</v>
      </c>
      <c r="U153" s="109">
        <v>4</v>
      </c>
      <c r="V153" s="110">
        <v>0</v>
      </c>
      <c r="W153" s="109">
        <v>1</v>
      </c>
      <c r="X153" s="111">
        <v>0</v>
      </c>
      <c r="Y153" s="111">
        <v>0</v>
      </c>
      <c r="Z153" s="111">
        <v>0</v>
      </c>
      <c r="AC153" s="110">
        <v>0</v>
      </c>
      <c r="AD153" s="109">
        <v>0</v>
      </c>
    </row>
    <row r="154" spans="1:30">
      <c r="A154" s="112" t="s">
        <v>1483</v>
      </c>
      <c r="B154" s="112" t="s">
        <v>1673</v>
      </c>
      <c r="C154" s="112" t="s">
        <v>774</v>
      </c>
      <c r="D154" s="112" t="s">
        <v>1477</v>
      </c>
      <c r="E154" s="112" t="s">
        <v>1655</v>
      </c>
      <c r="F154" s="112" t="s">
        <v>1661</v>
      </c>
      <c r="G154" s="112" t="s">
        <v>1673</v>
      </c>
      <c r="M154" s="112" t="s">
        <v>1677</v>
      </c>
      <c r="N154" s="112" t="s">
        <v>1416</v>
      </c>
      <c r="O154" s="108">
        <v>45201</v>
      </c>
      <c r="P154" s="108">
        <v>45226</v>
      </c>
      <c r="Q154" s="108">
        <v>45215</v>
      </c>
      <c r="R154" s="108">
        <v>45221</v>
      </c>
      <c r="S154" s="109">
        <v>43</v>
      </c>
      <c r="T154" s="109">
        <v>21</v>
      </c>
      <c r="U154" s="109">
        <v>5</v>
      </c>
      <c r="V154" s="110">
        <v>0</v>
      </c>
      <c r="W154" s="109">
        <v>1</v>
      </c>
      <c r="X154" s="111">
        <v>0</v>
      </c>
      <c r="Y154" s="111">
        <v>0</v>
      </c>
      <c r="Z154" s="111">
        <v>0</v>
      </c>
      <c r="AC154" s="110">
        <v>0</v>
      </c>
      <c r="AD154" s="109">
        <v>0</v>
      </c>
    </row>
    <row r="155" spans="1:30">
      <c r="A155" s="112" t="s">
        <v>1483</v>
      </c>
      <c r="B155" s="112" t="s">
        <v>1673</v>
      </c>
      <c r="C155" s="112" t="s">
        <v>774</v>
      </c>
      <c r="D155" s="112" t="s">
        <v>1477</v>
      </c>
      <c r="E155" s="112" t="s">
        <v>1655</v>
      </c>
      <c r="F155" s="112" t="s">
        <v>1661</v>
      </c>
      <c r="G155" s="112" t="s">
        <v>1673</v>
      </c>
      <c r="M155" s="112" t="s">
        <v>1677</v>
      </c>
      <c r="N155" s="112" t="s">
        <v>1416</v>
      </c>
      <c r="O155" s="108">
        <v>45201</v>
      </c>
      <c r="P155" s="108">
        <v>45226</v>
      </c>
      <c r="Q155" s="108">
        <v>45222</v>
      </c>
      <c r="R155" s="108">
        <v>45228</v>
      </c>
      <c r="S155" s="109">
        <v>44</v>
      </c>
      <c r="T155" s="109">
        <v>22</v>
      </c>
      <c r="U155" s="109">
        <v>5</v>
      </c>
      <c r="V155" s="110">
        <v>0</v>
      </c>
      <c r="W155" s="109">
        <v>1</v>
      </c>
      <c r="X155" s="111">
        <v>0</v>
      </c>
      <c r="Y155" s="111">
        <v>0</v>
      </c>
      <c r="Z155" s="111">
        <v>0</v>
      </c>
      <c r="AC155" s="110">
        <v>0</v>
      </c>
      <c r="AD155" s="109">
        <v>0</v>
      </c>
    </row>
    <row r="156" spans="1:30">
      <c r="A156" s="112" t="s">
        <v>1483</v>
      </c>
      <c r="B156" s="112" t="s">
        <v>1674</v>
      </c>
      <c r="C156" s="112" t="s">
        <v>774</v>
      </c>
      <c r="D156" s="112" t="s">
        <v>1477</v>
      </c>
      <c r="E156" s="112" t="s">
        <v>1655</v>
      </c>
      <c r="F156" s="112" t="s">
        <v>1661</v>
      </c>
      <c r="G156" s="112" t="s">
        <v>1674</v>
      </c>
      <c r="M156" s="112" t="s">
        <v>1678</v>
      </c>
      <c r="N156" s="112" t="s">
        <v>1416</v>
      </c>
      <c r="O156" s="108">
        <v>45202</v>
      </c>
      <c r="P156" s="108">
        <v>45226</v>
      </c>
      <c r="Q156" s="108">
        <v>45201</v>
      </c>
      <c r="R156" s="108">
        <v>45207</v>
      </c>
      <c r="S156" s="109">
        <v>41</v>
      </c>
      <c r="T156" s="109">
        <v>19</v>
      </c>
      <c r="U156" s="109">
        <v>3</v>
      </c>
      <c r="V156" s="110">
        <v>0</v>
      </c>
      <c r="W156" s="109">
        <v>1</v>
      </c>
      <c r="X156" s="111">
        <v>0</v>
      </c>
      <c r="Y156" s="111">
        <v>0</v>
      </c>
      <c r="Z156" s="111">
        <v>0</v>
      </c>
      <c r="AC156" s="110">
        <v>0</v>
      </c>
      <c r="AD156" s="109">
        <v>0</v>
      </c>
    </row>
    <row r="157" spans="1:30">
      <c r="A157" s="112" t="s">
        <v>1483</v>
      </c>
      <c r="B157" s="112" t="s">
        <v>1674</v>
      </c>
      <c r="C157" s="112" t="s">
        <v>774</v>
      </c>
      <c r="D157" s="112" t="s">
        <v>1477</v>
      </c>
      <c r="E157" s="112" t="s">
        <v>1655</v>
      </c>
      <c r="F157" s="112" t="s">
        <v>1661</v>
      </c>
      <c r="G157" s="112" t="s">
        <v>1674</v>
      </c>
      <c r="M157" s="112" t="s">
        <v>1678</v>
      </c>
      <c r="N157" s="112" t="s">
        <v>1416</v>
      </c>
      <c r="O157" s="108">
        <v>45202</v>
      </c>
      <c r="P157" s="108">
        <v>45226</v>
      </c>
      <c r="Q157" s="108">
        <v>45208</v>
      </c>
      <c r="R157" s="108">
        <v>45214</v>
      </c>
      <c r="S157" s="109">
        <v>42</v>
      </c>
      <c r="T157" s="109">
        <v>20</v>
      </c>
      <c r="U157" s="109">
        <v>4</v>
      </c>
      <c r="V157" s="110">
        <v>0</v>
      </c>
      <c r="W157" s="109">
        <v>1</v>
      </c>
      <c r="X157" s="111">
        <v>0</v>
      </c>
      <c r="Y157" s="111">
        <v>0</v>
      </c>
      <c r="Z157" s="111">
        <v>0</v>
      </c>
      <c r="AC157" s="110">
        <v>0</v>
      </c>
      <c r="AD157" s="109">
        <v>0</v>
      </c>
    </row>
    <row r="158" spans="1:30">
      <c r="A158" s="112" t="s">
        <v>1483</v>
      </c>
      <c r="B158" s="112" t="s">
        <v>1674</v>
      </c>
      <c r="C158" s="112" t="s">
        <v>774</v>
      </c>
      <c r="D158" s="112" t="s">
        <v>1477</v>
      </c>
      <c r="E158" s="112" t="s">
        <v>1655</v>
      </c>
      <c r="F158" s="112" t="s">
        <v>1661</v>
      </c>
      <c r="G158" s="112" t="s">
        <v>1674</v>
      </c>
      <c r="M158" s="112" t="s">
        <v>1678</v>
      </c>
      <c r="N158" s="112" t="s">
        <v>1416</v>
      </c>
      <c r="O158" s="108">
        <v>45202</v>
      </c>
      <c r="P158" s="108">
        <v>45226</v>
      </c>
      <c r="Q158" s="108">
        <v>45215</v>
      </c>
      <c r="R158" s="108">
        <v>45221</v>
      </c>
      <c r="S158" s="109">
        <v>43</v>
      </c>
      <c r="T158" s="109">
        <v>21</v>
      </c>
      <c r="U158" s="109">
        <v>5</v>
      </c>
      <c r="V158" s="110">
        <v>0</v>
      </c>
      <c r="W158" s="109">
        <v>1</v>
      </c>
      <c r="X158" s="111">
        <v>0</v>
      </c>
      <c r="Y158" s="111">
        <v>0</v>
      </c>
      <c r="Z158" s="111">
        <v>0</v>
      </c>
      <c r="AC158" s="110">
        <v>0</v>
      </c>
      <c r="AD158" s="109">
        <v>0</v>
      </c>
    </row>
    <row r="159" spans="1:30">
      <c r="A159" s="112" t="s">
        <v>1483</v>
      </c>
      <c r="B159" s="112" t="s">
        <v>1674</v>
      </c>
      <c r="C159" s="112" t="s">
        <v>774</v>
      </c>
      <c r="D159" s="112" t="s">
        <v>1477</v>
      </c>
      <c r="E159" s="112" t="s">
        <v>1655</v>
      </c>
      <c r="F159" s="112" t="s">
        <v>1661</v>
      </c>
      <c r="G159" s="112" t="s">
        <v>1674</v>
      </c>
      <c r="M159" s="112" t="s">
        <v>1678</v>
      </c>
      <c r="N159" s="112" t="s">
        <v>1416</v>
      </c>
      <c r="O159" s="108">
        <v>45202</v>
      </c>
      <c r="P159" s="108">
        <v>45226</v>
      </c>
      <c r="Q159" s="108">
        <v>45222</v>
      </c>
      <c r="R159" s="108">
        <v>45228</v>
      </c>
      <c r="S159" s="109">
        <v>44</v>
      </c>
      <c r="T159" s="109">
        <v>22</v>
      </c>
      <c r="U159" s="109">
        <v>5</v>
      </c>
      <c r="V159" s="110">
        <v>0</v>
      </c>
      <c r="W159" s="109">
        <v>1</v>
      </c>
      <c r="X159" s="111">
        <v>0</v>
      </c>
      <c r="Y159" s="111">
        <v>0</v>
      </c>
      <c r="Z159" s="111">
        <v>0</v>
      </c>
      <c r="AC159" s="110">
        <v>0</v>
      </c>
      <c r="AD159" s="109">
        <v>0</v>
      </c>
    </row>
    <row r="160" spans="1:30">
      <c r="A160" s="112" t="s">
        <v>1483</v>
      </c>
      <c r="B160" s="112" t="s">
        <v>1675</v>
      </c>
      <c r="C160" s="112" t="s">
        <v>774</v>
      </c>
      <c r="D160" s="112" t="s">
        <v>1477</v>
      </c>
      <c r="E160" s="112" t="s">
        <v>1655</v>
      </c>
      <c r="F160" s="112" t="s">
        <v>1661</v>
      </c>
      <c r="G160" s="112" t="s">
        <v>1675</v>
      </c>
      <c r="M160" s="112" t="s">
        <v>1679</v>
      </c>
      <c r="N160" s="112" t="s">
        <v>1416</v>
      </c>
      <c r="O160" s="108">
        <v>45203</v>
      </c>
      <c r="P160" s="108">
        <v>45226</v>
      </c>
      <c r="Q160" s="108">
        <v>45201</v>
      </c>
      <c r="R160" s="108">
        <v>45207</v>
      </c>
      <c r="S160" s="109">
        <v>41</v>
      </c>
      <c r="T160" s="109">
        <v>19</v>
      </c>
      <c r="U160" s="109">
        <v>3</v>
      </c>
      <c r="V160" s="110">
        <v>0</v>
      </c>
      <c r="W160" s="109">
        <v>1</v>
      </c>
      <c r="X160" s="111">
        <v>0</v>
      </c>
      <c r="Y160" s="111">
        <v>0</v>
      </c>
      <c r="Z160" s="111">
        <v>0</v>
      </c>
      <c r="AC160" s="110">
        <v>0</v>
      </c>
      <c r="AD160" s="109">
        <v>0</v>
      </c>
    </row>
    <row r="161" spans="1:30">
      <c r="A161" s="112" t="s">
        <v>1483</v>
      </c>
      <c r="B161" s="112" t="s">
        <v>1675</v>
      </c>
      <c r="C161" s="112" t="s">
        <v>774</v>
      </c>
      <c r="D161" s="112" t="s">
        <v>1477</v>
      </c>
      <c r="E161" s="112" t="s">
        <v>1655</v>
      </c>
      <c r="F161" s="112" t="s">
        <v>1661</v>
      </c>
      <c r="G161" s="112" t="s">
        <v>1675</v>
      </c>
      <c r="M161" s="112" t="s">
        <v>1679</v>
      </c>
      <c r="N161" s="112" t="s">
        <v>1416</v>
      </c>
      <c r="O161" s="108">
        <v>45203</v>
      </c>
      <c r="P161" s="108">
        <v>45226</v>
      </c>
      <c r="Q161" s="108">
        <v>45208</v>
      </c>
      <c r="R161" s="108">
        <v>45214</v>
      </c>
      <c r="S161" s="109">
        <v>42</v>
      </c>
      <c r="T161" s="109">
        <v>20</v>
      </c>
      <c r="U161" s="109">
        <v>4</v>
      </c>
      <c r="V161" s="110">
        <v>0</v>
      </c>
      <c r="W161" s="109">
        <v>1</v>
      </c>
      <c r="X161" s="111">
        <v>0</v>
      </c>
      <c r="Y161" s="111">
        <v>0</v>
      </c>
      <c r="Z161" s="111">
        <v>0</v>
      </c>
      <c r="AC161" s="110">
        <v>0</v>
      </c>
      <c r="AD161" s="109">
        <v>0</v>
      </c>
    </row>
    <row r="162" spans="1:30">
      <c r="A162" s="112" t="s">
        <v>1483</v>
      </c>
      <c r="B162" s="112" t="s">
        <v>1675</v>
      </c>
      <c r="C162" s="112" t="s">
        <v>774</v>
      </c>
      <c r="D162" s="112" t="s">
        <v>1477</v>
      </c>
      <c r="E162" s="112" t="s">
        <v>1655</v>
      </c>
      <c r="F162" s="112" t="s">
        <v>1661</v>
      </c>
      <c r="G162" s="112" t="s">
        <v>1675</v>
      </c>
      <c r="M162" s="112" t="s">
        <v>1679</v>
      </c>
      <c r="N162" s="112" t="s">
        <v>1416</v>
      </c>
      <c r="O162" s="108">
        <v>45203</v>
      </c>
      <c r="P162" s="108">
        <v>45226</v>
      </c>
      <c r="Q162" s="108">
        <v>45215</v>
      </c>
      <c r="R162" s="108">
        <v>45221</v>
      </c>
      <c r="S162" s="109">
        <v>43</v>
      </c>
      <c r="T162" s="109">
        <v>21</v>
      </c>
      <c r="U162" s="109">
        <v>5</v>
      </c>
      <c r="V162" s="110">
        <v>0</v>
      </c>
      <c r="W162" s="109">
        <v>1</v>
      </c>
      <c r="X162" s="111">
        <v>0</v>
      </c>
      <c r="Y162" s="111">
        <v>0</v>
      </c>
      <c r="Z162" s="111">
        <v>0</v>
      </c>
      <c r="AC162" s="110">
        <v>0</v>
      </c>
      <c r="AD162" s="109">
        <v>0</v>
      </c>
    </row>
    <row r="163" spans="1:30">
      <c r="A163" s="112" t="s">
        <v>1483</v>
      </c>
      <c r="B163" s="112" t="s">
        <v>1675</v>
      </c>
      <c r="C163" s="112" t="s">
        <v>774</v>
      </c>
      <c r="D163" s="112" t="s">
        <v>1477</v>
      </c>
      <c r="E163" s="112" t="s">
        <v>1655</v>
      </c>
      <c r="F163" s="112" t="s">
        <v>1661</v>
      </c>
      <c r="G163" s="112" t="s">
        <v>1675</v>
      </c>
      <c r="M163" s="112" t="s">
        <v>1679</v>
      </c>
      <c r="N163" s="112" t="s">
        <v>1416</v>
      </c>
      <c r="O163" s="108">
        <v>45203</v>
      </c>
      <c r="P163" s="108">
        <v>45226</v>
      </c>
      <c r="Q163" s="108">
        <v>45222</v>
      </c>
      <c r="R163" s="108">
        <v>45228</v>
      </c>
      <c r="S163" s="109">
        <v>44</v>
      </c>
      <c r="T163" s="109">
        <v>22</v>
      </c>
      <c r="U163" s="109">
        <v>5</v>
      </c>
      <c r="V163" s="110">
        <v>0</v>
      </c>
      <c r="W163" s="109">
        <v>1</v>
      </c>
      <c r="X163" s="111">
        <v>0</v>
      </c>
      <c r="Y163" s="111">
        <v>0</v>
      </c>
      <c r="Z163" s="111">
        <v>0</v>
      </c>
      <c r="AC163" s="110">
        <v>0</v>
      </c>
      <c r="AD163" s="109">
        <v>0</v>
      </c>
    </row>
    <row r="164" spans="1:30">
      <c r="A164" s="112" t="s">
        <v>1483</v>
      </c>
      <c r="B164" s="112" t="s">
        <v>1688</v>
      </c>
      <c r="C164" s="112" t="s">
        <v>774</v>
      </c>
      <c r="D164" s="112" t="s">
        <v>1634</v>
      </c>
      <c r="E164" s="112" t="s">
        <v>1627</v>
      </c>
      <c r="F164" s="112" t="s">
        <v>1687</v>
      </c>
      <c r="G164" s="112" t="s">
        <v>1688</v>
      </c>
      <c r="M164" s="112" t="s">
        <v>1690</v>
      </c>
      <c r="N164" s="112" t="s">
        <v>1416</v>
      </c>
      <c r="O164" s="108">
        <v>45187</v>
      </c>
      <c r="P164" s="108">
        <v>45191</v>
      </c>
      <c r="Q164" s="108">
        <v>45187</v>
      </c>
      <c r="R164" s="108">
        <v>45193</v>
      </c>
      <c r="S164" s="109">
        <v>39</v>
      </c>
      <c r="T164" s="109">
        <v>17</v>
      </c>
      <c r="U164" s="109">
        <v>5</v>
      </c>
      <c r="V164" s="110">
        <v>0</v>
      </c>
      <c r="W164" s="109">
        <v>1</v>
      </c>
      <c r="X164" s="111">
        <v>0</v>
      </c>
      <c r="Y164" s="111">
        <v>0</v>
      </c>
      <c r="Z164" s="111">
        <v>0</v>
      </c>
      <c r="AC164" s="110">
        <v>0</v>
      </c>
      <c r="AD164" s="109">
        <v>0</v>
      </c>
    </row>
    <row r="165" spans="1:30">
      <c r="A165" s="112" t="s">
        <v>1483</v>
      </c>
      <c r="B165" s="112" t="s">
        <v>1689</v>
      </c>
      <c r="C165" s="112" t="s">
        <v>774</v>
      </c>
      <c r="D165" s="112" t="s">
        <v>1634</v>
      </c>
      <c r="E165" s="112" t="s">
        <v>1627</v>
      </c>
      <c r="F165" s="112" t="s">
        <v>1687</v>
      </c>
      <c r="G165" s="112" t="s">
        <v>1689</v>
      </c>
      <c r="M165" s="112" t="s">
        <v>1691</v>
      </c>
      <c r="N165" s="112" t="s">
        <v>1416</v>
      </c>
      <c r="O165" s="108">
        <v>45187</v>
      </c>
      <c r="P165" s="108">
        <v>45191</v>
      </c>
      <c r="Q165" s="108">
        <v>45187</v>
      </c>
      <c r="R165" s="108">
        <v>45193</v>
      </c>
      <c r="S165" s="109">
        <v>39</v>
      </c>
      <c r="T165" s="109">
        <v>17</v>
      </c>
      <c r="U165" s="109">
        <v>5</v>
      </c>
      <c r="V165" s="110">
        <v>0</v>
      </c>
      <c r="W165" s="109">
        <v>1</v>
      </c>
      <c r="X165" s="111">
        <v>0</v>
      </c>
      <c r="Y165" s="111">
        <v>0</v>
      </c>
      <c r="Z165" s="111">
        <v>0</v>
      </c>
      <c r="AC165" s="110">
        <v>0</v>
      </c>
      <c r="AD165" s="109">
        <v>0</v>
      </c>
    </row>
    <row r="166" spans="1:30">
      <c r="A166" s="112" t="s">
        <v>1483</v>
      </c>
      <c r="B166" s="112" t="s">
        <v>1681</v>
      </c>
      <c r="C166" s="112" t="s">
        <v>774</v>
      </c>
      <c r="D166" s="112" t="s">
        <v>1634</v>
      </c>
      <c r="E166" s="112" t="s">
        <v>1628</v>
      </c>
      <c r="F166" s="112" t="s">
        <v>1629</v>
      </c>
      <c r="G166" s="112" t="s">
        <v>1681</v>
      </c>
      <c r="M166" s="112" t="s">
        <v>1693</v>
      </c>
      <c r="N166" s="112" t="s">
        <v>1416</v>
      </c>
      <c r="O166" s="108">
        <v>45170</v>
      </c>
      <c r="P166" s="108">
        <v>45173</v>
      </c>
      <c r="Q166" s="108">
        <v>45166</v>
      </c>
      <c r="R166" s="108">
        <v>45172</v>
      </c>
      <c r="S166" s="109">
        <v>36</v>
      </c>
      <c r="T166" s="109">
        <v>14</v>
      </c>
      <c r="U166" s="109">
        <v>1</v>
      </c>
      <c r="V166" s="110">
        <v>0</v>
      </c>
      <c r="W166" s="109">
        <v>1</v>
      </c>
      <c r="X166" s="111">
        <v>0</v>
      </c>
      <c r="Y166" s="111">
        <v>0</v>
      </c>
      <c r="Z166" s="111">
        <v>0</v>
      </c>
      <c r="AC166" s="110">
        <v>0</v>
      </c>
      <c r="AD166" s="109">
        <v>0</v>
      </c>
    </row>
    <row r="167" spans="1:30">
      <c r="A167" s="112" t="s">
        <v>1483</v>
      </c>
      <c r="B167" s="112" t="s">
        <v>1681</v>
      </c>
      <c r="C167" s="112" t="s">
        <v>774</v>
      </c>
      <c r="D167" s="112" t="s">
        <v>1634</v>
      </c>
      <c r="E167" s="112" t="s">
        <v>1628</v>
      </c>
      <c r="F167" s="112" t="s">
        <v>1629</v>
      </c>
      <c r="G167" s="112" t="s">
        <v>1681</v>
      </c>
      <c r="M167" s="112" t="s">
        <v>1693</v>
      </c>
      <c r="N167" s="112" t="s">
        <v>1416</v>
      </c>
      <c r="O167" s="108">
        <v>45170</v>
      </c>
      <c r="P167" s="108">
        <v>45173</v>
      </c>
      <c r="Q167" s="108">
        <v>45173</v>
      </c>
      <c r="R167" s="108">
        <v>45179</v>
      </c>
      <c r="S167" s="109">
        <v>37</v>
      </c>
      <c r="T167" s="109">
        <v>15</v>
      </c>
      <c r="U167" s="109">
        <v>1</v>
      </c>
      <c r="V167" s="110">
        <v>0</v>
      </c>
      <c r="W167" s="109">
        <v>1</v>
      </c>
      <c r="X167" s="111">
        <v>0</v>
      </c>
      <c r="Y167" s="111">
        <v>0</v>
      </c>
      <c r="Z167" s="111">
        <v>0</v>
      </c>
      <c r="AC167" s="110">
        <v>0</v>
      </c>
      <c r="AD167" s="109">
        <v>0</v>
      </c>
    </row>
    <row r="168" spans="1:30">
      <c r="A168" s="112" t="s">
        <v>1483</v>
      </c>
      <c r="B168" s="112" t="s">
        <v>1682</v>
      </c>
      <c r="C168" s="112" t="s">
        <v>774</v>
      </c>
      <c r="D168" s="112" t="s">
        <v>1634</v>
      </c>
      <c r="E168" s="112" t="s">
        <v>1628</v>
      </c>
      <c r="F168" s="112" t="s">
        <v>1629</v>
      </c>
      <c r="G168" s="112" t="s">
        <v>1682</v>
      </c>
      <c r="M168" s="112" t="s">
        <v>1518</v>
      </c>
      <c r="N168" s="112" t="s">
        <v>1416</v>
      </c>
      <c r="O168" s="108">
        <v>45170</v>
      </c>
      <c r="P168" s="108">
        <v>45173</v>
      </c>
      <c r="Q168" s="108">
        <v>45166</v>
      </c>
      <c r="R168" s="108">
        <v>45172</v>
      </c>
      <c r="S168" s="109">
        <v>36</v>
      </c>
      <c r="T168" s="109">
        <v>14</v>
      </c>
      <c r="U168" s="109">
        <v>1</v>
      </c>
      <c r="V168" s="110">
        <v>0</v>
      </c>
      <c r="W168" s="109">
        <v>1</v>
      </c>
      <c r="X168" s="111">
        <v>0</v>
      </c>
      <c r="Y168" s="111">
        <v>0</v>
      </c>
      <c r="Z168" s="111">
        <v>0</v>
      </c>
      <c r="AC168" s="110">
        <v>0</v>
      </c>
      <c r="AD168" s="109">
        <v>0</v>
      </c>
    </row>
    <row r="169" spans="1:30">
      <c r="A169" s="112" t="s">
        <v>1483</v>
      </c>
      <c r="B169" s="112" t="s">
        <v>1682</v>
      </c>
      <c r="C169" s="112" t="s">
        <v>774</v>
      </c>
      <c r="D169" s="112" t="s">
        <v>1634</v>
      </c>
      <c r="E169" s="112" t="s">
        <v>1628</v>
      </c>
      <c r="F169" s="112" t="s">
        <v>1629</v>
      </c>
      <c r="G169" s="112" t="s">
        <v>1682</v>
      </c>
      <c r="M169" s="112" t="s">
        <v>1518</v>
      </c>
      <c r="N169" s="112" t="s">
        <v>1416</v>
      </c>
      <c r="O169" s="108">
        <v>45170</v>
      </c>
      <c r="P169" s="108">
        <v>45173</v>
      </c>
      <c r="Q169" s="108">
        <v>45173</v>
      </c>
      <c r="R169" s="108">
        <v>45179</v>
      </c>
      <c r="S169" s="109">
        <v>37</v>
      </c>
      <c r="T169" s="109">
        <v>15</v>
      </c>
      <c r="U169" s="109">
        <v>1</v>
      </c>
      <c r="V169" s="110">
        <v>0</v>
      </c>
      <c r="W169" s="109">
        <v>1</v>
      </c>
      <c r="X169" s="111">
        <v>0</v>
      </c>
      <c r="Y169" s="111">
        <v>0</v>
      </c>
      <c r="Z169" s="111">
        <v>0</v>
      </c>
      <c r="AC169" s="110">
        <v>0</v>
      </c>
      <c r="AD169" s="109">
        <v>0</v>
      </c>
    </row>
    <row r="170" spans="1:30">
      <c r="A170" s="112" t="s">
        <v>1483</v>
      </c>
      <c r="B170" s="112" t="s">
        <v>1683</v>
      </c>
      <c r="C170" s="112" t="s">
        <v>774</v>
      </c>
      <c r="D170" s="112" t="s">
        <v>1634</v>
      </c>
      <c r="E170" s="112" t="s">
        <v>1628</v>
      </c>
      <c r="F170" s="112" t="s">
        <v>1629</v>
      </c>
      <c r="G170" s="112" t="s">
        <v>1683</v>
      </c>
      <c r="M170" s="112" t="s">
        <v>1697</v>
      </c>
      <c r="N170" s="112" t="s">
        <v>1416</v>
      </c>
      <c r="O170" s="108">
        <v>45170</v>
      </c>
      <c r="P170" s="108">
        <v>45173</v>
      </c>
      <c r="Q170" s="108">
        <v>45166</v>
      </c>
      <c r="R170" s="108">
        <v>45172</v>
      </c>
      <c r="S170" s="109">
        <v>36</v>
      </c>
      <c r="T170" s="109">
        <v>14</v>
      </c>
      <c r="U170" s="109">
        <v>1</v>
      </c>
      <c r="V170" s="110">
        <v>0</v>
      </c>
      <c r="W170" s="109">
        <v>1</v>
      </c>
      <c r="X170" s="111">
        <v>0</v>
      </c>
      <c r="Y170" s="111">
        <v>0</v>
      </c>
      <c r="Z170" s="111">
        <v>0</v>
      </c>
      <c r="AC170" s="110">
        <v>0</v>
      </c>
      <c r="AD170" s="109">
        <v>0</v>
      </c>
    </row>
    <row r="171" spans="1:30">
      <c r="A171" s="112" t="s">
        <v>1483</v>
      </c>
      <c r="B171" s="112" t="s">
        <v>1684</v>
      </c>
      <c r="C171" s="112" t="s">
        <v>774</v>
      </c>
      <c r="D171" s="112" t="s">
        <v>1634</v>
      </c>
      <c r="E171" s="112" t="s">
        <v>1628</v>
      </c>
      <c r="F171" s="112" t="s">
        <v>1630</v>
      </c>
      <c r="G171" s="112" t="s">
        <v>1684</v>
      </c>
      <c r="M171" s="112" t="s">
        <v>1646</v>
      </c>
      <c r="N171" s="112" t="s">
        <v>1416</v>
      </c>
      <c r="O171" s="108">
        <v>45170</v>
      </c>
      <c r="P171" s="108">
        <v>45173</v>
      </c>
      <c r="Q171" s="108">
        <v>45173</v>
      </c>
      <c r="R171" s="108">
        <v>45179</v>
      </c>
      <c r="S171" s="109">
        <v>37</v>
      </c>
      <c r="T171" s="109">
        <v>15</v>
      </c>
      <c r="U171" s="109">
        <v>1</v>
      </c>
      <c r="V171" s="110">
        <v>0</v>
      </c>
      <c r="W171" s="109">
        <v>1</v>
      </c>
      <c r="X171" s="111">
        <v>0</v>
      </c>
      <c r="Y171" s="111">
        <v>0</v>
      </c>
      <c r="Z171" s="111">
        <v>0</v>
      </c>
      <c r="AC171" s="110">
        <v>0</v>
      </c>
      <c r="AD171" s="109">
        <v>0</v>
      </c>
    </row>
    <row r="172" spans="1:30">
      <c r="A172" s="112" t="s">
        <v>1483</v>
      </c>
      <c r="B172" s="112" t="s">
        <v>1685</v>
      </c>
      <c r="C172" s="112" t="s">
        <v>774</v>
      </c>
      <c r="D172" s="112" t="s">
        <v>1634</v>
      </c>
      <c r="E172" s="112" t="s">
        <v>1628</v>
      </c>
      <c r="F172" s="112" t="s">
        <v>1630</v>
      </c>
      <c r="G172" s="112" t="s">
        <v>1685</v>
      </c>
      <c r="M172" s="112" t="s">
        <v>1903</v>
      </c>
      <c r="N172" s="112" t="s">
        <v>1416</v>
      </c>
      <c r="O172" s="108">
        <v>45170</v>
      </c>
      <c r="P172" s="108">
        <v>45173</v>
      </c>
      <c r="Q172" s="108">
        <v>45166</v>
      </c>
      <c r="R172" s="108">
        <v>45172</v>
      </c>
      <c r="S172" s="109">
        <v>36</v>
      </c>
      <c r="T172" s="109">
        <v>14</v>
      </c>
      <c r="U172" s="109">
        <v>1</v>
      </c>
      <c r="V172" s="110">
        <v>0</v>
      </c>
      <c r="W172" s="109">
        <v>1</v>
      </c>
      <c r="X172" s="111">
        <v>0</v>
      </c>
      <c r="Y172" s="111">
        <v>0</v>
      </c>
      <c r="Z172" s="111">
        <v>0</v>
      </c>
      <c r="AC172" s="110">
        <v>0</v>
      </c>
      <c r="AD172" s="109">
        <v>0</v>
      </c>
    </row>
    <row r="173" spans="1:30">
      <c r="A173" s="112" t="s">
        <v>1483</v>
      </c>
      <c r="B173" s="112" t="s">
        <v>1692</v>
      </c>
      <c r="C173" s="112" t="s">
        <v>774</v>
      </c>
      <c r="D173" s="112" t="s">
        <v>1634</v>
      </c>
      <c r="E173" s="112" t="s">
        <v>1628</v>
      </c>
      <c r="F173" s="112" t="s">
        <v>1631</v>
      </c>
      <c r="G173" s="112" t="s">
        <v>1692</v>
      </c>
      <c r="M173" s="112" t="s">
        <v>1713</v>
      </c>
      <c r="N173" s="112" t="s">
        <v>1416</v>
      </c>
      <c r="O173" s="108">
        <v>45229</v>
      </c>
      <c r="P173" s="108">
        <v>45230</v>
      </c>
      <c r="Q173" s="108">
        <v>45229</v>
      </c>
      <c r="R173" s="108">
        <v>45235</v>
      </c>
      <c r="S173" s="109">
        <v>45</v>
      </c>
      <c r="T173" s="109">
        <v>23</v>
      </c>
      <c r="U173" s="109">
        <v>2</v>
      </c>
      <c r="V173" s="110">
        <v>0</v>
      </c>
      <c r="W173" s="109">
        <v>1</v>
      </c>
      <c r="X173" s="111">
        <v>0</v>
      </c>
      <c r="Y173" s="111">
        <v>0</v>
      </c>
      <c r="Z173" s="111">
        <v>0</v>
      </c>
      <c r="AC173" s="110">
        <v>0</v>
      </c>
      <c r="AD173" s="109">
        <v>0</v>
      </c>
    </row>
    <row r="174" spans="1:30">
      <c r="A174" s="112" t="s">
        <v>1483</v>
      </c>
      <c r="B174" s="112" t="s">
        <v>1699</v>
      </c>
      <c r="C174" s="112" t="s">
        <v>774</v>
      </c>
      <c r="D174" s="112" t="s">
        <v>1634</v>
      </c>
      <c r="E174" s="112" t="s">
        <v>1628</v>
      </c>
      <c r="F174" s="112" t="s">
        <v>1631</v>
      </c>
      <c r="G174" s="112" t="s">
        <v>1699</v>
      </c>
      <c r="M174" s="112" t="s">
        <v>1694</v>
      </c>
      <c r="N174" s="112" t="s">
        <v>1416</v>
      </c>
      <c r="O174" s="108">
        <v>45229</v>
      </c>
      <c r="P174" s="108">
        <v>45230</v>
      </c>
      <c r="Q174" s="108">
        <v>45229</v>
      </c>
      <c r="R174" s="108">
        <v>45235</v>
      </c>
      <c r="S174" s="109">
        <v>45</v>
      </c>
      <c r="T174" s="109">
        <v>23</v>
      </c>
      <c r="U174" s="109">
        <v>2</v>
      </c>
      <c r="V174" s="110">
        <v>0</v>
      </c>
      <c r="W174" s="109">
        <v>1</v>
      </c>
      <c r="X174" s="111">
        <v>0</v>
      </c>
      <c r="Y174" s="111">
        <v>0</v>
      </c>
      <c r="Z174" s="111">
        <v>0</v>
      </c>
      <c r="AC174" s="110">
        <v>0</v>
      </c>
      <c r="AD174" s="109">
        <v>0</v>
      </c>
    </row>
    <row r="175" spans="1:30">
      <c r="A175" s="112" t="s">
        <v>1483</v>
      </c>
      <c r="B175" s="112" t="s">
        <v>1700</v>
      </c>
      <c r="C175" s="112" t="s">
        <v>774</v>
      </c>
      <c r="D175" s="112" t="s">
        <v>1634</v>
      </c>
      <c r="E175" s="112" t="s">
        <v>1628</v>
      </c>
      <c r="F175" s="112" t="s">
        <v>1631</v>
      </c>
      <c r="G175" s="112" t="s">
        <v>1700</v>
      </c>
      <c r="M175" s="112" t="s">
        <v>1695</v>
      </c>
      <c r="N175" s="112" t="s">
        <v>1416</v>
      </c>
      <c r="O175" s="108">
        <v>45229</v>
      </c>
      <c r="P175" s="108">
        <v>45230</v>
      </c>
      <c r="Q175" s="108">
        <v>45229</v>
      </c>
      <c r="R175" s="108">
        <v>45235</v>
      </c>
      <c r="S175" s="109">
        <v>45</v>
      </c>
      <c r="T175" s="109">
        <v>23</v>
      </c>
      <c r="U175" s="109">
        <v>2</v>
      </c>
      <c r="V175" s="110">
        <v>0</v>
      </c>
      <c r="W175" s="109">
        <v>1</v>
      </c>
      <c r="X175" s="111">
        <v>0</v>
      </c>
      <c r="Y175" s="111">
        <v>0</v>
      </c>
      <c r="Z175" s="111">
        <v>0</v>
      </c>
      <c r="AC175" s="110">
        <v>0</v>
      </c>
      <c r="AD175" s="109">
        <v>0</v>
      </c>
    </row>
    <row r="176" spans="1:30">
      <c r="A176" s="112" t="s">
        <v>1483</v>
      </c>
      <c r="B176" s="112" t="s">
        <v>1712</v>
      </c>
      <c r="C176" s="112" t="s">
        <v>774</v>
      </c>
      <c r="D176" s="112" t="s">
        <v>1634</v>
      </c>
      <c r="E176" s="112" t="s">
        <v>1628</v>
      </c>
      <c r="F176" s="112" t="s">
        <v>1631</v>
      </c>
      <c r="G176" s="112" t="s">
        <v>1712</v>
      </c>
      <c r="M176" s="112" t="s">
        <v>1696</v>
      </c>
      <c r="N176" s="112" t="s">
        <v>1416</v>
      </c>
      <c r="O176" s="108">
        <v>45229</v>
      </c>
      <c r="P176" s="108">
        <v>45230</v>
      </c>
      <c r="Q176" s="108">
        <v>45229</v>
      </c>
      <c r="R176" s="108">
        <v>45235</v>
      </c>
      <c r="S176" s="109">
        <v>45</v>
      </c>
      <c r="T176" s="109">
        <v>23</v>
      </c>
      <c r="U176" s="109">
        <v>2</v>
      </c>
      <c r="V176" s="110">
        <v>0</v>
      </c>
      <c r="W176" s="109">
        <v>1</v>
      </c>
      <c r="X176" s="111">
        <v>0</v>
      </c>
      <c r="Y176" s="111">
        <v>0</v>
      </c>
      <c r="Z176" s="111">
        <v>0</v>
      </c>
      <c r="AC176" s="110">
        <v>0</v>
      </c>
      <c r="AD176" s="109">
        <v>0</v>
      </c>
    </row>
    <row r="177" spans="1:30">
      <c r="A177" s="112" t="s">
        <v>1483</v>
      </c>
      <c r="B177" s="112" t="s">
        <v>1698</v>
      </c>
      <c r="C177" s="112" t="s">
        <v>774</v>
      </c>
      <c r="D177" s="112" t="s">
        <v>1634</v>
      </c>
      <c r="E177" s="112" t="s">
        <v>1628</v>
      </c>
      <c r="F177" s="112" t="s">
        <v>1632</v>
      </c>
      <c r="G177" s="112" t="s">
        <v>1698</v>
      </c>
      <c r="M177" s="112" t="s">
        <v>1701</v>
      </c>
      <c r="N177" s="112" t="s">
        <v>1416</v>
      </c>
      <c r="O177" s="108">
        <v>45224</v>
      </c>
      <c r="P177" s="108">
        <v>45226</v>
      </c>
      <c r="Q177" s="108">
        <v>45222</v>
      </c>
      <c r="R177" s="108">
        <v>45228</v>
      </c>
      <c r="S177" s="109">
        <v>44</v>
      </c>
      <c r="T177" s="109">
        <v>22</v>
      </c>
      <c r="U177" s="109">
        <v>3</v>
      </c>
      <c r="V177" s="110">
        <v>0</v>
      </c>
      <c r="W177" s="109">
        <v>1</v>
      </c>
      <c r="X177" s="111">
        <v>0</v>
      </c>
      <c r="Y177" s="111">
        <v>0</v>
      </c>
      <c r="Z177" s="111">
        <v>0</v>
      </c>
      <c r="AC177" s="110">
        <v>0</v>
      </c>
      <c r="AD177" s="109">
        <v>0</v>
      </c>
    </row>
    <row r="178" spans="1:30">
      <c r="A178" s="112" t="s">
        <v>1483</v>
      </c>
      <c r="B178" s="112" t="s">
        <v>1704</v>
      </c>
      <c r="C178" s="112" t="s">
        <v>774</v>
      </c>
      <c r="D178" s="112" t="s">
        <v>1634</v>
      </c>
      <c r="E178" s="112" t="s">
        <v>1628</v>
      </c>
      <c r="F178" s="112" t="s">
        <v>1632</v>
      </c>
      <c r="G178" s="112" t="s">
        <v>1704</v>
      </c>
      <c r="M178" s="112" t="s">
        <v>1702</v>
      </c>
      <c r="N178" s="112" t="s">
        <v>1416</v>
      </c>
      <c r="O178" s="108">
        <v>45229</v>
      </c>
      <c r="P178" s="108">
        <v>45230</v>
      </c>
      <c r="Q178" s="108">
        <v>45229</v>
      </c>
      <c r="R178" s="108">
        <v>45235</v>
      </c>
      <c r="S178" s="109">
        <v>45</v>
      </c>
      <c r="T178" s="109">
        <v>23</v>
      </c>
      <c r="U178" s="109">
        <v>2</v>
      </c>
      <c r="V178" s="110">
        <v>0</v>
      </c>
      <c r="W178" s="109">
        <v>1</v>
      </c>
      <c r="X178" s="111">
        <v>0</v>
      </c>
      <c r="Y178" s="111">
        <v>0</v>
      </c>
      <c r="Z178" s="111">
        <v>0</v>
      </c>
      <c r="AC178" s="110">
        <v>0</v>
      </c>
      <c r="AD178" s="109">
        <v>0</v>
      </c>
    </row>
    <row r="179" spans="1:30">
      <c r="A179" s="112" t="s">
        <v>1483</v>
      </c>
      <c r="B179" s="112" t="s">
        <v>1705</v>
      </c>
      <c r="C179" s="112" t="s">
        <v>774</v>
      </c>
      <c r="D179" s="112" t="s">
        <v>1634</v>
      </c>
      <c r="E179" s="112" t="s">
        <v>1628</v>
      </c>
      <c r="F179" s="112" t="s">
        <v>1632</v>
      </c>
      <c r="G179" s="112" t="s">
        <v>1705</v>
      </c>
      <c r="M179" s="112" t="s">
        <v>1703</v>
      </c>
      <c r="N179" s="112" t="s">
        <v>1416</v>
      </c>
      <c r="O179" s="108">
        <v>45229</v>
      </c>
      <c r="P179" s="108">
        <v>45230</v>
      </c>
      <c r="Q179" s="108">
        <v>45229</v>
      </c>
      <c r="R179" s="108">
        <v>45235</v>
      </c>
      <c r="S179" s="109">
        <v>45</v>
      </c>
      <c r="T179" s="109">
        <v>23</v>
      </c>
      <c r="U179" s="109">
        <v>2</v>
      </c>
      <c r="V179" s="110">
        <v>0</v>
      </c>
      <c r="W179" s="109">
        <v>1</v>
      </c>
      <c r="X179" s="111">
        <v>0</v>
      </c>
      <c r="Y179" s="111">
        <v>0</v>
      </c>
      <c r="Z179" s="111">
        <v>0</v>
      </c>
      <c r="AC179" s="110">
        <v>0</v>
      </c>
      <c r="AD179" s="109">
        <v>0</v>
      </c>
    </row>
    <row r="180" spans="1:30">
      <c r="A180" s="112" t="s">
        <v>1813</v>
      </c>
      <c r="B180" s="112" t="s">
        <v>1706</v>
      </c>
      <c r="C180" s="112" t="s">
        <v>774</v>
      </c>
      <c r="D180" s="112" t="s">
        <v>1634</v>
      </c>
      <c r="E180" s="112" t="s">
        <v>1628</v>
      </c>
      <c r="F180" s="112" t="s">
        <v>1706</v>
      </c>
      <c r="M180" s="112" t="s">
        <v>1474</v>
      </c>
      <c r="N180" s="112" t="s">
        <v>1416</v>
      </c>
      <c r="O180" s="108">
        <v>45231</v>
      </c>
      <c r="P180" s="108">
        <v>45231</v>
      </c>
      <c r="Q180" s="108">
        <v>45229</v>
      </c>
      <c r="R180" s="108">
        <v>45235</v>
      </c>
      <c r="S180" s="109">
        <v>45</v>
      </c>
      <c r="T180" s="109">
        <v>23</v>
      </c>
      <c r="U180" s="109">
        <v>0</v>
      </c>
      <c r="V180" s="110">
        <v>0</v>
      </c>
      <c r="W180" s="109">
        <v>1</v>
      </c>
      <c r="X180" s="111">
        <v>0</v>
      </c>
      <c r="Y180" s="111">
        <v>0</v>
      </c>
      <c r="Z180" s="111">
        <v>0</v>
      </c>
      <c r="AC180" s="110">
        <v>0</v>
      </c>
      <c r="AD180" s="109">
        <v>0</v>
      </c>
    </row>
    <row r="181" spans="1:30">
      <c r="A181" s="112" t="s">
        <v>1483</v>
      </c>
      <c r="B181" s="112" t="s">
        <v>1802</v>
      </c>
      <c r="C181" s="112" t="s">
        <v>774</v>
      </c>
      <c r="D181" s="112" t="s">
        <v>1634</v>
      </c>
      <c r="E181" s="112" t="s">
        <v>1628</v>
      </c>
      <c r="F181" s="112" t="s">
        <v>1707</v>
      </c>
      <c r="G181" s="112" t="s">
        <v>1802</v>
      </c>
      <c r="M181" s="112" t="s">
        <v>1801</v>
      </c>
      <c r="N181" s="112" t="s">
        <v>1416</v>
      </c>
      <c r="O181" s="108">
        <v>45231</v>
      </c>
      <c r="P181" s="108">
        <v>45260</v>
      </c>
      <c r="Q181" s="108">
        <v>45229</v>
      </c>
      <c r="R181" s="108">
        <v>45235</v>
      </c>
      <c r="S181" s="109">
        <v>45</v>
      </c>
      <c r="T181" s="109">
        <v>23</v>
      </c>
      <c r="U181" s="109">
        <v>3</v>
      </c>
      <c r="V181" s="110">
        <v>0</v>
      </c>
      <c r="W181" s="109">
        <v>1</v>
      </c>
      <c r="X181" s="111">
        <v>0</v>
      </c>
      <c r="Y181" s="111">
        <v>0</v>
      </c>
      <c r="Z181" s="111">
        <v>0</v>
      </c>
      <c r="AC181" s="110">
        <v>0</v>
      </c>
      <c r="AD181" s="109">
        <v>0</v>
      </c>
    </row>
    <row r="182" spans="1:30">
      <c r="A182" s="112" t="s">
        <v>1483</v>
      </c>
      <c r="B182" s="112" t="s">
        <v>1802</v>
      </c>
      <c r="C182" s="112" t="s">
        <v>774</v>
      </c>
      <c r="D182" s="112" t="s">
        <v>1634</v>
      </c>
      <c r="E182" s="112" t="s">
        <v>1628</v>
      </c>
      <c r="F182" s="112" t="s">
        <v>1707</v>
      </c>
      <c r="G182" s="112" t="s">
        <v>1802</v>
      </c>
      <c r="M182" s="112" t="s">
        <v>1801</v>
      </c>
      <c r="N182" s="112" t="s">
        <v>1416</v>
      </c>
      <c r="O182" s="108">
        <v>45231</v>
      </c>
      <c r="P182" s="108">
        <v>45260</v>
      </c>
      <c r="Q182" s="108">
        <v>45236</v>
      </c>
      <c r="R182" s="108">
        <v>45242</v>
      </c>
      <c r="S182" s="109">
        <v>46</v>
      </c>
      <c r="T182" s="109">
        <v>24</v>
      </c>
      <c r="U182" s="109">
        <v>5</v>
      </c>
      <c r="V182" s="110">
        <v>0</v>
      </c>
      <c r="W182" s="109">
        <v>1</v>
      </c>
      <c r="X182" s="111">
        <v>0</v>
      </c>
      <c r="Y182" s="111">
        <v>0</v>
      </c>
      <c r="Z182" s="111">
        <v>0</v>
      </c>
      <c r="AC182" s="110">
        <v>0</v>
      </c>
      <c r="AD182" s="109">
        <v>0</v>
      </c>
    </row>
    <row r="183" spans="1:30">
      <c r="A183" s="112" t="s">
        <v>1483</v>
      </c>
      <c r="B183" s="112" t="s">
        <v>1802</v>
      </c>
      <c r="C183" s="112" t="s">
        <v>774</v>
      </c>
      <c r="D183" s="112" t="s">
        <v>1634</v>
      </c>
      <c r="E183" s="112" t="s">
        <v>1628</v>
      </c>
      <c r="F183" s="112" t="s">
        <v>1707</v>
      </c>
      <c r="G183" s="112" t="s">
        <v>1802</v>
      </c>
      <c r="M183" s="112" t="s">
        <v>1801</v>
      </c>
      <c r="N183" s="112" t="s">
        <v>1416</v>
      </c>
      <c r="O183" s="108">
        <v>45231</v>
      </c>
      <c r="P183" s="108">
        <v>45260</v>
      </c>
      <c r="Q183" s="108">
        <v>45243</v>
      </c>
      <c r="R183" s="108">
        <v>45249</v>
      </c>
      <c r="S183" s="109">
        <v>47</v>
      </c>
      <c r="T183" s="109">
        <v>25</v>
      </c>
      <c r="U183" s="109">
        <v>5</v>
      </c>
      <c r="V183" s="110">
        <v>0</v>
      </c>
      <c r="W183" s="109">
        <v>1</v>
      </c>
      <c r="X183" s="111">
        <v>0</v>
      </c>
      <c r="Y183" s="111">
        <v>0</v>
      </c>
      <c r="Z183" s="111">
        <v>0</v>
      </c>
      <c r="AC183" s="110">
        <v>0</v>
      </c>
      <c r="AD183" s="109">
        <v>0</v>
      </c>
    </row>
    <row r="184" spans="1:30">
      <c r="A184" s="112" t="s">
        <v>1483</v>
      </c>
      <c r="B184" s="112" t="s">
        <v>1802</v>
      </c>
      <c r="C184" s="112" t="s">
        <v>774</v>
      </c>
      <c r="D184" s="112" t="s">
        <v>1634</v>
      </c>
      <c r="E184" s="112" t="s">
        <v>1628</v>
      </c>
      <c r="F184" s="112" t="s">
        <v>1707</v>
      </c>
      <c r="G184" s="112" t="s">
        <v>1802</v>
      </c>
      <c r="M184" s="112" t="s">
        <v>1801</v>
      </c>
      <c r="N184" s="112" t="s">
        <v>1416</v>
      </c>
      <c r="O184" s="108">
        <v>45231</v>
      </c>
      <c r="P184" s="108">
        <v>45260</v>
      </c>
      <c r="Q184" s="108">
        <v>45250</v>
      </c>
      <c r="R184" s="108">
        <v>45256</v>
      </c>
      <c r="S184" s="109">
        <v>48</v>
      </c>
      <c r="T184" s="109">
        <v>26</v>
      </c>
      <c r="U184" s="109">
        <v>5</v>
      </c>
      <c r="V184" s="110">
        <v>0</v>
      </c>
      <c r="W184" s="109">
        <v>1</v>
      </c>
      <c r="X184" s="111">
        <v>0</v>
      </c>
      <c r="Y184" s="111">
        <v>0</v>
      </c>
      <c r="Z184" s="111">
        <v>0</v>
      </c>
      <c r="AC184" s="110">
        <v>0</v>
      </c>
      <c r="AD184" s="109">
        <v>0</v>
      </c>
    </row>
    <row r="185" spans="1:30">
      <c r="A185" s="112" t="s">
        <v>1483</v>
      </c>
      <c r="B185" s="112" t="s">
        <v>1802</v>
      </c>
      <c r="C185" s="112" t="s">
        <v>774</v>
      </c>
      <c r="D185" s="112" t="s">
        <v>1634</v>
      </c>
      <c r="E185" s="112" t="s">
        <v>1628</v>
      </c>
      <c r="F185" s="112" t="s">
        <v>1707</v>
      </c>
      <c r="G185" s="112" t="s">
        <v>1802</v>
      </c>
      <c r="M185" s="112" t="s">
        <v>1801</v>
      </c>
      <c r="N185" s="112" t="s">
        <v>1416</v>
      </c>
      <c r="O185" s="108">
        <v>45231</v>
      </c>
      <c r="P185" s="108">
        <v>45260</v>
      </c>
      <c r="Q185" s="108">
        <v>45257</v>
      </c>
      <c r="R185" s="108">
        <v>45263</v>
      </c>
      <c r="S185" s="109">
        <v>49</v>
      </c>
      <c r="T185" s="109">
        <v>27</v>
      </c>
      <c r="U185" s="109">
        <v>4</v>
      </c>
      <c r="V185" s="110">
        <v>0</v>
      </c>
      <c r="W185" s="109">
        <v>1</v>
      </c>
      <c r="X185" s="111">
        <v>0</v>
      </c>
      <c r="Y185" s="111">
        <v>0</v>
      </c>
      <c r="Z185" s="111">
        <v>0</v>
      </c>
      <c r="AC185" s="110">
        <v>0</v>
      </c>
      <c r="AD185" s="109">
        <v>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72" customWidth="1"/>
    <col min="2" max="2" width="33.25" style="72" bestFit="1" customWidth="1"/>
    <col min="3" max="3" width="20.25" style="70" customWidth="1"/>
    <col min="4" max="4" width="23.125" style="70" customWidth="1"/>
    <col min="5" max="5" width="10" style="70" customWidth="1"/>
    <col min="6" max="6" width="15.25" style="70" customWidth="1"/>
    <col min="7" max="7" width="21.25" style="70" bestFit="1" customWidth="1"/>
    <col min="8" max="8" width="40.375" style="72" customWidth="1"/>
    <col min="9" max="9" width="23.625" style="72" bestFit="1" customWidth="1"/>
    <col min="10" max="10" width="9.5" style="72" bestFit="1" customWidth="1"/>
    <col min="11" max="11" width="22.5" style="72" bestFit="1" customWidth="1"/>
    <col min="12" max="12" width="60.75" style="72" bestFit="1" customWidth="1"/>
    <col min="13" max="13" width="25.125" style="72" bestFit="1" customWidth="1"/>
    <col min="14" max="14" width="4.75" style="72" bestFit="1" customWidth="1"/>
    <col min="15" max="15" width="23" style="72" bestFit="1" customWidth="1"/>
    <col min="16" max="16" width="8" style="72" bestFit="1" customWidth="1"/>
    <col min="17" max="17" width="28.375" style="72" bestFit="1" customWidth="1"/>
    <col min="18" max="18" width="6" style="72" bestFit="1" customWidth="1"/>
    <col min="19" max="19" width="27.75" style="72" bestFit="1" customWidth="1"/>
    <col min="20" max="20" width="4.75" style="72" bestFit="1" customWidth="1"/>
    <col min="21" max="21" width="24.375" style="72" bestFit="1" customWidth="1"/>
    <col min="22" max="22" width="4.25" style="72" bestFit="1" customWidth="1"/>
    <col min="23" max="23" width="28.875" style="72" bestFit="1" customWidth="1"/>
    <col min="24" max="24" width="8" style="72" bestFit="1" customWidth="1"/>
    <col min="25" max="25" width="22.625" style="72" bestFit="1" customWidth="1"/>
    <col min="26" max="26" width="4.875" style="72" bestFit="1" customWidth="1"/>
    <col min="27" max="27" width="24.375" style="72" hidden="1" customWidth="1"/>
    <col min="28" max="28" width="7.375" style="72" hidden="1" customWidth="1"/>
    <col min="29" max="29" width="19.75" style="72" bestFit="1" customWidth="1"/>
    <col min="30" max="30" width="4.25" style="72" bestFit="1" customWidth="1"/>
    <col min="31" max="31" width="15.375" style="72" bestFit="1" customWidth="1"/>
    <col min="32" max="32" width="39.625" style="72" bestFit="1" customWidth="1"/>
    <col min="33" max="33" width="35.75" style="72" bestFit="1" customWidth="1"/>
    <col min="34" max="34" width="4.875" style="72" bestFit="1" customWidth="1"/>
    <col min="35" max="35" width="24.25" style="72" bestFit="1" customWidth="1"/>
    <col min="36" max="36" width="8.75" style="72" bestFit="1" customWidth="1"/>
    <col min="37" max="37" width="26" style="72" bestFit="1" customWidth="1"/>
    <col min="38" max="38" width="4.625" style="72" bestFit="1" customWidth="1"/>
    <col min="39" max="39" width="35.625" style="72" bestFit="1" customWidth="1"/>
    <col min="40" max="40" width="33.375" style="72" bestFit="1" customWidth="1"/>
    <col min="41" max="41" width="22.625" style="72" bestFit="1" customWidth="1"/>
    <col min="42" max="42" width="5.25" style="72" bestFit="1" customWidth="1"/>
    <col min="43" max="43" width="16.625" style="72" bestFit="1" customWidth="1"/>
    <col min="44" max="44" width="93.375" style="72" bestFit="1" customWidth="1"/>
    <col min="45" max="45" width="21" style="72" bestFit="1" customWidth="1"/>
    <col min="46" max="46" width="5.5" style="72" bestFit="1" customWidth="1"/>
    <col min="47" max="47" width="14.875" style="72" bestFit="1" customWidth="1"/>
    <col min="48" max="48" width="28.625" style="72" bestFit="1" customWidth="1"/>
    <col min="49" max="49" width="22.625" style="72" bestFit="1" customWidth="1"/>
    <col min="50" max="50" width="4.875" style="72" bestFit="1" customWidth="1"/>
    <col min="51" max="51" width="15.625" style="72" bestFit="1" customWidth="1"/>
    <col min="52" max="53" width="13.125" style="72" bestFit="1" customWidth="1"/>
    <col min="54" max="55" width="14.875" style="72" bestFit="1" customWidth="1"/>
    <col min="56" max="57" width="22.625" style="72" bestFit="1" customWidth="1"/>
    <col min="58" max="59" width="15.625" style="72" bestFit="1" customWidth="1"/>
    <col min="60" max="61" width="13.125" style="72" bestFit="1" customWidth="1"/>
    <col min="62" max="63" width="14.875" style="72" bestFit="1" customWidth="1"/>
    <col min="64" max="65" width="22.625" style="72" bestFit="1" customWidth="1"/>
    <col min="66" max="66" width="10" style="72"/>
    <col min="67" max="67" width="33.75" style="72" bestFit="1" customWidth="1"/>
    <col min="68" max="16384" width="10" style="72"/>
  </cols>
  <sheetData>
    <row r="1" spans="1:8" s="70" customFormat="1">
      <c r="A1" s="69" t="s">
        <v>658</v>
      </c>
      <c r="B1" s="69" t="s">
        <v>655</v>
      </c>
      <c r="C1" s="69" t="s">
        <v>656</v>
      </c>
      <c r="D1" s="69" t="s">
        <v>657</v>
      </c>
      <c r="E1" s="69" t="s">
        <v>3</v>
      </c>
      <c r="F1" s="69" t="s">
        <v>4</v>
      </c>
      <c r="G1" s="69" t="s">
        <v>5</v>
      </c>
      <c r="H1" s="69" t="s">
        <v>659</v>
      </c>
    </row>
    <row r="2" spans="1:8">
      <c r="A2" s="154" t="s">
        <v>654</v>
      </c>
      <c r="B2" s="155" t="s">
        <v>6</v>
      </c>
      <c r="C2" s="156" t="s">
        <v>7</v>
      </c>
      <c r="D2" s="156"/>
      <c r="E2" s="156"/>
      <c r="F2" s="156"/>
      <c r="G2" s="156"/>
      <c r="H2" s="156" t="s">
        <v>8</v>
      </c>
    </row>
    <row r="3" spans="1:8">
      <c r="A3" s="154" t="s">
        <v>654</v>
      </c>
      <c r="B3" s="155" t="s">
        <v>338</v>
      </c>
      <c r="C3" s="156" t="s">
        <v>7</v>
      </c>
      <c r="D3" s="156"/>
      <c r="E3" s="156"/>
      <c r="F3" s="156"/>
      <c r="G3" s="156"/>
      <c r="H3" s="156" t="s">
        <v>8</v>
      </c>
    </row>
    <row r="4" spans="1:8">
      <c r="A4" s="154" t="s">
        <v>654</v>
      </c>
      <c r="B4" s="155" t="s">
        <v>9</v>
      </c>
      <c r="C4" s="172" t="s">
        <v>339</v>
      </c>
      <c r="D4" s="156"/>
      <c r="E4" s="156"/>
      <c r="F4" s="156"/>
      <c r="G4" s="156"/>
      <c r="H4" s="156" t="s">
        <v>8</v>
      </c>
    </row>
    <row r="5" spans="1:8">
      <c r="A5" s="154" t="s">
        <v>654</v>
      </c>
      <c r="B5" s="155" t="s">
        <v>10</v>
      </c>
      <c r="C5" s="156" t="s">
        <v>11</v>
      </c>
      <c r="D5" s="156"/>
      <c r="E5" s="156"/>
      <c r="F5" s="156"/>
      <c r="G5" s="156"/>
      <c r="H5" s="156" t="s">
        <v>8</v>
      </c>
    </row>
    <row r="6" spans="1:8" ht="13.5">
      <c r="A6" s="154" t="s">
        <v>654</v>
      </c>
      <c r="B6" s="155" t="s">
        <v>12</v>
      </c>
      <c r="C6" s="173" t="s">
        <v>780</v>
      </c>
      <c r="D6" s="156"/>
      <c r="E6" s="156"/>
      <c r="F6" s="156"/>
      <c r="G6" s="156"/>
      <c r="H6" s="156" t="s">
        <v>8</v>
      </c>
    </row>
    <row r="7" spans="1:8">
      <c r="A7" s="154" t="s">
        <v>654</v>
      </c>
      <c r="B7" s="155" t="s">
        <v>13</v>
      </c>
      <c r="C7" s="155" t="s">
        <v>7</v>
      </c>
      <c r="D7" s="156"/>
      <c r="E7" s="156"/>
      <c r="F7" s="156"/>
      <c r="G7" s="156"/>
      <c r="H7" s="156" t="s">
        <v>8</v>
      </c>
    </row>
    <row r="8" spans="1:8">
      <c r="A8" s="175" t="s">
        <v>654</v>
      </c>
      <c r="B8" s="176" t="s">
        <v>14</v>
      </c>
      <c r="C8" s="177" t="s">
        <v>724</v>
      </c>
      <c r="D8" s="178" t="s">
        <v>2038</v>
      </c>
      <c r="E8" s="178">
        <v>82</v>
      </c>
      <c r="F8" s="178"/>
      <c r="G8" s="175"/>
      <c r="H8" s="178" t="s">
        <v>734</v>
      </c>
    </row>
    <row r="9" spans="1:8">
      <c r="A9" s="154" t="s">
        <v>654</v>
      </c>
      <c r="B9" s="155" t="s">
        <v>15</v>
      </c>
      <c r="C9" s="174">
        <v>44717</v>
      </c>
      <c r="D9" s="156"/>
      <c r="E9" s="156"/>
      <c r="F9" s="156"/>
      <c r="G9" s="156"/>
      <c r="H9" s="156" t="s">
        <v>8</v>
      </c>
    </row>
    <row r="10" spans="1:8" s="71" customFormat="1">
      <c r="A10" s="155" t="s">
        <v>654</v>
      </c>
      <c r="B10" s="155" t="s">
        <v>16</v>
      </c>
      <c r="C10" s="156" t="s">
        <v>17</v>
      </c>
      <c r="D10" s="156"/>
      <c r="E10" s="156"/>
      <c r="F10" s="156"/>
      <c r="G10" s="156"/>
      <c r="H10" s="156" t="s">
        <v>8</v>
      </c>
    </row>
    <row r="11" spans="1:8">
      <c r="A11" s="72" t="s">
        <v>775</v>
      </c>
      <c r="B11" s="72" t="s">
        <v>749</v>
      </c>
      <c r="C11" s="70">
        <v>1</v>
      </c>
      <c r="G11" s="74">
        <v>46020.475219907406</v>
      </c>
    </row>
    <row r="12" spans="1:8">
      <c r="A12" s="72" t="s">
        <v>775</v>
      </c>
      <c r="B12" s="72" t="s">
        <v>748</v>
      </c>
      <c r="C12" s="70">
        <v>1</v>
      </c>
    </row>
    <row r="13" spans="1:8">
      <c r="A13" s="72" t="s">
        <v>775</v>
      </c>
      <c r="B13" s="72" t="s">
        <v>696</v>
      </c>
      <c r="C13" s="70">
        <v>1</v>
      </c>
      <c r="G13" s="74">
        <v>46020.475219907406</v>
      </c>
    </row>
    <row r="14" spans="1:8">
      <c r="A14" s="72" t="s">
        <v>775</v>
      </c>
      <c r="B14" s="72" t="s">
        <v>697</v>
      </c>
      <c r="C14" s="70">
        <v>0</v>
      </c>
      <c r="G14" s="74">
        <v>46020.475219907406</v>
      </c>
    </row>
    <row r="15" spans="1:8">
      <c r="A15" s="72" t="s">
        <v>775</v>
      </c>
      <c r="B15" s="72" t="s">
        <v>695</v>
      </c>
      <c r="C15" s="70">
        <v>1</v>
      </c>
      <c r="G15" s="74">
        <v>46020.475219907406</v>
      </c>
    </row>
    <row r="16" spans="1:8">
      <c r="A16" s="72" t="s">
        <v>775</v>
      </c>
      <c r="B16" s="72" t="s">
        <v>736</v>
      </c>
      <c r="C16" s="70">
        <v>1</v>
      </c>
      <c r="G16" s="74">
        <v>46020.475219907406</v>
      </c>
    </row>
    <row r="17" spans="1:7">
      <c r="A17" s="72" t="s">
        <v>775</v>
      </c>
      <c r="B17" s="72" t="s">
        <v>743</v>
      </c>
      <c r="C17" s="70">
        <v>2</v>
      </c>
      <c r="G17" s="74">
        <v>46020.475219907406</v>
      </c>
    </row>
    <row r="18" spans="1:7">
      <c r="A18" s="72" t="s">
        <v>775</v>
      </c>
      <c r="B18" s="72" t="s">
        <v>744</v>
      </c>
      <c r="C18" s="70">
        <v>1</v>
      </c>
      <c r="G18" s="74">
        <v>46020.475219907406</v>
      </c>
    </row>
    <row r="19" spans="1:7">
      <c r="A19" s="72" t="s">
        <v>775</v>
      </c>
      <c r="B19" s="72" t="s">
        <v>742</v>
      </c>
      <c r="C19" s="73" t="s">
        <v>1922</v>
      </c>
      <c r="G19" s="74">
        <v>46020.475219907406</v>
      </c>
    </row>
    <row r="20" spans="1:7">
      <c r="A20" s="72" t="s">
        <v>775</v>
      </c>
      <c r="B20" s="72" t="s">
        <v>698</v>
      </c>
      <c r="C20" s="70">
        <v>0</v>
      </c>
      <c r="G20" s="74">
        <v>46020.475219907406</v>
      </c>
    </row>
    <row r="21" spans="1:7">
      <c r="A21" s="72" t="s">
        <v>775</v>
      </c>
      <c r="B21" s="72" t="s">
        <v>741</v>
      </c>
      <c r="C21" s="70">
        <v>1</v>
      </c>
      <c r="G21" s="74">
        <v>46020.475219907406</v>
      </c>
    </row>
    <row r="22" spans="1:7">
      <c r="A22" s="72" t="s">
        <v>775</v>
      </c>
      <c r="B22" s="72" t="s">
        <v>745</v>
      </c>
      <c r="C22" s="70">
        <v>1</v>
      </c>
      <c r="G22" s="74">
        <v>46020.475219907406</v>
      </c>
    </row>
    <row r="23" spans="1:7">
      <c r="A23" s="72" t="s">
        <v>775</v>
      </c>
      <c r="B23" s="72" t="s">
        <v>700</v>
      </c>
      <c r="C23" s="70">
        <v>0</v>
      </c>
      <c r="G23" s="74">
        <v>46020.475219907406</v>
      </c>
    </row>
    <row r="24" spans="1:7">
      <c r="A24" s="72" t="s">
        <v>775</v>
      </c>
      <c r="B24" s="72" t="s">
        <v>738</v>
      </c>
      <c r="C24" s="73">
        <v>46053</v>
      </c>
      <c r="G24" s="74">
        <v>46020.475694444445</v>
      </c>
    </row>
    <row r="25" spans="1:7">
      <c r="A25" s="72" t="s">
        <v>775</v>
      </c>
      <c r="B25" s="72" t="s">
        <v>735</v>
      </c>
      <c r="C25" s="70" t="s">
        <v>2063</v>
      </c>
      <c r="G25" s="74">
        <v>46020.475219907406</v>
      </c>
    </row>
    <row r="26" spans="1:7">
      <c r="A26" s="72" t="s">
        <v>775</v>
      </c>
      <c r="B26" s="72" t="s">
        <v>737</v>
      </c>
      <c r="C26" s="73">
        <v>45810</v>
      </c>
      <c r="G26" s="74">
        <v>46020.475694444445</v>
      </c>
    </row>
    <row r="27" spans="1:7">
      <c r="A27" s="72" t="s">
        <v>775</v>
      </c>
      <c r="B27" s="72" t="s">
        <v>739</v>
      </c>
      <c r="C27" s="70" t="s">
        <v>2058</v>
      </c>
      <c r="G27" s="74">
        <v>46020.474872685183</v>
      </c>
    </row>
    <row r="28" spans="1:7">
      <c r="A28" s="72" t="s">
        <v>775</v>
      </c>
      <c r="B28" s="72" t="s">
        <v>740</v>
      </c>
      <c r="C28" s="70">
        <v>1</v>
      </c>
      <c r="G28" s="74">
        <v>46020.475219907406</v>
      </c>
    </row>
    <row r="29" spans="1:7">
      <c r="A29" s="72" t="s">
        <v>775</v>
      </c>
      <c r="B29" s="72" t="s">
        <v>746</v>
      </c>
      <c r="C29" s="70">
        <v>20</v>
      </c>
      <c r="G29" s="74">
        <v>46020.475219907406</v>
      </c>
    </row>
    <row r="30" spans="1:7">
      <c r="A30" s="72" t="s">
        <v>775</v>
      </c>
      <c r="B30" s="72" t="s">
        <v>747</v>
      </c>
      <c r="C30" s="70">
        <v>10</v>
      </c>
      <c r="G30" s="74">
        <v>46020.475219907406</v>
      </c>
    </row>
    <row r="31" spans="1:7">
      <c r="A31" s="72" t="s">
        <v>1351</v>
      </c>
      <c r="B31" s="72" t="s">
        <v>1352</v>
      </c>
      <c r="C31" s="70">
        <v>-4105</v>
      </c>
      <c r="F31" s="74"/>
      <c r="G31" s="74">
        <v>46020.475694444445</v>
      </c>
    </row>
    <row r="32" spans="1:7">
      <c r="A32" s="72" t="s">
        <v>776</v>
      </c>
      <c r="B32" s="72" t="s">
        <v>757</v>
      </c>
      <c r="C32" s="70">
        <v>1</v>
      </c>
      <c r="G32" s="74">
        <v>46020.475219907406</v>
      </c>
    </row>
    <row r="33" spans="1:7">
      <c r="A33" s="72" t="s">
        <v>776</v>
      </c>
      <c r="B33" s="72" t="s">
        <v>760</v>
      </c>
      <c r="C33" s="70">
        <v>0</v>
      </c>
    </row>
    <row r="34" spans="1:7">
      <c r="A34" s="72" t="s">
        <v>776</v>
      </c>
      <c r="B34" s="72" t="s">
        <v>701</v>
      </c>
      <c r="C34" s="70">
        <v>4</v>
      </c>
      <c r="G34" s="74">
        <v>46020.475219907406</v>
      </c>
    </row>
    <row r="35" spans="1:7">
      <c r="A35" s="72" t="s">
        <v>776</v>
      </c>
      <c r="B35" s="72" t="s">
        <v>703</v>
      </c>
      <c r="C35" s="70">
        <v>1</v>
      </c>
      <c r="G35" s="74">
        <v>46020.475219907406</v>
      </c>
    </row>
    <row r="36" spans="1:7">
      <c r="A36" s="72" t="s">
        <v>776</v>
      </c>
      <c r="B36" s="72" t="s">
        <v>702</v>
      </c>
      <c r="C36" s="70">
        <v>0</v>
      </c>
      <c r="G36" s="74">
        <v>46020.475219907406</v>
      </c>
    </row>
    <row r="37" spans="1:7">
      <c r="A37" s="72" t="s">
        <v>776</v>
      </c>
      <c r="B37" s="72" t="s">
        <v>751</v>
      </c>
      <c r="C37" s="70">
        <v>1</v>
      </c>
      <c r="G37" s="74">
        <v>46020.475219907406</v>
      </c>
    </row>
    <row r="38" spans="1:7">
      <c r="A38" s="72" t="s">
        <v>776</v>
      </c>
      <c r="B38" s="72" t="s">
        <v>754</v>
      </c>
      <c r="C38" s="70">
        <v>0</v>
      </c>
      <c r="G38" s="74">
        <v>46020.475219907406</v>
      </c>
    </row>
    <row r="39" spans="1:7">
      <c r="A39" s="72" t="s">
        <v>776</v>
      </c>
      <c r="B39" s="72" t="s">
        <v>765</v>
      </c>
      <c r="C39" s="70">
        <v>2</v>
      </c>
      <c r="G39" s="74">
        <v>46020.475219907406</v>
      </c>
    </row>
    <row r="40" spans="1:7">
      <c r="A40" s="72" t="s">
        <v>776</v>
      </c>
      <c r="B40" s="72" t="s">
        <v>755</v>
      </c>
      <c r="C40" s="70">
        <v>0.7</v>
      </c>
    </row>
    <row r="41" spans="1:7">
      <c r="A41" s="72" t="s">
        <v>776</v>
      </c>
      <c r="B41" s="72" t="s">
        <v>764</v>
      </c>
      <c r="C41" s="70">
        <v>1</v>
      </c>
      <c r="G41" s="74">
        <v>46020.475219907406</v>
      </c>
    </row>
    <row r="42" spans="1:7">
      <c r="A42" s="72" t="s">
        <v>776</v>
      </c>
      <c r="B42" s="72" t="s">
        <v>758</v>
      </c>
      <c r="C42" s="70">
        <v>1</v>
      </c>
      <c r="G42" s="74">
        <v>46020.475219907406</v>
      </c>
    </row>
    <row r="43" spans="1:7">
      <c r="A43" s="72" t="s">
        <v>776</v>
      </c>
      <c r="B43" s="72" t="s">
        <v>768</v>
      </c>
      <c r="C43" s="70">
        <v>-4131</v>
      </c>
      <c r="G43" s="74">
        <v>46020.475219907406</v>
      </c>
    </row>
    <row r="44" spans="1:7">
      <c r="A44" s="72" t="s">
        <v>776</v>
      </c>
      <c r="B44" s="72" t="s">
        <v>759</v>
      </c>
      <c r="C44" s="70">
        <v>1</v>
      </c>
      <c r="G44" s="74">
        <v>46020.475219907406</v>
      </c>
    </row>
    <row r="45" spans="1:7">
      <c r="A45" s="72" t="s">
        <v>776</v>
      </c>
      <c r="B45" s="72" t="s">
        <v>761</v>
      </c>
      <c r="C45" s="70">
        <v>1</v>
      </c>
      <c r="G45" s="74">
        <v>46020.475219907406</v>
      </c>
    </row>
    <row r="46" spans="1:7">
      <c r="A46" s="72" t="s">
        <v>776</v>
      </c>
      <c r="B46" s="72" t="s">
        <v>762</v>
      </c>
      <c r="C46" s="70">
        <v>0</v>
      </c>
      <c r="G46" s="74">
        <v>46020.475219907406</v>
      </c>
    </row>
    <row r="47" spans="1:7">
      <c r="A47" s="72" t="s">
        <v>776</v>
      </c>
      <c r="B47" s="72" t="s">
        <v>763</v>
      </c>
      <c r="C47" s="70">
        <v>0</v>
      </c>
      <c r="G47" s="74">
        <v>46020.475219907406</v>
      </c>
    </row>
    <row r="48" spans="1:7">
      <c r="A48" s="72" t="s">
        <v>776</v>
      </c>
      <c r="B48" s="72" t="s">
        <v>752</v>
      </c>
      <c r="C48" s="70">
        <v>1</v>
      </c>
    </row>
    <row r="49" spans="1:7">
      <c r="A49" s="72" t="s">
        <v>776</v>
      </c>
      <c r="B49" s="72" t="s">
        <v>753</v>
      </c>
      <c r="C49" s="70">
        <v>0</v>
      </c>
    </row>
    <row r="50" spans="1:7">
      <c r="A50" s="72" t="s">
        <v>776</v>
      </c>
      <c r="B50" s="72" t="s">
        <v>756</v>
      </c>
      <c r="C50" s="70">
        <v>2</v>
      </c>
      <c r="G50" s="74">
        <v>46020.475219907406</v>
      </c>
    </row>
    <row r="51" spans="1:7">
      <c r="A51" s="72" t="s">
        <v>776</v>
      </c>
      <c r="B51" s="72" t="s">
        <v>767</v>
      </c>
      <c r="C51" s="70" t="s">
        <v>750</v>
      </c>
    </row>
    <row r="52" spans="1:7">
      <c r="A52" s="72" t="s">
        <v>776</v>
      </c>
      <c r="B52" s="72" t="s">
        <v>699</v>
      </c>
      <c r="C52" s="70">
        <v>100</v>
      </c>
      <c r="G52" s="74">
        <v>46020.475219907406</v>
      </c>
    </row>
    <row r="53" spans="1:7">
      <c r="A53" s="72" t="s">
        <v>776</v>
      </c>
      <c r="B53" s="72" t="s">
        <v>766</v>
      </c>
      <c r="C53" s="70">
        <v>9</v>
      </c>
    </row>
    <row r="54" spans="1:7">
      <c r="A54" s="72" t="s">
        <v>777</v>
      </c>
      <c r="B54" s="72" t="s">
        <v>662</v>
      </c>
      <c r="C54" s="70">
        <v>0</v>
      </c>
      <c r="G54" s="74">
        <v>46020.475219907406</v>
      </c>
    </row>
    <row r="55" spans="1:7">
      <c r="A55" s="72" t="s">
        <v>777</v>
      </c>
      <c r="B55" s="72" t="s">
        <v>769</v>
      </c>
      <c r="C55" s="70" t="s">
        <v>1482</v>
      </c>
      <c r="G55" s="74">
        <v>45069.611296296294</v>
      </c>
    </row>
    <row r="56" spans="1:7">
      <c r="A56" s="72" t="s">
        <v>777</v>
      </c>
      <c r="B56" s="72" t="s">
        <v>661</v>
      </c>
      <c r="C56" s="70" t="s">
        <v>704</v>
      </c>
      <c r="G56" s="74">
        <v>44717.947500000002</v>
      </c>
    </row>
    <row r="57" spans="1:7">
      <c r="A57" s="72" t="s">
        <v>777</v>
      </c>
      <c r="B57" s="72" t="s">
        <v>660</v>
      </c>
      <c r="C57" s="70" t="s">
        <v>1501</v>
      </c>
      <c r="G57" s="74">
        <v>45069.611296296294</v>
      </c>
    </row>
    <row r="58" spans="1:7">
      <c r="A58" s="72" t="s">
        <v>722</v>
      </c>
      <c r="B58" s="72" t="s">
        <v>772</v>
      </c>
      <c r="C58" s="70">
        <v>82</v>
      </c>
      <c r="G58" s="74">
        <v>46020.475219907406</v>
      </c>
    </row>
    <row r="59" spans="1:7">
      <c r="A59" s="72" t="s">
        <v>722</v>
      </c>
      <c r="B59" s="72" t="s">
        <v>771</v>
      </c>
      <c r="C59" s="70">
        <v>1</v>
      </c>
      <c r="G59" s="74">
        <v>46020.475219907406</v>
      </c>
    </row>
    <row r="60" spans="1:7">
      <c r="A60" s="72" t="s">
        <v>722</v>
      </c>
      <c r="B60" s="72" t="s">
        <v>770</v>
      </c>
      <c r="C60" s="70">
        <v>82</v>
      </c>
      <c r="G60" s="74">
        <v>44717.85429398148</v>
      </c>
    </row>
    <row r="61" spans="1:7">
      <c r="A61" s="72" t="s">
        <v>722</v>
      </c>
      <c r="B61" s="72" t="s">
        <v>773</v>
      </c>
      <c r="C61" s="70" t="s">
        <v>1921</v>
      </c>
      <c r="G61" s="74">
        <v>46020.475219907406</v>
      </c>
    </row>
    <row r="62" spans="1:7">
      <c r="A62" s="72" t="s">
        <v>778</v>
      </c>
      <c r="B62" s="72" t="s">
        <v>689</v>
      </c>
      <c r="C62" s="70" t="b">
        <v>0</v>
      </c>
      <c r="G62" s="74">
        <v>45069.611296296294</v>
      </c>
    </row>
    <row r="63" spans="1:7">
      <c r="A63" s="72" t="s">
        <v>778</v>
      </c>
      <c r="B63" s="72" t="s">
        <v>690</v>
      </c>
      <c r="C63" s="70" t="b">
        <v>0</v>
      </c>
      <c r="G63" s="74">
        <v>45069.611296296294</v>
      </c>
    </row>
    <row r="64" spans="1:7">
      <c r="A64" s="72" t="s">
        <v>778</v>
      </c>
      <c r="B64" s="72" t="s">
        <v>691</v>
      </c>
      <c r="C64" s="70" t="b">
        <v>1</v>
      </c>
      <c r="G64" s="74">
        <v>45069.611296296294</v>
      </c>
    </row>
    <row r="65" spans="1:7">
      <c r="A65" s="72" t="s">
        <v>778</v>
      </c>
      <c r="B65" s="72" t="s">
        <v>673</v>
      </c>
      <c r="C65" s="70" t="b">
        <v>1</v>
      </c>
      <c r="G65" s="74">
        <v>45069.611296296294</v>
      </c>
    </row>
    <row r="66" spans="1:7">
      <c r="A66" s="72" t="s">
        <v>778</v>
      </c>
      <c r="B66" s="72" t="s">
        <v>674</v>
      </c>
      <c r="C66" s="70" t="b">
        <v>1</v>
      </c>
      <c r="G66" s="74">
        <v>45069.611296296294</v>
      </c>
    </row>
    <row r="67" spans="1:7">
      <c r="A67" s="72" t="s">
        <v>778</v>
      </c>
      <c r="B67" s="72" t="s">
        <v>675</v>
      </c>
      <c r="C67" s="70" t="b">
        <v>1</v>
      </c>
      <c r="G67" s="74">
        <v>45069.611296296294</v>
      </c>
    </row>
    <row r="68" spans="1:7">
      <c r="A68" s="72" t="s">
        <v>778</v>
      </c>
      <c r="B68" s="72" t="s">
        <v>676</v>
      </c>
      <c r="C68" s="70" t="b">
        <v>1</v>
      </c>
      <c r="G68" s="74">
        <v>45069.611296296294</v>
      </c>
    </row>
    <row r="69" spans="1:7">
      <c r="A69" s="72" t="s">
        <v>778</v>
      </c>
      <c r="B69" s="72" t="s">
        <v>677</v>
      </c>
      <c r="G69" s="74">
        <v>45069.611296296294</v>
      </c>
    </row>
    <row r="70" spans="1:7">
      <c r="A70" s="72" t="s">
        <v>778</v>
      </c>
      <c r="B70" s="72" t="s">
        <v>692</v>
      </c>
      <c r="C70" s="70" t="s">
        <v>1502</v>
      </c>
      <c r="G70" s="74">
        <v>45069.611296296294</v>
      </c>
    </row>
    <row r="71" spans="1:7">
      <c r="A71" s="72" t="s">
        <v>778</v>
      </c>
      <c r="B71" s="72" t="s">
        <v>694</v>
      </c>
      <c r="C71" s="70" t="s">
        <v>1493</v>
      </c>
      <c r="G71" s="74">
        <v>45069.611296296294</v>
      </c>
    </row>
    <row r="72" spans="1:7">
      <c r="A72" s="72" t="s">
        <v>778</v>
      </c>
      <c r="B72" s="72" t="s">
        <v>693</v>
      </c>
      <c r="C72" s="70" t="s">
        <v>1494</v>
      </c>
      <c r="G72" s="74">
        <v>45069.611296296294</v>
      </c>
    </row>
    <row r="73" spans="1:7">
      <c r="A73" s="72" t="s">
        <v>778</v>
      </c>
      <c r="B73" s="72" t="s">
        <v>679</v>
      </c>
      <c r="C73" s="70" t="s">
        <v>1496</v>
      </c>
      <c r="G73" s="74">
        <v>45069.611296296294</v>
      </c>
    </row>
    <row r="74" spans="1:7">
      <c r="A74" s="72" t="s">
        <v>778</v>
      </c>
      <c r="B74" s="72" t="s">
        <v>682</v>
      </c>
      <c r="C74" s="70" t="s">
        <v>1498</v>
      </c>
      <c r="G74" s="74">
        <v>45069.611296296294</v>
      </c>
    </row>
    <row r="75" spans="1:7">
      <c r="A75" s="72" t="s">
        <v>778</v>
      </c>
      <c r="B75" s="72" t="s">
        <v>681</v>
      </c>
      <c r="C75" s="70" t="s">
        <v>1489</v>
      </c>
      <c r="G75" s="74">
        <v>45069.611296296294</v>
      </c>
    </row>
    <row r="76" spans="1:7">
      <c r="A76" s="72" t="s">
        <v>778</v>
      </c>
      <c r="B76" s="72" t="s">
        <v>680</v>
      </c>
      <c r="C76" s="70" t="s">
        <v>1353</v>
      </c>
      <c r="G76" s="74">
        <v>45069.611296296294</v>
      </c>
    </row>
    <row r="77" spans="1:7">
      <c r="A77" s="72" t="s">
        <v>778</v>
      </c>
      <c r="B77" s="72" t="s">
        <v>678</v>
      </c>
      <c r="G77" s="74">
        <v>45069.611296296294</v>
      </c>
    </row>
    <row r="78" spans="1:7">
      <c r="A78" s="72" t="s">
        <v>778</v>
      </c>
      <c r="B78" s="72" t="s">
        <v>683</v>
      </c>
      <c r="C78" s="70" t="s">
        <v>1484</v>
      </c>
      <c r="G78" s="74">
        <v>45069.611296296294</v>
      </c>
    </row>
    <row r="79" spans="1:7">
      <c r="A79" s="72" t="s">
        <v>778</v>
      </c>
      <c r="B79" s="72" t="s">
        <v>688</v>
      </c>
      <c r="C79" s="70" t="s">
        <v>1486</v>
      </c>
      <c r="G79" s="74">
        <v>45069.611296296294</v>
      </c>
    </row>
    <row r="80" spans="1:7">
      <c r="A80" s="72" t="s">
        <v>778</v>
      </c>
      <c r="B80" s="72" t="s">
        <v>687</v>
      </c>
      <c r="C80" s="70" t="s">
        <v>1361</v>
      </c>
      <c r="G80" s="74">
        <v>45069.611296296294</v>
      </c>
    </row>
    <row r="81" spans="1:7">
      <c r="A81" s="72" t="s">
        <v>778</v>
      </c>
      <c r="B81" s="72" t="s">
        <v>668</v>
      </c>
      <c r="C81" s="70" t="s">
        <v>1495</v>
      </c>
      <c r="G81" s="74">
        <v>45069.611296296294</v>
      </c>
    </row>
    <row r="82" spans="1:7">
      <c r="A82" s="72" t="s">
        <v>778</v>
      </c>
      <c r="B82" s="72" t="s">
        <v>672</v>
      </c>
      <c r="C82" s="70" t="s">
        <v>1497</v>
      </c>
      <c r="G82" s="74">
        <v>45069.611296296294</v>
      </c>
    </row>
    <row r="83" spans="1:7">
      <c r="A83" s="72" t="s">
        <v>778</v>
      </c>
      <c r="B83" s="72" t="s">
        <v>671</v>
      </c>
      <c r="C83" s="70" t="s">
        <v>1499</v>
      </c>
      <c r="G83" s="74">
        <v>45069.611296296294</v>
      </c>
    </row>
    <row r="84" spans="1:7">
      <c r="A84" s="72" t="s">
        <v>778</v>
      </c>
      <c r="B84" s="72" t="s">
        <v>670</v>
      </c>
      <c r="C84" s="70" t="s">
        <v>1491</v>
      </c>
      <c r="G84" s="74">
        <v>45069.611296296294</v>
      </c>
    </row>
    <row r="85" spans="1:7">
      <c r="A85" s="72" t="s">
        <v>778</v>
      </c>
      <c r="B85" s="72" t="s">
        <v>669</v>
      </c>
      <c r="G85" s="74">
        <v>45069.611296296294</v>
      </c>
    </row>
    <row r="86" spans="1:7">
      <c r="A86" s="72" t="s">
        <v>778</v>
      </c>
      <c r="B86" s="72" t="s">
        <v>684</v>
      </c>
      <c r="C86" s="70" t="s">
        <v>1485</v>
      </c>
      <c r="G86" s="74">
        <v>45069.611296296294</v>
      </c>
    </row>
    <row r="87" spans="1:7">
      <c r="A87" s="72" t="s">
        <v>778</v>
      </c>
      <c r="B87" s="72" t="s">
        <v>685</v>
      </c>
      <c r="C87" s="70" t="s">
        <v>1485</v>
      </c>
      <c r="G87" s="74">
        <v>45069.611296296294</v>
      </c>
    </row>
    <row r="88" spans="1:7">
      <c r="A88" s="72" t="s">
        <v>778</v>
      </c>
      <c r="B88" s="72" t="s">
        <v>686</v>
      </c>
      <c r="C88" s="70" t="s">
        <v>1485</v>
      </c>
      <c r="G88" s="74">
        <v>45069.611296296294</v>
      </c>
    </row>
    <row r="89" spans="1:7">
      <c r="A89" s="72" t="s">
        <v>778</v>
      </c>
      <c r="B89" s="72" t="s">
        <v>663</v>
      </c>
      <c r="C89" s="70" t="s">
        <v>1487</v>
      </c>
      <c r="G89" s="74">
        <v>45069.611296296294</v>
      </c>
    </row>
    <row r="90" spans="1:7">
      <c r="A90" s="72" t="s">
        <v>778</v>
      </c>
      <c r="B90" s="72" t="s">
        <v>664</v>
      </c>
      <c r="C90" s="70" t="s">
        <v>1488</v>
      </c>
      <c r="G90" s="74">
        <v>45069.611296296294</v>
      </c>
    </row>
    <row r="91" spans="1:7">
      <c r="A91" s="72" t="s">
        <v>778</v>
      </c>
      <c r="B91" s="72" t="s">
        <v>665</v>
      </c>
      <c r="C91" s="70" t="s">
        <v>1490</v>
      </c>
      <c r="G91" s="74">
        <v>45069.611296296294</v>
      </c>
    </row>
    <row r="92" spans="1:7">
      <c r="A92" s="72" t="s">
        <v>778</v>
      </c>
      <c r="B92" s="72" t="s">
        <v>666</v>
      </c>
      <c r="C92" s="70" t="s">
        <v>1354</v>
      </c>
      <c r="G92" s="74">
        <v>45069.611296296294</v>
      </c>
    </row>
    <row r="93" spans="1:7">
      <c r="A93" s="72" t="s">
        <v>778</v>
      </c>
      <c r="B93" s="72" t="s">
        <v>667</v>
      </c>
      <c r="G93" s="74">
        <v>45069.611296296294</v>
      </c>
    </row>
    <row r="94" spans="1:7">
      <c r="A94" s="72" t="s">
        <v>705</v>
      </c>
      <c r="B94" s="72" t="s">
        <v>710</v>
      </c>
      <c r="C94" s="70" t="b">
        <v>1</v>
      </c>
      <c r="F94" s="74"/>
      <c r="G94" s="74">
        <v>44717.850543981483</v>
      </c>
    </row>
    <row r="95" spans="1:7">
      <c r="A95" s="72" t="s">
        <v>705</v>
      </c>
      <c r="B95" s="72" t="s">
        <v>721</v>
      </c>
      <c r="C95" s="70" t="b">
        <v>1</v>
      </c>
      <c r="F95" s="74"/>
      <c r="G95" s="74">
        <v>44717.850543981483</v>
      </c>
    </row>
    <row r="96" spans="1:7">
      <c r="A96" s="72" t="s">
        <v>705</v>
      </c>
      <c r="B96" s="72" t="s">
        <v>720</v>
      </c>
      <c r="C96" s="70" t="b">
        <v>0</v>
      </c>
      <c r="F96" s="74"/>
      <c r="G96" s="74">
        <v>44717.850543981483</v>
      </c>
    </row>
    <row r="97" spans="1:7">
      <c r="A97" s="72" t="s">
        <v>705</v>
      </c>
      <c r="B97" s="72" t="s">
        <v>709</v>
      </c>
      <c r="C97" s="70" t="b">
        <v>0</v>
      </c>
      <c r="F97" s="74"/>
      <c r="G97" s="74">
        <v>44717.850543981483</v>
      </c>
    </row>
    <row r="98" spans="1:7">
      <c r="A98" s="72" t="s">
        <v>705</v>
      </c>
      <c r="B98" s="72" t="s">
        <v>719</v>
      </c>
      <c r="C98" s="70" t="b">
        <v>0</v>
      </c>
      <c r="F98" s="74"/>
      <c r="G98" s="74">
        <v>44717.850543981483</v>
      </c>
    </row>
    <row r="99" spans="1:7">
      <c r="A99" s="72" t="s">
        <v>705</v>
      </c>
      <c r="B99" s="72" t="s">
        <v>717</v>
      </c>
      <c r="C99" s="70" t="b">
        <v>1</v>
      </c>
      <c r="F99" s="74"/>
      <c r="G99" s="74">
        <v>44717.850543981483</v>
      </c>
    </row>
    <row r="100" spans="1:7">
      <c r="A100" s="72" t="s">
        <v>705</v>
      </c>
      <c r="B100" s="72" t="s">
        <v>718</v>
      </c>
      <c r="C100" s="70" t="b">
        <v>0</v>
      </c>
      <c r="F100" s="74"/>
      <c r="G100" s="74">
        <v>44717.850543981483</v>
      </c>
    </row>
    <row r="101" spans="1:7">
      <c r="A101" s="72" t="s">
        <v>705</v>
      </c>
      <c r="B101" s="72" t="s">
        <v>713</v>
      </c>
      <c r="C101" s="70" t="b">
        <v>0</v>
      </c>
      <c r="F101" s="74"/>
      <c r="G101" s="74">
        <v>44717.850543981483</v>
      </c>
    </row>
    <row r="102" spans="1:7">
      <c r="A102" s="72" t="s">
        <v>705</v>
      </c>
      <c r="B102" s="72" t="s">
        <v>708</v>
      </c>
      <c r="C102" s="70" t="b">
        <v>0</v>
      </c>
      <c r="F102" s="74"/>
      <c r="G102" s="74">
        <v>44717.850543981483</v>
      </c>
    </row>
    <row r="103" spans="1:7">
      <c r="A103" s="72" t="s">
        <v>705</v>
      </c>
      <c r="B103" s="72" t="s">
        <v>707</v>
      </c>
      <c r="C103" s="70" t="b">
        <v>0</v>
      </c>
      <c r="F103" s="74"/>
      <c r="G103" s="74">
        <v>44717.850543981483</v>
      </c>
    </row>
    <row r="104" spans="1:7">
      <c r="A104" s="72" t="s">
        <v>705</v>
      </c>
      <c r="B104" s="72" t="s">
        <v>706</v>
      </c>
      <c r="C104" s="70" t="b">
        <v>0</v>
      </c>
      <c r="F104" s="74"/>
      <c r="G104" s="74">
        <v>44717.850543981483</v>
      </c>
    </row>
    <row r="105" spans="1:7">
      <c r="A105" s="72" t="s">
        <v>705</v>
      </c>
      <c r="B105" s="72" t="s">
        <v>715</v>
      </c>
      <c r="C105" s="70">
        <v>0</v>
      </c>
      <c r="F105" s="74"/>
      <c r="G105" s="74">
        <v>44717.850543981483</v>
      </c>
    </row>
    <row r="106" spans="1:7">
      <c r="A106" s="72" t="s">
        <v>705</v>
      </c>
      <c r="B106" s="72" t="s">
        <v>714</v>
      </c>
      <c r="C106" s="70">
        <v>80</v>
      </c>
      <c r="F106" s="74"/>
      <c r="G106" s="74">
        <v>44717.850543981483</v>
      </c>
    </row>
    <row r="107" spans="1:7">
      <c r="A107" s="72" t="s">
        <v>705</v>
      </c>
      <c r="B107" s="72" t="s">
        <v>716</v>
      </c>
      <c r="F107" s="74"/>
      <c r="G107" s="74">
        <v>44717.850543981483</v>
      </c>
    </row>
    <row r="108" spans="1:7">
      <c r="A108" s="72" t="s">
        <v>705</v>
      </c>
      <c r="B108" s="72" t="s">
        <v>711</v>
      </c>
      <c r="C108" s="73">
        <v>44562</v>
      </c>
      <c r="F108" s="74"/>
      <c r="G108" s="74">
        <v>44717.850543981483</v>
      </c>
    </row>
    <row r="109" spans="1:7">
      <c r="A109" s="72" t="s">
        <v>705</v>
      </c>
      <c r="B109" s="72" t="s">
        <v>712</v>
      </c>
      <c r="C109" s="73">
        <v>44199</v>
      </c>
      <c r="F109" s="74"/>
      <c r="G109" s="74">
        <v>44717.850543981483</v>
      </c>
    </row>
  </sheetData>
  <sortState ref="A54:AB93">
    <sortCondition ref="A54:A93"/>
    <sortCondition ref="B54:B93"/>
  </sortState>
  <phoneticPr fontId="2"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DongRyeor.Lee</dc:creator>
  <cp:lastModifiedBy>신현규</cp:lastModifiedBy>
  <cp:lastPrinted>2022-06-05T11:24:31Z</cp:lastPrinted>
  <dcterms:created xsi:type="dcterms:W3CDTF">2018-02-18T09:45:14Z</dcterms:created>
  <dcterms:modified xsi:type="dcterms:W3CDTF">2025-12-29T02:25:02Z</dcterms:modified>
</cp:coreProperties>
</file>