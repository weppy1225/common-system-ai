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82109\Desktop\작업폴더\P250908080 반다이남코\01 프로젝트시작(PS)\"/>
    </mc:Choice>
  </mc:AlternateContent>
  <bookViews>
    <workbookView xWindow="0" yWindow="0" windowWidth="38400" windowHeight="12135"/>
  </bookViews>
  <sheets>
    <sheet name="개발현황" sheetId="7" r:id="rId1"/>
    <sheet name="담당자별공수" sheetId="8" r:id="rId2"/>
    <sheet name="진행상황" sheetId="9" r:id="rId3"/>
  </sheets>
  <definedNames>
    <definedName name="_xlnm._FilterDatabase" localSheetId="0" hidden="1">개발현황!$A$1:$AK$159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5" i="9" l="1"/>
  <c r="B5" i="9"/>
  <c r="C4" i="9"/>
  <c r="B4" i="9"/>
  <c r="C3" i="9"/>
  <c r="B3" i="9"/>
  <c r="AK224" i="7"/>
  <c r="AJ224" i="7"/>
  <c r="AK220" i="7"/>
  <c r="AJ220" i="7"/>
  <c r="AK214" i="7"/>
  <c r="AJ214" i="7"/>
  <c r="AK206" i="7"/>
  <c r="AJ206" i="7"/>
  <c r="AK201" i="7"/>
  <c r="AJ201" i="7"/>
  <c r="AK189" i="7"/>
  <c r="AJ189" i="7"/>
  <c r="AK182" i="7"/>
  <c r="AJ182" i="7"/>
  <c r="AK172" i="7"/>
  <c r="AJ172" i="7"/>
  <c r="AK168" i="7"/>
  <c r="AJ168" i="7"/>
  <c r="AK159" i="7"/>
  <c r="AJ159" i="7"/>
  <c r="AK150" i="7"/>
  <c r="AJ150" i="7"/>
  <c r="AK146" i="7"/>
  <c r="AJ146" i="7"/>
  <c r="AK134" i="7"/>
  <c r="AJ134" i="7"/>
  <c r="AK104" i="7"/>
  <c r="AJ104" i="7"/>
  <c r="AK95" i="7"/>
  <c r="AJ95" i="7"/>
  <c r="AK83" i="7"/>
  <c r="AJ83" i="7"/>
  <c r="AK52" i="7"/>
  <c r="AJ52" i="7"/>
  <c r="AK39" i="7"/>
  <c r="AJ39" i="7"/>
  <c r="AK19" i="7"/>
  <c r="AJ19" i="7"/>
  <c r="AK4" i="7"/>
  <c r="AK3" i="7" s="1"/>
  <c r="AJ4" i="7"/>
  <c r="AJ3" i="7" s="1"/>
  <c r="AH224" i="7"/>
  <c r="AH220" i="7"/>
  <c r="AH214" i="7"/>
  <c r="AH206" i="7"/>
  <c r="AH201" i="7"/>
  <c r="AH189" i="7"/>
  <c r="AH182" i="7"/>
  <c r="AH172" i="7"/>
  <c r="AH168" i="7"/>
  <c r="AH159" i="7"/>
  <c r="AH150" i="7"/>
  <c r="AH146" i="7"/>
  <c r="AH134" i="7"/>
  <c r="AH104" i="7"/>
  <c r="AH95" i="7"/>
  <c r="AH83" i="7"/>
  <c r="AH52" i="7"/>
  <c r="AH39" i="7"/>
  <c r="AH19" i="7"/>
  <c r="AH4" i="7"/>
  <c r="AG224" i="7"/>
  <c r="AG220" i="7"/>
  <c r="AG214" i="7"/>
  <c r="AG206" i="7"/>
  <c r="AG201" i="7"/>
  <c r="AG189" i="7"/>
  <c r="AG182" i="7"/>
  <c r="AG172" i="7"/>
  <c r="AG168" i="7"/>
  <c r="AG159" i="7"/>
  <c r="AG150" i="7"/>
  <c r="AG146" i="7"/>
  <c r="AG134" i="7"/>
  <c r="AG104" i="7"/>
  <c r="AG95" i="7"/>
  <c r="AG83" i="7"/>
  <c r="AG52" i="7"/>
  <c r="AG39" i="7"/>
  <c r="AG19" i="7"/>
  <c r="AH3" i="7"/>
  <c r="AG4" i="7"/>
  <c r="AG3" i="7" s="1"/>
  <c r="AF20" i="7" l="1"/>
  <c r="AF21" i="7"/>
  <c r="AF22" i="7"/>
  <c r="AF23" i="7"/>
  <c r="AE12" i="8"/>
  <c r="AD12" i="8"/>
  <c r="AC12" i="8"/>
  <c r="AB12" i="8"/>
  <c r="AA12" i="8"/>
  <c r="Z12" i="8"/>
  <c r="Y12" i="8"/>
  <c r="X12" i="8"/>
  <c r="W12" i="8"/>
  <c r="V12" i="8"/>
  <c r="U12" i="8"/>
  <c r="T12" i="8"/>
  <c r="S12" i="8"/>
  <c r="R12" i="8"/>
  <c r="Q12" i="8"/>
  <c r="P12" i="8"/>
  <c r="O12" i="8"/>
  <c r="N12" i="8"/>
  <c r="M12" i="8"/>
  <c r="AE13" i="8"/>
  <c r="AD13" i="8"/>
  <c r="AC13" i="8"/>
  <c r="AB13" i="8"/>
  <c r="AA13" i="8"/>
  <c r="Z13" i="8"/>
  <c r="Y13" i="8"/>
  <c r="X13" i="8"/>
  <c r="W13" i="8"/>
  <c r="V13" i="8"/>
  <c r="U13" i="8"/>
  <c r="T13" i="8"/>
  <c r="S13" i="8"/>
  <c r="R13" i="8"/>
  <c r="Q13" i="8"/>
  <c r="P13" i="8"/>
  <c r="O13" i="8"/>
  <c r="N13" i="8"/>
  <c r="M13" i="8"/>
  <c r="AE11" i="8"/>
  <c r="AD11" i="8"/>
  <c r="AC11" i="8"/>
  <c r="AB11" i="8"/>
  <c r="AA11" i="8"/>
  <c r="Z11" i="8"/>
  <c r="Y11" i="8"/>
  <c r="X11" i="8"/>
  <c r="W11" i="8"/>
  <c r="V11" i="8"/>
  <c r="U11" i="8"/>
  <c r="T11" i="8"/>
  <c r="S11" i="8"/>
  <c r="R11" i="8"/>
  <c r="Q11" i="8"/>
  <c r="P11" i="8"/>
  <c r="O11" i="8"/>
  <c r="N11" i="8"/>
  <c r="M11" i="8"/>
  <c r="AE10" i="8"/>
  <c r="AD10" i="8"/>
  <c r="AC10" i="8"/>
  <c r="AB10" i="8"/>
  <c r="AA10" i="8"/>
  <c r="Z10" i="8"/>
  <c r="Y10" i="8"/>
  <c r="X10" i="8"/>
  <c r="W10" i="8"/>
  <c r="V10" i="8"/>
  <c r="U10" i="8"/>
  <c r="T10" i="8"/>
  <c r="S10" i="8"/>
  <c r="R10" i="8"/>
  <c r="Q10" i="8"/>
  <c r="P10" i="8"/>
  <c r="O10" i="8"/>
  <c r="N10" i="8"/>
  <c r="M10" i="8"/>
  <c r="AE9" i="8"/>
  <c r="AD9" i="8"/>
  <c r="AC9" i="8"/>
  <c r="AB9" i="8"/>
  <c r="AA9" i="8"/>
  <c r="Z9" i="8"/>
  <c r="Y9" i="8"/>
  <c r="X9" i="8"/>
  <c r="W9" i="8"/>
  <c r="V9" i="8"/>
  <c r="U9" i="8"/>
  <c r="T9" i="8"/>
  <c r="S9" i="8"/>
  <c r="R9" i="8"/>
  <c r="Q9" i="8"/>
  <c r="P9" i="8"/>
  <c r="O9" i="8"/>
  <c r="N9" i="8"/>
  <c r="M9" i="8"/>
  <c r="AE8" i="8"/>
  <c r="AD8" i="8"/>
  <c r="AC8" i="8"/>
  <c r="AB8" i="8"/>
  <c r="AA8" i="8"/>
  <c r="Z8" i="8"/>
  <c r="Y8" i="8"/>
  <c r="X8" i="8"/>
  <c r="W8" i="8"/>
  <c r="V8" i="8"/>
  <c r="U8" i="8"/>
  <c r="T8" i="8"/>
  <c r="S8" i="8"/>
  <c r="R8" i="8"/>
  <c r="Q8" i="8"/>
  <c r="P8" i="8"/>
  <c r="O8" i="8"/>
  <c r="N8" i="8"/>
  <c r="M8" i="8"/>
  <c r="AE7" i="8"/>
  <c r="AD7" i="8"/>
  <c r="AC7" i="8"/>
  <c r="AB7" i="8"/>
  <c r="AA7" i="8"/>
  <c r="Z7" i="8"/>
  <c r="Y7" i="8"/>
  <c r="X7" i="8"/>
  <c r="W7" i="8"/>
  <c r="V7" i="8"/>
  <c r="U7" i="8"/>
  <c r="T7" i="8"/>
  <c r="S7" i="8"/>
  <c r="R7" i="8"/>
  <c r="Q7" i="8"/>
  <c r="P7" i="8"/>
  <c r="O7" i="8"/>
  <c r="N7" i="8"/>
  <c r="M7" i="8"/>
  <c r="AE6" i="8"/>
  <c r="AD6" i="8"/>
  <c r="AC6" i="8"/>
  <c r="AB6" i="8"/>
  <c r="AA6" i="8"/>
  <c r="Z6" i="8"/>
  <c r="Y6" i="8"/>
  <c r="X6" i="8"/>
  <c r="W6" i="8"/>
  <c r="V6" i="8"/>
  <c r="U6" i="8"/>
  <c r="T6" i="8"/>
  <c r="S6" i="8"/>
  <c r="R6" i="8"/>
  <c r="Q6" i="8"/>
  <c r="P6" i="8"/>
  <c r="O6" i="8"/>
  <c r="N6" i="8"/>
  <c r="M6" i="8"/>
  <c r="AE5" i="8"/>
  <c r="AD5" i="8"/>
  <c r="AC5" i="8"/>
  <c r="AB5" i="8"/>
  <c r="AA5" i="8"/>
  <c r="Z5" i="8"/>
  <c r="Y5" i="8"/>
  <c r="X5" i="8"/>
  <c r="W5" i="8"/>
  <c r="V5" i="8"/>
  <c r="U5" i="8"/>
  <c r="T5" i="8"/>
  <c r="S5" i="8"/>
  <c r="R5" i="8"/>
  <c r="Q5" i="8"/>
  <c r="P5" i="8"/>
  <c r="O5" i="8"/>
  <c r="N5" i="8"/>
  <c r="M5" i="8"/>
  <c r="AE4" i="8"/>
  <c r="AD4" i="8"/>
  <c r="AC4" i="8"/>
  <c r="AB4" i="8"/>
  <c r="AA4" i="8"/>
  <c r="Z4" i="8"/>
  <c r="Y4" i="8"/>
  <c r="X4" i="8"/>
  <c r="W4" i="8"/>
  <c r="V4" i="8"/>
  <c r="U4" i="8"/>
  <c r="T4" i="8"/>
  <c r="S4" i="8"/>
  <c r="R4" i="8"/>
  <c r="Q4" i="8"/>
  <c r="P4" i="8"/>
  <c r="O4" i="8"/>
  <c r="N4" i="8"/>
  <c r="M4" i="8"/>
  <c r="B11" i="8"/>
  <c r="B10" i="8"/>
  <c r="B9" i="8"/>
  <c r="B8" i="8"/>
  <c r="B7" i="8"/>
  <c r="B6" i="8"/>
  <c r="B5" i="8"/>
  <c r="B4" i="8"/>
  <c r="B13" i="8"/>
  <c r="B12" i="8"/>
  <c r="K224" i="7"/>
  <c r="J224" i="7"/>
  <c r="K220" i="7"/>
  <c r="J220" i="7"/>
  <c r="K214" i="7"/>
  <c r="J214" i="7"/>
  <c r="K206" i="7"/>
  <c r="J206" i="7"/>
  <c r="K201" i="7"/>
  <c r="J201" i="7"/>
  <c r="K189" i="7"/>
  <c r="J189" i="7"/>
  <c r="K182" i="7"/>
  <c r="J182" i="7"/>
  <c r="K172" i="7"/>
  <c r="J172" i="7"/>
  <c r="K168" i="7"/>
  <c r="J168" i="7"/>
  <c r="K159" i="7"/>
  <c r="J159" i="7"/>
  <c r="K150" i="7"/>
  <c r="J150" i="7"/>
  <c r="K146" i="7"/>
  <c r="J146" i="7"/>
  <c r="K134" i="7"/>
  <c r="J134" i="7"/>
  <c r="K104" i="7"/>
  <c r="J104" i="7"/>
  <c r="K95" i="7"/>
  <c r="L95" i="7" s="1"/>
  <c r="J95" i="7"/>
  <c r="K83" i="7"/>
  <c r="J83" i="7"/>
  <c r="L53" i="7"/>
  <c r="K52" i="7"/>
  <c r="J52" i="7"/>
  <c r="L40" i="7"/>
  <c r="K39" i="7"/>
  <c r="J39" i="7"/>
  <c r="L37" i="7"/>
  <c r="L36" i="7"/>
  <c r="L35" i="7"/>
  <c r="L34" i="7"/>
  <c r="L33" i="7"/>
  <c r="L32" i="7"/>
  <c r="L31" i="7"/>
  <c r="L29" i="7"/>
  <c r="L28" i="7"/>
  <c r="L27" i="7"/>
  <c r="L26" i="7"/>
  <c r="L25" i="7"/>
  <c r="L24" i="7"/>
  <c r="L23" i="7"/>
  <c r="L22" i="7"/>
  <c r="L21" i="7"/>
  <c r="L20" i="7"/>
  <c r="K19" i="7"/>
  <c r="J19" i="7"/>
  <c r="L18" i="7"/>
  <c r="L17" i="7"/>
  <c r="L16" i="7"/>
  <c r="L15" i="7"/>
  <c r="L14" i="7"/>
  <c r="L13" i="7"/>
  <c r="L12" i="7"/>
  <c r="L11" i="7"/>
  <c r="L10" i="7"/>
  <c r="L9" i="7"/>
  <c r="L8" i="7"/>
  <c r="L7" i="7"/>
  <c r="L6" i="7"/>
  <c r="L5" i="7"/>
  <c r="K4" i="7"/>
  <c r="J4" i="7"/>
  <c r="AI235" i="7"/>
  <c r="AF235" i="7"/>
  <c r="AI234" i="7"/>
  <c r="AF234" i="7"/>
  <c r="AI233" i="7"/>
  <c r="AF233" i="7"/>
  <c r="AI232" i="7"/>
  <c r="AF232" i="7"/>
  <c r="AI231" i="7"/>
  <c r="AF231" i="7"/>
  <c r="AI230" i="7"/>
  <c r="AF230" i="7"/>
  <c r="AI229" i="7"/>
  <c r="AF229" i="7"/>
  <c r="AI228" i="7"/>
  <c r="AF228" i="7"/>
  <c r="AI227" i="7"/>
  <c r="AF227" i="7"/>
  <c r="AI226" i="7"/>
  <c r="AF226" i="7"/>
  <c r="AI225" i="7"/>
  <c r="AF225" i="7"/>
  <c r="AI223" i="7"/>
  <c r="AF223" i="7"/>
  <c r="AI222" i="7"/>
  <c r="AF222" i="7"/>
  <c r="AI221" i="7"/>
  <c r="AF221" i="7"/>
  <c r="AI219" i="7"/>
  <c r="AF219" i="7"/>
  <c r="AI218" i="7"/>
  <c r="AF218" i="7"/>
  <c r="AI217" i="7"/>
  <c r="AF217" i="7"/>
  <c r="AI216" i="7"/>
  <c r="AF216" i="7"/>
  <c r="AI215" i="7"/>
  <c r="AF215" i="7"/>
  <c r="AI213" i="7"/>
  <c r="AF213" i="7"/>
  <c r="AI212" i="7"/>
  <c r="AF212" i="7"/>
  <c r="AI211" i="7"/>
  <c r="AF211" i="7"/>
  <c r="AI210" i="7"/>
  <c r="AF210" i="7"/>
  <c r="AI209" i="7"/>
  <c r="AF209" i="7"/>
  <c r="AI208" i="7"/>
  <c r="AF208" i="7"/>
  <c r="AI207" i="7"/>
  <c r="AF207" i="7"/>
  <c r="AI205" i="7"/>
  <c r="AF205" i="7"/>
  <c r="AI204" i="7"/>
  <c r="AF204" i="7"/>
  <c r="AI203" i="7"/>
  <c r="AF203" i="7"/>
  <c r="AI202" i="7"/>
  <c r="AF202" i="7"/>
  <c r="AI200" i="7"/>
  <c r="AF200" i="7"/>
  <c r="AI199" i="7"/>
  <c r="AF199" i="7"/>
  <c r="AI198" i="7"/>
  <c r="AF198" i="7"/>
  <c r="AI197" i="7"/>
  <c r="AF197" i="7"/>
  <c r="AI196" i="7"/>
  <c r="AF196" i="7"/>
  <c r="AI195" i="7"/>
  <c r="AF195" i="7"/>
  <c r="AI194" i="7"/>
  <c r="AF194" i="7"/>
  <c r="AI193" i="7"/>
  <c r="AF193" i="7"/>
  <c r="AI192" i="7"/>
  <c r="AF192" i="7"/>
  <c r="AI191" i="7"/>
  <c r="AF191" i="7"/>
  <c r="AI190" i="7"/>
  <c r="AF190" i="7"/>
  <c r="AI188" i="7"/>
  <c r="AF188" i="7"/>
  <c r="AI187" i="7"/>
  <c r="AF187" i="7"/>
  <c r="AI186" i="7"/>
  <c r="AF186" i="7"/>
  <c r="AI185" i="7"/>
  <c r="AF185" i="7"/>
  <c r="AI184" i="7"/>
  <c r="AF184" i="7"/>
  <c r="AI183" i="7"/>
  <c r="AF183" i="7"/>
  <c r="AI181" i="7"/>
  <c r="AF181" i="7"/>
  <c r="AI180" i="7"/>
  <c r="AF180" i="7"/>
  <c r="AI179" i="7"/>
  <c r="AF179" i="7"/>
  <c r="AI178" i="7"/>
  <c r="AF178" i="7"/>
  <c r="AI177" i="7"/>
  <c r="AF177" i="7"/>
  <c r="AI176" i="7"/>
  <c r="AF176" i="7"/>
  <c r="AI175" i="7"/>
  <c r="AF175" i="7"/>
  <c r="AI174" i="7"/>
  <c r="AF174" i="7"/>
  <c r="AI173" i="7"/>
  <c r="AF173" i="7"/>
  <c r="AI171" i="7"/>
  <c r="AF171" i="7"/>
  <c r="AI170" i="7"/>
  <c r="AF170" i="7"/>
  <c r="AI169" i="7"/>
  <c r="AF169" i="7"/>
  <c r="AI167" i="7"/>
  <c r="AF167" i="7"/>
  <c r="AI166" i="7"/>
  <c r="AF166" i="7"/>
  <c r="AI165" i="7"/>
  <c r="AF165" i="7"/>
  <c r="AI164" i="7"/>
  <c r="AF164" i="7"/>
  <c r="AI163" i="7"/>
  <c r="AF163" i="7"/>
  <c r="AI162" i="7"/>
  <c r="AF162" i="7"/>
  <c r="AI161" i="7"/>
  <c r="AF161" i="7"/>
  <c r="AI160" i="7"/>
  <c r="AF160" i="7"/>
  <c r="AI158" i="7"/>
  <c r="AF158" i="7"/>
  <c r="AI157" i="7"/>
  <c r="AF157" i="7"/>
  <c r="AI156" i="7"/>
  <c r="AF156" i="7"/>
  <c r="AI155" i="7"/>
  <c r="AF155" i="7"/>
  <c r="AI154" i="7"/>
  <c r="AF154" i="7"/>
  <c r="AI153" i="7"/>
  <c r="AF153" i="7"/>
  <c r="AI152" i="7"/>
  <c r="AF152" i="7"/>
  <c r="AI151" i="7"/>
  <c r="AF151" i="7"/>
  <c r="AI149" i="7"/>
  <c r="AF149" i="7"/>
  <c r="AI148" i="7"/>
  <c r="AF148" i="7"/>
  <c r="AI147" i="7"/>
  <c r="AF147" i="7"/>
  <c r="AI145" i="7"/>
  <c r="AF145" i="7"/>
  <c r="AI144" i="7"/>
  <c r="AF144" i="7"/>
  <c r="AI143" i="7"/>
  <c r="AF143" i="7"/>
  <c r="AI142" i="7"/>
  <c r="AF142" i="7"/>
  <c r="AI141" i="7"/>
  <c r="AF141" i="7"/>
  <c r="AI140" i="7"/>
  <c r="AF140" i="7"/>
  <c r="AI139" i="7"/>
  <c r="AF139" i="7"/>
  <c r="AI138" i="7"/>
  <c r="AF138" i="7"/>
  <c r="AI137" i="7"/>
  <c r="AF137" i="7"/>
  <c r="AI136" i="7"/>
  <c r="AF136" i="7"/>
  <c r="AI135" i="7"/>
  <c r="AF135" i="7"/>
  <c r="AI133" i="7"/>
  <c r="AF133" i="7"/>
  <c r="AI132" i="7"/>
  <c r="AF132" i="7"/>
  <c r="AI131" i="7"/>
  <c r="AF131" i="7"/>
  <c r="AI130" i="7"/>
  <c r="AF130" i="7"/>
  <c r="AI129" i="7"/>
  <c r="AF129" i="7"/>
  <c r="AI128" i="7"/>
  <c r="AF128" i="7"/>
  <c r="AI127" i="7"/>
  <c r="AF127" i="7"/>
  <c r="AI126" i="7"/>
  <c r="AF126" i="7"/>
  <c r="AI125" i="7"/>
  <c r="AF125" i="7"/>
  <c r="AI124" i="7"/>
  <c r="AF124" i="7"/>
  <c r="AI123" i="7"/>
  <c r="AF123" i="7"/>
  <c r="AI122" i="7"/>
  <c r="AF122" i="7"/>
  <c r="AI121" i="7"/>
  <c r="AF121" i="7"/>
  <c r="AI120" i="7"/>
  <c r="AF120" i="7"/>
  <c r="AI119" i="7"/>
  <c r="AF119" i="7"/>
  <c r="AI118" i="7"/>
  <c r="AF118" i="7"/>
  <c r="AI117" i="7"/>
  <c r="AF117" i="7"/>
  <c r="AI116" i="7"/>
  <c r="AF116" i="7"/>
  <c r="AI115" i="7"/>
  <c r="AF115" i="7"/>
  <c r="AI114" i="7"/>
  <c r="AF114" i="7"/>
  <c r="AI113" i="7"/>
  <c r="AF113" i="7"/>
  <c r="AI112" i="7"/>
  <c r="AF112" i="7"/>
  <c r="AI111" i="7"/>
  <c r="AF111" i="7"/>
  <c r="AI110" i="7"/>
  <c r="AF110" i="7"/>
  <c r="AI109" i="7"/>
  <c r="AF109" i="7"/>
  <c r="AI108" i="7"/>
  <c r="AF108" i="7"/>
  <c r="AI107" i="7"/>
  <c r="AF107" i="7"/>
  <c r="AI106" i="7"/>
  <c r="AF106" i="7"/>
  <c r="AI105" i="7"/>
  <c r="AF105" i="7"/>
  <c r="AI103" i="7"/>
  <c r="AF103" i="7"/>
  <c r="AI102" i="7"/>
  <c r="AF102" i="7"/>
  <c r="AI101" i="7"/>
  <c r="AF101" i="7"/>
  <c r="AI100" i="7"/>
  <c r="AF100" i="7"/>
  <c r="AI99" i="7"/>
  <c r="AF99" i="7"/>
  <c r="AI98" i="7"/>
  <c r="AF98" i="7"/>
  <c r="AI97" i="7"/>
  <c r="AF97" i="7"/>
  <c r="AI96" i="7"/>
  <c r="AF96" i="7"/>
  <c r="AI94" i="7"/>
  <c r="AF94" i="7"/>
  <c r="AI93" i="7"/>
  <c r="AF93" i="7"/>
  <c r="AI92" i="7"/>
  <c r="AF92" i="7"/>
  <c r="AI91" i="7"/>
  <c r="AF91" i="7"/>
  <c r="AI90" i="7"/>
  <c r="AF90" i="7"/>
  <c r="AI89" i="7"/>
  <c r="AF89" i="7"/>
  <c r="AI88" i="7"/>
  <c r="AF88" i="7"/>
  <c r="AI87" i="7"/>
  <c r="AF87" i="7"/>
  <c r="AI86" i="7"/>
  <c r="AF86" i="7"/>
  <c r="AI85" i="7"/>
  <c r="AF85" i="7"/>
  <c r="AI84" i="7"/>
  <c r="AF84" i="7"/>
  <c r="AI82" i="7"/>
  <c r="AF82" i="7"/>
  <c r="AI81" i="7"/>
  <c r="AF81" i="7"/>
  <c r="AI80" i="7"/>
  <c r="AF80" i="7"/>
  <c r="AI79" i="7"/>
  <c r="AF79" i="7"/>
  <c r="AI78" i="7"/>
  <c r="AF78" i="7"/>
  <c r="AI77" i="7"/>
  <c r="AF77" i="7"/>
  <c r="AI76" i="7"/>
  <c r="AF76" i="7"/>
  <c r="AI75" i="7"/>
  <c r="AF75" i="7"/>
  <c r="AI74" i="7"/>
  <c r="AF74" i="7"/>
  <c r="AI73" i="7"/>
  <c r="AF73" i="7"/>
  <c r="AI72" i="7"/>
  <c r="AF72" i="7"/>
  <c r="AI71" i="7"/>
  <c r="AF71" i="7"/>
  <c r="AI70" i="7"/>
  <c r="AF70" i="7"/>
  <c r="AI69" i="7"/>
  <c r="AF69" i="7"/>
  <c r="AI68" i="7"/>
  <c r="AF68" i="7"/>
  <c r="AI67" i="7"/>
  <c r="AF67" i="7"/>
  <c r="AI66" i="7"/>
  <c r="AF66" i="7"/>
  <c r="AI65" i="7"/>
  <c r="AF65" i="7"/>
  <c r="AI64" i="7"/>
  <c r="AF64" i="7"/>
  <c r="AI63" i="7"/>
  <c r="AF63" i="7"/>
  <c r="AI62" i="7"/>
  <c r="AF62" i="7"/>
  <c r="AI61" i="7"/>
  <c r="AF61" i="7"/>
  <c r="AI60" i="7"/>
  <c r="AF60" i="7"/>
  <c r="AI59" i="7"/>
  <c r="AF59" i="7"/>
  <c r="AI58" i="7"/>
  <c r="AF58" i="7"/>
  <c r="AI57" i="7"/>
  <c r="AF57" i="7"/>
  <c r="AI56" i="7"/>
  <c r="AF56" i="7"/>
  <c r="AI55" i="7"/>
  <c r="AF55" i="7"/>
  <c r="AI54" i="7"/>
  <c r="AF54" i="7"/>
  <c r="AI53" i="7"/>
  <c r="AF53" i="7"/>
  <c r="AI51" i="7"/>
  <c r="AF51" i="7"/>
  <c r="AI50" i="7"/>
  <c r="AF50" i="7"/>
  <c r="AI49" i="7"/>
  <c r="AF49" i="7"/>
  <c r="AI48" i="7"/>
  <c r="AF48" i="7"/>
  <c r="AI47" i="7"/>
  <c r="AF47" i="7"/>
  <c r="AI46" i="7"/>
  <c r="AF46" i="7"/>
  <c r="AI45" i="7"/>
  <c r="AF45" i="7"/>
  <c r="AI44" i="7"/>
  <c r="AF44" i="7"/>
  <c r="AI43" i="7"/>
  <c r="AF43" i="7"/>
  <c r="AI42" i="7"/>
  <c r="AF42" i="7"/>
  <c r="AI41" i="7"/>
  <c r="AF41" i="7"/>
  <c r="AI40" i="7"/>
  <c r="AF40" i="7"/>
  <c r="AI38" i="7"/>
  <c r="AF38" i="7"/>
  <c r="AI37" i="7"/>
  <c r="AF37" i="7"/>
  <c r="AI36" i="7"/>
  <c r="AF36" i="7"/>
  <c r="AI35" i="7"/>
  <c r="AF35" i="7"/>
  <c r="AI34" i="7"/>
  <c r="AF34" i="7"/>
  <c r="AI33" i="7"/>
  <c r="AF33" i="7"/>
  <c r="AI32" i="7"/>
  <c r="AF32" i="7"/>
  <c r="AI31" i="7"/>
  <c r="AF31" i="7"/>
  <c r="AI30" i="7"/>
  <c r="AF30" i="7"/>
  <c r="AI29" i="7"/>
  <c r="AF29" i="7"/>
  <c r="AI28" i="7"/>
  <c r="AF28" i="7"/>
  <c r="AI27" i="7"/>
  <c r="AF27" i="7"/>
  <c r="AI26" i="7"/>
  <c r="AF26" i="7"/>
  <c r="AI25" i="7"/>
  <c r="AF25" i="7"/>
  <c r="AI24" i="7"/>
  <c r="AF24" i="7"/>
  <c r="AI23" i="7"/>
  <c r="AI22" i="7"/>
  <c r="AI21" i="7"/>
  <c r="AI20" i="7"/>
  <c r="AI18" i="7"/>
  <c r="AF18" i="7"/>
  <c r="AI17" i="7"/>
  <c r="AF17" i="7"/>
  <c r="AI16" i="7"/>
  <c r="AF16" i="7"/>
  <c r="AI15" i="7"/>
  <c r="AF15" i="7"/>
  <c r="AI14" i="7"/>
  <c r="AF14" i="7"/>
  <c r="AI13" i="7"/>
  <c r="AF13" i="7"/>
  <c r="AI12" i="7"/>
  <c r="AF12" i="7"/>
  <c r="AI11" i="7"/>
  <c r="AF11" i="7"/>
  <c r="AI10" i="7"/>
  <c r="AF10" i="7"/>
  <c r="AI9" i="7"/>
  <c r="AF9" i="7"/>
  <c r="AI8" i="7"/>
  <c r="AF8" i="7"/>
  <c r="AI7" i="7"/>
  <c r="AF7" i="7"/>
  <c r="AI6" i="7"/>
  <c r="AF6" i="7"/>
  <c r="AI5" i="7"/>
  <c r="AF5" i="7"/>
  <c r="L235" i="7"/>
  <c r="L234" i="7"/>
  <c r="L233" i="7"/>
  <c r="L232" i="7"/>
  <c r="L231" i="7"/>
  <c r="L230" i="7"/>
  <c r="L229" i="7"/>
  <c r="L228" i="7"/>
  <c r="L227" i="7"/>
  <c r="L226" i="7"/>
  <c r="L225" i="7"/>
  <c r="L223" i="7"/>
  <c r="L222" i="7"/>
  <c r="L221" i="7"/>
  <c r="L219" i="7"/>
  <c r="L218" i="7"/>
  <c r="L217" i="7"/>
  <c r="L216" i="7"/>
  <c r="L215" i="7"/>
  <c r="L213" i="7"/>
  <c r="L212" i="7"/>
  <c r="L211" i="7"/>
  <c r="L210" i="7"/>
  <c r="L209" i="7"/>
  <c r="L208" i="7"/>
  <c r="L207" i="7"/>
  <c r="L205" i="7"/>
  <c r="L204" i="7"/>
  <c r="L203" i="7"/>
  <c r="L202" i="7"/>
  <c r="L200" i="7"/>
  <c r="L199" i="7"/>
  <c r="L198" i="7"/>
  <c r="L197" i="7"/>
  <c r="L196" i="7"/>
  <c r="L195" i="7"/>
  <c r="L194" i="7"/>
  <c r="L193" i="7"/>
  <c r="L192" i="7"/>
  <c r="L191" i="7"/>
  <c r="L190" i="7"/>
  <c r="L188" i="7"/>
  <c r="L187" i="7"/>
  <c r="L186" i="7"/>
  <c r="L185" i="7"/>
  <c r="L184" i="7"/>
  <c r="L183" i="7"/>
  <c r="L181" i="7"/>
  <c r="L180" i="7"/>
  <c r="L179" i="7"/>
  <c r="L178" i="7"/>
  <c r="L177" i="7"/>
  <c r="L176" i="7"/>
  <c r="L175" i="7"/>
  <c r="L174" i="7"/>
  <c r="L173" i="7"/>
  <c r="L171" i="7"/>
  <c r="L170" i="7"/>
  <c r="L169" i="7"/>
  <c r="L167" i="7"/>
  <c r="L166" i="7"/>
  <c r="L165" i="7"/>
  <c r="L164" i="7"/>
  <c r="L163" i="7"/>
  <c r="L162" i="7"/>
  <c r="L161" i="7"/>
  <c r="L160" i="7"/>
  <c r="L158" i="7"/>
  <c r="L157" i="7"/>
  <c r="L156" i="7"/>
  <c r="L155" i="7"/>
  <c r="L154" i="7"/>
  <c r="L153" i="7"/>
  <c r="L152" i="7"/>
  <c r="L151" i="7"/>
  <c r="L149" i="7"/>
  <c r="L148" i="7"/>
  <c r="L147" i="7"/>
  <c r="L145" i="7"/>
  <c r="L144" i="7"/>
  <c r="L143" i="7"/>
  <c r="L142" i="7"/>
  <c r="L141" i="7"/>
  <c r="L140" i="7"/>
  <c r="L139" i="7"/>
  <c r="L138" i="7"/>
  <c r="L137" i="7"/>
  <c r="L136" i="7"/>
  <c r="L135" i="7"/>
  <c r="L133" i="7"/>
  <c r="L132" i="7"/>
  <c r="L131" i="7"/>
  <c r="L130" i="7"/>
  <c r="L129" i="7"/>
  <c r="L128" i="7"/>
  <c r="L127" i="7"/>
  <c r="L126" i="7"/>
  <c r="L125" i="7"/>
  <c r="L124" i="7"/>
  <c r="L123" i="7"/>
  <c r="L122" i="7"/>
  <c r="L121" i="7"/>
  <c r="L120" i="7"/>
  <c r="L119" i="7"/>
  <c r="L118" i="7"/>
  <c r="L117" i="7"/>
  <c r="L116" i="7"/>
  <c r="L115" i="7"/>
  <c r="L114" i="7"/>
  <c r="L113" i="7"/>
  <c r="L112" i="7"/>
  <c r="L111" i="7"/>
  <c r="L110" i="7"/>
  <c r="L109" i="7"/>
  <c r="L108" i="7"/>
  <c r="L107" i="7"/>
  <c r="L106" i="7"/>
  <c r="L105" i="7"/>
  <c r="L103" i="7"/>
  <c r="L102" i="7"/>
  <c r="L101" i="7"/>
  <c r="L100" i="7"/>
  <c r="L99" i="7"/>
  <c r="L98" i="7"/>
  <c r="L97" i="7"/>
  <c r="L96" i="7"/>
  <c r="L94" i="7"/>
  <c r="L93" i="7"/>
  <c r="L92" i="7"/>
  <c r="L91" i="7"/>
  <c r="L90" i="7"/>
  <c r="L89" i="7"/>
  <c r="L88" i="7"/>
  <c r="L87" i="7"/>
  <c r="L86" i="7"/>
  <c r="L85" i="7"/>
  <c r="L84" i="7"/>
  <c r="L82" i="7"/>
  <c r="L81" i="7"/>
  <c r="L80" i="7"/>
  <c r="L79" i="7"/>
  <c r="L78" i="7"/>
  <c r="L77" i="7"/>
  <c r="L76" i="7"/>
  <c r="L75" i="7"/>
  <c r="L74" i="7"/>
  <c r="L73" i="7"/>
  <c r="L72" i="7"/>
  <c r="L71" i="7"/>
  <c r="L70" i="7"/>
  <c r="L69" i="7"/>
  <c r="L68" i="7"/>
  <c r="L67" i="7"/>
  <c r="L66" i="7"/>
  <c r="L65" i="7"/>
  <c r="L64" i="7"/>
  <c r="L63" i="7"/>
  <c r="L62" i="7"/>
  <c r="L61" i="7"/>
  <c r="L60" i="7"/>
  <c r="L59" i="7"/>
  <c r="L58" i="7"/>
  <c r="L57" i="7"/>
  <c r="L56" i="7"/>
  <c r="L55" i="7"/>
  <c r="L54" i="7"/>
  <c r="I224" i="7"/>
  <c r="I220" i="7"/>
  <c r="I214" i="7"/>
  <c r="I206" i="7"/>
  <c r="I201" i="7"/>
  <c r="I189" i="7"/>
  <c r="I182" i="7"/>
  <c r="I172" i="7"/>
  <c r="I168" i="7"/>
  <c r="I159" i="7"/>
  <c r="I150" i="7"/>
  <c r="I146" i="7"/>
  <c r="I134" i="7"/>
  <c r="I104" i="7"/>
  <c r="I95" i="7"/>
  <c r="I83" i="7"/>
  <c r="L51" i="7"/>
  <c r="L50" i="7"/>
  <c r="L49" i="7"/>
  <c r="L48" i="7"/>
  <c r="L47" i="7"/>
  <c r="L46" i="7"/>
  <c r="L45" i="7"/>
  <c r="L44" i="7"/>
  <c r="L43" i="7"/>
  <c r="L42" i="7"/>
  <c r="L41" i="7"/>
  <c r="I39" i="7"/>
  <c r="L38" i="7"/>
  <c r="L30" i="7"/>
  <c r="K3" i="7" l="1"/>
  <c r="C2" i="9" s="1"/>
  <c r="O14" i="8"/>
  <c r="N14" i="8"/>
  <c r="M14" i="8"/>
  <c r="J3" i="7"/>
  <c r="B2" i="9" s="1"/>
  <c r="I52" i="7"/>
  <c r="AE14" i="8" l="1"/>
  <c r="AD14" i="8"/>
  <c r="AC14" i="8"/>
  <c r="AB14" i="8"/>
  <c r="Z14" i="8"/>
  <c r="AA14" i="8"/>
  <c r="X14" i="8"/>
  <c r="Y14" i="8"/>
  <c r="V14" i="8"/>
  <c r="W14" i="8"/>
  <c r="U14" i="8"/>
  <c r="T14" i="8"/>
  <c r="S14" i="8"/>
  <c r="R14" i="8"/>
  <c r="Q14" i="8"/>
  <c r="P14" i="8"/>
  <c r="AF12" i="8"/>
  <c r="AF13" i="8"/>
  <c r="AF11" i="8"/>
  <c r="AF9" i="8"/>
  <c r="AF10" i="8"/>
  <c r="AF8" i="8"/>
  <c r="AF7" i="8"/>
  <c r="AF6" i="8"/>
  <c r="AF5" i="8"/>
  <c r="AF4" i="8"/>
  <c r="D4" i="9" l="1"/>
  <c r="D3" i="9"/>
  <c r="D5" i="9" l="1"/>
  <c r="D2" i="9"/>
</calcChain>
</file>

<file path=xl/sharedStrings.xml><?xml version="1.0" encoding="utf-8"?>
<sst xmlns="http://schemas.openxmlformats.org/spreadsheetml/2006/main" count="1179" uniqueCount="287">
  <si>
    <t>No.</t>
  </si>
  <si>
    <t>플랫폼</t>
    <phoneticPr fontId="3" type="noConversion"/>
  </si>
  <si>
    <t>대메뉴</t>
    <phoneticPr fontId="3" type="noConversion"/>
  </si>
  <si>
    <t>메뉴</t>
    <phoneticPr fontId="3" type="noConversion"/>
  </si>
  <si>
    <t>유형</t>
    <phoneticPr fontId="3" type="noConversion"/>
  </si>
  <si>
    <t>우선순위</t>
    <phoneticPr fontId="3" type="noConversion"/>
  </si>
  <si>
    <t>공수(M/D)</t>
    <phoneticPr fontId="3" type="noConversion"/>
  </si>
  <si>
    <t>화면</t>
    <phoneticPr fontId="3" type="noConversion"/>
  </si>
  <si>
    <t>2</t>
  </si>
  <si>
    <t>3</t>
  </si>
  <si>
    <t>4</t>
  </si>
  <si>
    <t>5</t>
  </si>
  <si>
    <t>6</t>
  </si>
  <si>
    <t>7</t>
  </si>
  <si>
    <t>9</t>
  </si>
  <si>
    <t>10</t>
  </si>
  <si>
    <t>11</t>
  </si>
  <si>
    <t>1</t>
    <phoneticPr fontId="6" type="noConversion"/>
  </si>
  <si>
    <t>1</t>
    <phoneticPr fontId="3" type="noConversion"/>
  </si>
  <si>
    <t>IF</t>
    <phoneticPr fontId="3" type="noConversion"/>
  </si>
  <si>
    <t>항목</t>
    <phoneticPr fontId="3" type="noConversion"/>
  </si>
  <si>
    <t>진행율</t>
    <phoneticPr fontId="3" type="noConversion"/>
  </si>
  <si>
    <t>2.3.1. 프로그램구현 및 개발자 테스트</t>
    <phoneticPr fontId="3" type="noConversion"/>
  </si>
  <si>
    <t>총 개발공수(M/D)</t>
    <phoneticPr fontId="3" type="noConversion"/>
  </si>
  <si>
    <t>2.3.3 매뉴얼 작성</t>
    <phoneticPr fontId="3" type="noConversion"/>
  </si>
  <si>
    <t>출력물</t>
    <phoneticPr fontId="3" type="noConversion"/>
  </si>
  <si>
    <t>2.3.2 단위테스트</t>
    <phoneticPr fontId="3" type="noConversion"/>
  </si>
  <si>
    <t>인원별 공수(개발)</t>
    <phoneticPr fontId="3" type="noConversion"/>
  </si>
  <si>
    <t>PDA</t>
    <phoneticPr fontId="3" type="noConversion"/>
  </si>
  <si>
    <t>12</t>
  </si>
  <si>
    <t>13</t>
  </si>
  <si>
    <t>계획</t>
    <phoneticPr fontId="3" type="noConversion"/>
  </si>
  <si>
    <t>실적</t>
    <phoneticPr fontId="3" type="noConversion"/>
  </si>
  <si>
    <t>8</t>
  </si>
  <si>
    <t>14</t>
  </si>
  <si>
    <t>15</t>
  </si>
  <si>
    <t>16</t>
  </si>
  <si>
    <t>김정훈</t>
    <phoneticPr fontId="6" type="noConversion"/>
  </si>
  <si>
    <t>백현주</t>
    <phoneticPr fontId="6" type="noConversion"/>
  </si>
  <si>
    <t>이영진</t>
    <phoneticPr fontId="6" type="noConversion"/>
  </si>
  <si>
    <t>김연수</t>
    <phoneticPr fontId="6" type="noConversion"/>
  </si>
  <si>
    <t>전민주</t>
    <phoneticPr fontId="6" type="noConversion"/>
  </si>
  <si>
    <t>사번체크</t>
    <phoneticPr fontId="6" type="noConversion"/>
  </si>
  <si>
    <t>진행율</t>
    <phoneticPr fontId="6" type="noConversion"/>
  </si>
  <si>
    <t>유형기</t>
    <phoneticPr fontId="6" type="noConversion"/>
  </si>
  <si>
    <t>2</t>
    <phoneticPr fontId="6" type="noConversion"/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</si>
  <si>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</si>
  <si>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</si>
  <si>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</si>
  <si>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</si>
  <si>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</si>
  <si>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</si>
  <si>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</si>
  <si>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</si>
  <si>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</si>
  <si>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</si>
  <si>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</si>
  <si>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29</t>
  </si>
  <si>
    <t>30</t>
  </si>
  <si>
    <t>완료기한</t>
    <phoneticPr fontId="6" type="noConversion"/>
  </si>
  <si>
    <t>개발담당자</t>
    <phoneticPr fontId="3" type="noConversion"/>
  </si>
  <si>
    <t>메뉴얼작성자</t>
    <phoneticPr fontId="6" type="noConversion"/>
  </si>
  <si>
    <t>단테
작성자</t>
    <phoneticPr fontId="6" type="noConversion"/>
  </si>
  <si>
    <t>작업일수</t>
    <phoneticPr fontId="2" type="noConversion"/>
  </si>
  <si>
    <t>2.3.1 개발- 프로그램  구현 및 개발자 테스트</t>
  </si>
  <si>
    <t>WEB</t>
    <phoneticPr fontId="3" type="noConversion"/>
  </si>
  <si>
    <t>사업장</t>
    <phoneticPr fontId="3" type="noConversion"/>
  </si>
  <si>
    <t>조회</t>
    <phoneticPr fontId="3" type="noConversion"/>
  </si>
  <si>
    <t>창고</t>
    <phoneticPr fontId="3" type="noConversion"/>
  </si>
  <si>
    <t>조회/등록/수정</t>
    <phoneticPr fontId="3" type="noConversion"/>
  </si>
  <si>
    <t>위치</t>
    <phoneticPr fontId="3" type="noConversion"/>
  </si>
  <si>
    <t>엑셀 업로드</t>
    <phoneticPr fontId="3" type="noConversion"/>
  </si>
  <si>
    <t>FNC</t>
    <phoneticPr fontId="3" type="noConversion"/>
  </si>
  <si>
    <t>라벨출력</t>
    <phoneticPr fontId="3" type="noConversion"/>
  </si>
  <si>
    <t>출력</t>
    <phoneticPr fontId="3" type="noConversion"/>
  </si>
  <si>
    <t>사용자</t>
    <phoneticPr fontId="3" type="noConversion"/>
  </si>
  <si>
    <t>등록/수정</t>
    <phoneticPr fontId="3" type="noConversion"/>
  </si>
  <si>
    <t>품목</t>
    <phoneticPr fontId="3" type="noConversion"/>
  </si>
  <si>
    <t>조회</t>
    <phoneticPr fontId="6" type="noConversion"/>
  </si>
  <si>
    <t>거래처</t>
    <phoneticPr fontId="3" type="noConversion"/>
  </si>
  <si>
    <t>수정</t>
    <phoneticPr fontId="3" type="noConversion"/>
  </si>
  <si>
    <t>세트구성</t>
    <phoneticPr fontId="3" type="noConversion"/>
  </si>
  <si>
    <t xml:space="preserve"> 기준정보</t>
    <phoneticPr fontId="3" type="noConversion"/>
  </si>
  <si>
    <t xml:space="preserve">  입고</t>
    <phoneticPr fontId="3" type="noConversion"/>
  </si>
  <si>
    <t>입고예정</t>
    <phoneticPr fontId="2" type="noConversion"/>
  </si>
  <si>
    <t>입고처리</t>
    <phoneticPr fontId="2" type="noConversion"/>
  </si>
  <si>
    <t>SKU 생성/취소</t>
    <phoneticPr fontId="6" type="noConversion"/>
  </si>
  <si>
    <t>SKU 라벨출력</t>
    <phoneticPr fontId="6" type="noConversion"/>
  </si>
  <si>
    <t>입고처리</t>
    <phoneticPr fontId="6" type="noConversion"/>
  </si>
  <si>
    <t>가입고처리</t>
    <phoneticPr fontId="6" type="noConversion"/>
  </si>
  <si>
    <t>검수</t>
    <phoneticPr fontId="6" type="noConversion"/>
  </si>
  <si>
    <t>품목분할</t>
    <phoneticPr fontId="6" type="noConversion"/>
  </si>
  <si>
    <t>입고지시서 출력</t>
    <phoneticPr fontId="6" type="noConversion"/>
  </si>
  <si>
    <t>강제확정</t>
    <phoneticPr fontId="6" type="noConversion"/>
  </si>
  <si>
    <t>입고처리 취소</t>
    <phoneticPr fontId="3" type="noConversion"/>
  </si>
  <si>
    <t>처리취소</t>
    <phoneticPr fontId="6" type="noConversion"/>
  </si>
  <si>
    <t>검수취소</t>
    <phoneticPr fontId="6" type="noConversion"/>
  </si>
  <si>
    <t>입고마감</t>
    <phoneticPr fontId="3" type="noConversion"/>
  </si>
  <si>
    <t>화면</t>
    <phoneticPr fontId="6" type="noConversion"/>
  </si>
  <si>
    <t>마감처리</t>
    <phoneticPr fontId="6" type="noConversion"/>
  </si>
  <si>
    <t>입고현황</t>
    <phoneticPr fontId="6" type="noConversion"/>
  </si>
  <si>
    <t>축산이력번호 등록</t>
    <phoneticPr fontId="6" type="noConversion"/>
  </si>
  <si>
    <t>엑셀 다운로드</t>
    <phoneticPr fontId="6" type="noConversion"/>
  </si>
  <si>
    <t xml:space="preserve"> 반품</t>
    <phoneticPr fontId="6" type="noConversion"/>
  </si>
  <si>
    <t>반품예정</t>
    <phoneticPr fontId="2" type="noConversion"/>
  </si>
  <si>
    <t>엑셀등록</t>
    <phoneticPr fontId="6" type="noConversion"/>
  </si>
  <si>
    <t>출하검색</t>
    <phoneticPr fontId="6" type="noConversion"/>
  </si>
  <si>
    <t>반품처리</t>
    <phoneticPr fontId="3" type="noConversion"/>
  </si>
  <si>
    <t>라벨 출력</t>
    <phoneticPr fontId="3" type="noConversion"/>
  </si>
  <si>
    <t>반품처리</t>
    <phoneticPr fontId="6" type="noConversion"/>
  </si>
  <si>
    <t>반품마감</t>
    <phoneticPr fontId="6" type="noConversion"/>
  </si>
  <si>
    <t>반품처리 취소</t>
    <phoneticPr fontId="3" type="noConversion"/>
  </si>
  <si>
    <t xml:space="preserve"> 재고관리</t>
    <phoneticPr fontId="3" type="noConversion"/>
  </si>
  <si>
    <t>재고이동</t>
    <phoneticPr fontId="3" type="noConversion"/>
  </si>
  <si>
    <t>처리</t>
    <phoneticPr fontId="3" type="noConversion"/>
  </si>
  <si>
    <t>일괄처리</t>
    <phoneticPr fontId="3" type="noConversion"/>
  </si>
  <si>
    <t>재고이동요청</t>
    <phoneticPr fontId="3" type="noConversion"/>
  </si>
  <si>
    <t>이동지시서 출력</t>
    <phoneticPr fontId="6" type="noConversion"/>
  </si>
  <si>
    <t>재고조정</t>
    <phoneticPr fontId="3" type="noConversion"/>
  </si>
  <si>
    <t>엑셀 업로드(기존재고)</t>
    <phoneticPr fontId="6" type="noConversion"/>
  </si>
  <si>
    <t>엑셀 업로드(신규재고)</t>
    <phoneticPr fontId="6" type="noConversion"/>
  </si>
  <si>
    <t>라벨 출력</t>
    <phoneticPr fontId="6" type="noConversion"/>
  </si>
  <si>
    <t>예외출고</t>
    <phoneticPr fontId="3" type="noConversion"/>
  </si>
  <si>
    <t>예외출고 마감</t>
    <phoneticPr fontId="3" type="noConversion"/>
  </si>
  <si>
    <t>예외출고 취소</t>
    <phoneticPr fontId="3" type="noConversion"/>
  </si>
  <si>
    <t>처리취소</t>
    <phoneticPr fontId="3" type="noConversion"/>
  </si>
  <si>
    <t>상태변경</t>
    <phoneticPr fontId="3" type="noConversion"/>
  </si>
  <si>
    <t>SKU변경</t>
    <phoneticPr fontId="3" type="noConversion"/>
  </si>
  <si>
    <t>출력</t>
    <phoneticPr fontId="6" type="noConversion"/>
  </si>
  <si>
    <t>세트작업</t>
    <phoneticPr fontId="3" type="noConversion"/>
  </si>
  <si>
    <t>재고이동 요청</t>
    <phoneticPr fontId="6" type="noConversion"/>
  </si>
  <si>
    <t>처리/해체처리</t>
    <phoneticPr fontId="6" type="noConversion"/>
  </si>
  <si>
    <t>28</t>
  </si>
  <si>
    <t>업무마감</t>
    <phoneticPr fontId="3" type="noConversion"/>
  </si>
  <si>
    <t>업무마감 처리</t>
    <phoneticPr fontId="6" type="noConversion"/>
  </si>
  <si>
    <t xml:space="preserve"> 재고조회</t>
    <phoneticPr fontId="3" type="noConversion"/>
  </si>
  <si>
    <t>재고조회(품목별)</t>
    <phoneticPr fontId="3" type="noConversion"/>
  </si>
  <si>
    <t>라벨 출력(SKU라벨)</t>
    <phoneticPr fontId="6" type="noConversion"/>
  </si>
  <si>
    <t>재고조회(소비기한별)</t>
    <phoneticPr fontId="3" type="noConversion"/>
  </si>
  <si>
    <t>재고조회(상세)</t>
    <phoneticPr fontId="3" type="noConversion"/>
  </si>
  <si>
    <t>재고조회(창고별)</t>
    <phoneticPr fontId="3" type="noConversion"/>
  </si>
  <si>
    <t>재고조회(기간별)</t>
    <phoneticPr fontId="3" type="noConversion"/>
  </si>
  <si>
    <t>재고조회(회전일)</t>
    <phoneticPr fontId="3" type="noConversion"/>
  </si>
  <si>
    <t>수불조회</t>
    <phoneticPr fontId="3" type="noConversion"/>
  </si>
  <si>
    <t>수불마감</t>
    <phoneticPr fontId="3" type="noConversion"/>
  </si>
  <si>
    <t>수불마감 처리</t>
    <phoneticPr fontId="3" type="noConversion"/>
  </si>
  <si>
    <t>SKU이력조회</t>
    <phoneticPr fontId="3" type="noConversion"/>
  </si>
  <si>
    <t xml:space="preserve"> 재고실사</t>
    <phoneticPr fontId="3" type="noConversion"/>
  </si>
  <si>
    <t>재고실사일정등록</t>
    <phoneticPr fontId="3" type="noConversion"/>
  </si>
  <si>
    <t>실사재고등록</t>
    <phoneticPr fontId="3" type="noConversion"/>
  </si>
  <si>
    <t>저장</t>
    <phoneticPr fontId="3" type="noConversion"/>
  </si>
  <si>
    <t>신규재고 등록</t>
    <phoneticPr fontId="6" type="noConversion"/>
  </si>
  <si>
    <t>재고실사표 출력</t>
    <phoneticPr fontId="6" type="noConversion"/>
  </si>
  <si>
    <t>재고실사비교</t>
    <phoneticPr fontId="3" type="noConversion"/>
  </si>
  <si>
    <t>재고조정 요청</t>
    <phoneticPr fontId="3" type="noConversion"/>
  </si>
  <si>
    <t xml:space="preserve"> 출고</t>
    <phoneticPr fontId="3" type="noConversion"/>
  </si>
  <si>
    <t>마감후출하승인</t>
    <phoneticPr fontId="3" type="noConversion"/>
  </si>
  <si>
    <t>승인/거절 처리</t>
    <phoneticPr fontId="6" type="noConversion"/>
  </si>
  <si>
    <t>출하예정</t>
    <phoneticPr fontId="3" type="noConversion"/>
  </si>
  <si>
    <t>등록/수정</t>
    <phoneticPr fontId="6" type="noConversion"/>
  </si>
  <si>
    <t>재고확인</t>
    <phoneticPr fontId="6" type="noConversion"/>
  </si>
  <si>
    <t>출하준비/취소</t>
    <phoneticPr fontId="6" type="noConversion"/>
  </si>
  <si>
    <t>미출처리</t>
    <phoneticPr fontId="6" type="noConversion"/>
  </si>
  <si>
    <t>출고지시</t>
    <phoneticPr fontId="6" type="noConversion"/>
  </si>
  <si>
    <t>왕예빈</t>
    <phoneticPr fontId="6" type="noConversion"/>
  </si>
  <si>
    <t>TMS전송</t>
    <phoneticPr fontId="6" type="noConversion"/>
  </si>
  <si>
    <t>출고지시 생성/취소</t>
    <phoneticPr fontId="6" type="noConversion"/>
  </si>
  <si>
    <t>출고지시서 출력</t>
    <phoneticPr fontId="6" type="noConversion"/>
  </si>
  <si>
    <t>출고재할당</t>
    <phoneticPr fontId="6" type="noConversion"/>
  </si>
  <si>
    <t>출고재분배</t>
    <phoneticPr fontId="6" type="noConversion"/>
  </si>
  <si>
    <t>출고처리</t>
    <phoneticPr fontId="6" type="noConversion"/>
  </si>
  <si>
    <t>처리/처리취소</t>
    <phoneticPr fontId="6" type="noConversion"/>
  </si>
  <si>
    <t>상차처리</t>
    <phoneticPr fontId="6" type="noConversion"/>
  </si>
  <si>
    <t>외주직출</t>
    <phoneticPr fontId="6" type="noConversion"/>
  </si>
  <si>
    <t>거래명세표</t>
    <phoneticPr fontId="6" type="noConversion"/>
  </si>
  <si>
    <t>명세서 출력</t>
    <phoneticPr fontId="6" type="noConversion"/>
  </si>
  <si>
    <t>출하현황</t>
    <phoneticPr fontId="6" type="noConversion"/>
  </si>
  <si>
    <t>삭제오더</t>
    <phoneticPr fontId="6" type="noConversion"/>
  </si>
  <si>
    <t>삭제오더 지시서 출력</t>
    <phoneticPr fontId="6" type="noConversion"/>
  </si>
  <si>
    <t>삭제오더 처리</t>
    <phoneticPr fontId="6" type="noConversion"/>
  </si>
  <si>
    <t xml:space="preserve"> 시스템설정</t>
    <phoneticPr fontId="3" type="noConversion"/>
  </si>
  <si>
    <t>권한그룹</t>
    <phoneticPr fontId="3" type="noConversion"/>
  </si>
  <si>
    <t>이은복</t>
    <phoneticPr fontId="2" type="noConversion"/>
  </si>
  <si>
    <t>메뉴별설정</t>
    <phoneticPr fontId="3" type="noConversion"/>
  </si>
  <si>
    <t>수정</t>
    <phoneticPr fontId="6" type="noConversion"/>
  </si>
  <si>
    <t>품목설정</t>
    <phoneticPr fontId="3" type="noConversion"/>
  </si>
  <si>
    <t>품목분류별 설정</t>
    <phoneticPr fontId="6" type="noConversion"/>
  </si>
  <si>
    <t>카테고리 설정</t>
    <phoneticPr fontId="6" type="noConversion"/>
  </si>
  <si>
    <t>보안설정(비밀번호설정)</t>
    <phoneticPr fontId="3" type="noConversion"/>
  </si>
  <si>
    <t>저장</t>
    <phoneticPr fontId="6" type="noConversion"/>
  </si>
  <si>
    <t>사용자코드</t>
    <phoneticPr fontId="3" type="noConversion"/>
  </si>
  <si>
    <t xml:space="preserve"> 기타</t>
    <phoneticPr fontId="3" type="noConversion"/>
  </si>
  <si>
    <t>알람조회</t>
    <phoneticPr fontId="6" type="noConversion"/>
  </si>
  <si>
    <t>I/F 처리이력</t>
    <phoneticPr fontId="6" type="noConversion"/>
  </si>
  <si>
    <t>3</t>
    <phoneticPr fontId="6" type="noConversion"/>
  </si>
  <si>
    <t>메인화면</t>
    <phoneticPr fontId="6" type="noConversion"/>
  </si>
  <si>
    <t xml:space="preserve"> 시스템</t>
    <phoneticPr fontId="3" type="noConversion"/>
  </si>
  <si>
    <t>로그인/로그아웃</t>
    <phoneticPr fontId="3" type="noConversion"/>
  </si>
  <si>
    <t>로그인</t>
    <phoneticPr fontId="3" type="noConversion"/>
  </si>
  <si>
    <t>2</t>
    <phoneticPr fontId="3" type="noConversion"/>
  </si>
  <si>
    <t>스플래쉬</t>
    <phoneticPr fontId="3" type="noConversion"/>
  </si>
  <si>
    <t>푸쉬</t>
    <phoneticPr fontId="6" type="noConversion"/>
  </si>
  <si>
    <t>개인정보 설정</t>
    <phoneticPr fontId="6" type="noConversion"/>
  </si>
  <si>
    <t>조회/수정</t>
    <phoneticPr fontId="6" type="noConversion"/>
  </si>
  <si>
    <t>표시 설정</t>
    <phoneticPr fontId="6" type="noConversion"/>
  </si>
  <si>
    <t>알람설정/조회</t>
    <phoneticPr fontId="6" type="noConversion"/>
  </si>
  <si>
    <t>메인 화면</t>
    <phoneticPr fontId="6" type="noConversion"/>
  </si>
  <si>
    <t xml:space="preserve"> 입고</t>
    <phoneticPr fontId="3" type="noConversion"/>
  </si>
  <si>
    <t>입고 목록</t>
    <phoneticPr fontId="3" type="noConversion"/>
  </si>
  <si>
    <t>입고 처리</t>
    <phoneticPr fontId="6" type="noConversion"/>
  </si>
  <si>
    <t>입고 처리</t>
    <phoneticPr fontId="3" type="noConversion"/>
  </si>
  <si>
    <t>SKU 생성/수정</t>
    <phoneticPr fontId="6" type="noConversion"/>
  </si>
  <si>
    <t>검수 처리</t>
    <phoneticPr fontId="3" type="noConversion"/>
  </si>
  <si>
    <t>품목 분할</t>
    <phoneticPr fontId="3" type="noConversion"/>
  </si>
  <si>
    <t>검수내역</t>
    <phoneticPr fontId="6" type="noConversion"/>
  </si>
  <si>
    <t>기처리내역</t>
    <phoneticPr fontId="6" type="noConversion"/>
  </si>
  <si>
    <t>출고</t>
    <phoneticPr fontId="6" type="noConversion"/>
  </si>
  <si>
    <t>출고요청 조회</t>
    <phoneticPr fontId="6" type="noConversion"/>
  </si>
  <si>
    <t>출고품목 조회</t>
    <phoneticPr fontId="6" type="noConversion"/>
  </si>
  <si>
    <t>출고 처리</t>
    <phoneticPr fontId="6" type="noConversion"/>
  </si>
  <si>
    <t xml:space="preserve"> 재고</t>
    <phoneticPr fontId="3" type="noConversion"/>
  </si>
  <si>
    <t>재고조회(품목)</t>
    <phoneticPr fontId="3" type="noConversion"/>
  </si>
  <si>
    <t>재고조회(위치)</t>
    <phoneticPr fontId="3" type="noConversion"/>
  </si>
  <si>
    <t>재고이동(품목)</t>
    <phoneticPr fontId="3" type="noConversion"/>
  </si>
  <si>
    <t>처리</t>
    <phoneticPr fontId="6" type="noConversion"/>
  </si>
  <si>
    <t>재고이동(위치)</t>
    <phoneticPr fontId="3" type="noConversion"/>
  </si>
  <si>
    <t>재고이동요청</t>
    <phoneticPr fontId="6" type="noConversion"/>
  </si>
  <si>
    <t>이동요청 조회</t>
    <phoneticPr fontId="6" type="noConversion"/>
  </si>
  <si>
    <t>이동품목 조회</t>
    <phoneticPr fontId="6" type="noConversion"/>
  </si>
  <si>
    <t>이동 처리</t>
    <phoneticPr fontId="6" type="noConversion"/>
  </si>
  <si>
    <t>재고실사</t>
    <phoneticPr fontId="6" type="noConversion"/>
  </si>
  <si>
    <t>실사일정 조회</t>
    <phoneticPr fontId="6" type="noConversion"/>
  </si>
  <si>
    <t>실사품목 조회</t>
    <phoneticPr fontId="6" type="noConversion"/>
  </si>
  <si>
    <t>실사재고 등록</t>
    <phoneticPr fontId="6" type="noConversion"/>
  </si>
  <si>
    <t>실사재고 저장</t>
    <phoneticPr fontId="3" type="noConversion"/>
  </si>
  <si>
    <t>신규재고 등록(보유재고)</t>
    <phoneticPr fontId="6" type="noConversion"/>
  </si>
  <si>
    <t>신규재고 등록(신규재고)</t>
    <phoneticPr fontId="6" type="noConversion"/>
  </si>
  <si>
    <t xml:space="preserve"> ERP -&gt; WMS</t>
    <phoneticPr fontId="3" type="noConversion"/>
  </si>
  <si>
    <t>API_KEY 발행 요청 수신</t>
    <phoneticPr fontId="6" type="noConversion"/>
  </si>
  <si>
    <t>개발</t>
    <phoneticPr fontId="3" type="noConversion"/>
  </si>
  <si>
    <t>품목 등록</t>
    <phoneticPr fontId="3" type="noConversion"/>
  </si>
  <si>
    <t>거래처 등록</t>
    <phoneticPr fontId="3" type="noConversion"/>
  </si>
  <si>
    <t>입고예정 등록</t>
    <phoneticPr fontId="3" type="noConversion"/>
  </si>
  <si>
    <t>예외입고 등록</t>
    <phoneticPr fontId="3" type="noConversion"/>
  </si>
  <si>
    <t>예외출고(계정대체출고) 등록</t>
    <phoneticPr fontId="3" type="noConversion"/>
  </si>
  <si>
    <t>예외출고(계정대체출고) 삭제</t>
    <phoneticPr fontId="3" type="noConversion"/>
  </si>
  <si>
    <t>예외출고(구매반품) 등록</t>
    <phoneticPr fontId="6" type="noConversion"/>
  </si>
  <si>
    <t>예외출고(구매반품) 삭제</t>
    <phoneticPr fontId="6" type="noConversion"/>
  </si>
  <si>
    <t>예외출고(재고이동) 등록</t>
    <phoneticPr fontId="6" type="noConversion"/>
  </si>
  <si>
    <t>예외출고(재고이동) 삭제</t>
    <phoneticPr fontId="6" type="noConversion"/>
  </si>
  <si>
    <t xml:space="preserve"> OMS -&gt; WMS</t>
    <phoneticPr fontId="3" type="noConversion"/>
  </si>
  <si>
    <t>반품예정 등록</t>
    <phoneticPr fontId="6" type="noConversion"/>
  </si>
  <si>
    <t>반품예정 삭제</t>
    <phoneticPr fontId="6" type="noConversion"/>
  </si>
  <si>
    <t>출하예정 등록</t>
    <phoneticPr fontId="6" type="noConversion"/>
  </si>
  <si>
    <t>출하예정 삭제</t>
    <phoneticPr fontId="6" type="noConversion"/>
  </si>
  <si>
    <t xml:space="preserve"> WMS -&gt; ERP</t>
    <phoneticPr fontId="3" type="noConversion"/>
  </si>
  <si>
    <t>입고마감(입고처리)</t>
    <phoneticPr fontId="6" type="noConversion"/>
  </si>
  <si>
    <t>반품마감(W2E)</t>
    <phoneticPr fontId="6" type="noConversion"/>
  </si>
  <si>
    <t>예외출고(계정대체출고) 마감</t>
    <phoneticPr fontId="6" type="noConversion"/>
  </si>
  <si>
    <t>예외출고(구매반품) 마감</t>
    <phoneticPr fontId="6" type="noConversion"/>
  </si>
  <si>
    <t>예외출고(재고이동) 마감</t>
    <phoneticPr fontId="6" type="noConversion"/>
  </si>
  <si>
    <t>출하처리 마감</t>
    <phoneticPr fontId="3" type="noConversion"/>
  </si>
  <si>
    <t>WMS -&gt; OMS</t>
    <phoneticPr fontId="3" type="noConversion"/>
  </si>
  <si>
    <t>출하준비 상태변경</t>
    <phoneticPr fontId="6" type="noConversion"/>
  </si>
  <si>
    <t>마감 후 출하승인 결과</t>
    <phoneticPr fontId="6" type="noConversion"/>
  </si>
  <si>
    <t>미출처리 처리결과</t>
    <phoneticPr fontId="6" type="noConversion"/>
  </si>
  <si>
    <t>삭제오더 처리결과</t>
    <phoneticPr fontId="6" type="noConversion"/>
  </si>
  <si>
    <t>반품마감(W2O)</t>
    <phoneticPr fontId="6" type="noConversion"/>
  </si>
  <si>
    <t xml:space="preserve"> WMS -&gt; TMS</t>
    <phoneticPr fontId="3" type="noConversion"/>
  </si>
  <si>
    <t>출고지시 배차요청</t>
    <phoneticPr fontId="6" type="noConversion"/>
  </si>
  <si>
    <t>출고지시 배차요청 수정</t>
    <phoneticPr fontId="6" type="noConversion"/>
  </si>
  <si>
    <t>출고지시 배차 및 상하차 결과</t>
    <phoneticPr fontId="6" type="noConversion"/>
  </si>
  <si>
    <t>명세서</t>
    <phoneticPr fontId="6" type="noConversion"/>
  </si>
  <si>
    <t>SKU 라벨</t>
    <phoneticPr fontId="2" type="noConversion"/>
  </si>
  <si>
    <t>개발</t>
    <phoneticPr fontId="2" type="noConversion"/>
  </si>
  <si>
    <t>FNC</t>
    <phoneticPr fontId="2" type="noConversion"/>
  </si>
  <si>
    <t>위치 라벨</t>
    <phoneticPr fontId="2" type="noConversion"/>
  </si>
  <si>
    <t>입고지시서</t>
    <phoneticPr fontId="2" type="noConversion"/>
  </si>
  <si>
    <t>출고지시서(총괄(창고))</t>
    <phoneticPr fontId="6" type="noConversion"/>
  </si>
  <si>
    <t>출고지시서(권역별)</t>
    <phoneticPr fontId="6" type="noConversion"/>
  </si>
  <si>
    <t>출고지시서(호차별)</t>
    <phoneticPr fontId="6" type="noConversion"/>
  </si>
  <si>
    <t>출고지시서(가맹점별)</t>
    <phoneticPr fontId="6" type="noConversion"/>
  </si>
  <si>
    <t>거래명세서</t>
    <phoneticPr fontId="6" type="noConversion"/>
  </si>
  <si>
    <t>삭제오더지시서</t>
    <phoneticPr fontId="6" type="noConversion"/>
  </si>
  <si>
    <t>재고실사표</t>
    <phoneticPr fontId="6" type="noConversion"/>
  </si>
  <si>
    <t>이동지시서</t>
    <phoneticPr fontId="6" type="noConversion"/>
  </si>
  <si>
    <t>완료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</si>
</sst>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yyyy/mm"/>
    <numFmt numFmtId="177" formatCode="0.0%"/>
  </numFmts>
  <fonts count="14" x14ac:knownFonts="1">
    <font>
      <sz val="11"/>
      <color theme="1"/>
      <name val="맑은 고딕"/>
      <family val="2"/>
      <charset val="129"/>
      <scheme val="minor"/>
    </font>
    <font>
      <sz val="10"/>
      <color rgb="FF000000"/>
      <name val="Arial"/>
      <family val="2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10"/>
      <color rgb="FF000000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1"/>
      <name val="돋움"/>
      <family val="3"/>
      <charset val="129"/>
    </font>
    <font>
      <b/>
      <sz val="16"/>
      <color rgb="FF000000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sz val="24"/>
      <color theme="1"/>
      <name val="맑은 고딕"/>
      <family val="3"/>
      <charset val="129"/>
      <scheme val="minor"/>
    </font>
    <font>
      <strike/>
      <sz val="10"/>
      <color rgb="FF000000"/>
      <name val="맑은 고딕"/>
      <family val="3"/>
      <charset val="129"/>
      <scheme val="minor"/>
    </font>
    <font>
      <sz val="10"/>
      <color rgb="FFFF0000"/>
      <name val="맑은 고딕"/>
      <family val="3"/>
      <charset val="129"/>
      <scheme val="minor"/>
    </font>
  </fonts>
  <fills count="17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9" tint="0.79998168889431442"/>
        <bgColor rgb="FFFFFFFF"/>
      </patternFill>
    </fill>
    <fill>
      <patternFill patternType="solid">
        <fgColor theme="0" tint="-0.14999847407452621"/>
        <bgColor rgb="FFDDEBF7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E997EB"/>
        <bgColor indexed="64"/>
      </patternFill>
    </fill>
    <fill>
      <patternFill patternType="solid">
        <fgColor theme="0" tint="-0.14999847407452621"/>
        <bgColor rgb="FFE2EFDA"/>
      </patternFill>
    </fill>
    <fill>
      <patternFill patternType="solid">
        <fgColor rgb="FFCCCCFF"/>
        <bgColor indexed="64"/>
      </patternFill>
    </fill>
    <fill>
      <patternFill patternType="solid">
        <fgColor rgb="FFCCCC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C000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rgb="FF000000"/>
      </top>
      <bottom/>
      <diagonal/>
    </border>
  </borders>
  <cellStyleXfs count="5">
    <xf numFmtId="0" fontId="0" fillId="0" borderId="0">
      <alignment vertical="center"/>
    </xf>
    <xf numFmtId="0" fontId="1" fillId="0" borderId="0"/>
    <xf numFmtId="0" fontId="8" fillId="0" borderId="0"/>
    <xf numFmtId="0" fontId="8" fillId="0" borderId="0"/>
    <xf numFmtId="0" fontId="8" fillId="0" borderId="0"/>
  </cellStyleXfs>
  <cellXfs count="160">
    <xf numFmtId="0" fontId="0" fillId="0" borderId="0" xfId="0">
      <alignment vertical="center"/>
    </xf>
    <xf numFmtId="0" fontId="4" fillId="3" borderId="1" xfId="1" applyFont="1" applyFill="1" applyBorder="1" applyAlignment="1">
      <alignment horizontal="center" vertical="center"/>
    </xf>
    <xf numFmtId="0" fontId="4" fillId="0" borderId="1" xfId="1" applyFont="1" applyBorder="1" applyAlignment="1">
      <alignment horizontal="center" vertical="center"/>
    </xf>
    <xf numFmtId="0" fontId="5" fillId="0" borderId="1" xfId="1" applyFont="1" applyBorder="1" applyAlignment="1">
      <alignment horizontal="center" vertical="center"/>
    </xf>
    <xf numFmtId="0" fontId="4" fillId="6" borderId="1" xfId="1" applyFont="1" applyFill="1" applyBorder="1" applyAlignment="1">
      <alignment horizontal="center" vertical="center"/>
    </xf>
    <xf numFmtId="0" fontId="4" fillId="7" borderId="2" xfId="1" applyFont="1" applyFill="1" applyBorder="1" applyAlignment="1">
      <alignment horizontal="center" vertical="center"/>
    </xf>
    <xf numFmtId="0" fontId="5" fillId="7" borderId="1" xfId="1" applyFont="1" applyFill="1" applyBorder="1" applyAlignment="1">
      <alignment horizontal="center" vertical="center"/>
    </xf>
    <xf numFmtId="0" fontId="9" fillId="7" borderId="2" xfId="1" applyFont="1" applyFill="1" applyBorder="1" applyAlignment="1">
      <alignment horizontal="center" vertical="center"/>
    </xf>
    <xf numFmtId="0" fontId="5" fillId="0" borderId="2" xfId="1" applyFont="1" applyBorder="1" applyAlignment="1">
      <alignment horizontal="center" vertical="center"/>
    </xf>
    <xf numFmtId="0" fontId="9" fillId="7" borderId="1" xfId="1" applyFont="1" applyFill="1" applyBorder="1" applyAlignment="1">
      <alignment horizontal="center" vertical="center"/>
    </xf>
    <xf numFmtId="0" fontId="7" fillId="2" borderId="1" xfId="1" applyFont="1" applyFill="1" applyBorder="1" applyAlignment="1">
      <alignment horizontal="center" vertical="center"/>
    </xf>
    <xf numFmtId="0" fontId="11" fillId="2" borderId="1" xfId="1" applyFont="1" applyFill="1" applyBorder="1" applyAlignment="1">
      <alignment horizontal="center" vertical="center" wrapText="1"/>
    </xf>
    <xf numFmtId="0" fontId="7" fillId="3" borderId="1" xfId="1" applyFont="1" applyFill="1" applyBorder="1" applyAlignment="1">
      <alignment horizontal="center" vertical="center"/>
    </xf>
    <xf numFmtId="14" fontId="7" fillId="8" borderId="1" xfId="1" applyNumberFormat="1" applyFont="1" applyFill="1" applyBorder="1" applyAlignment="1">
      <alignment horizontal="center" vertical="center"/>
    </xf>
    <xf numFmtId="9" fontId="10" fillId="8" borderId="1" xfId="1" applyNumberFormat="1" applyFont="1" applyFill="1" applyBorder="1" applyAlignment="1">
      <alignment horizontal="center" vertical="center" wrapText="1"/>
    </xf>
    <xf numFmtId="0" fontId="7" fillId="2" borderId="1" xfId="1" applyFont="1" applyFill="1" applyBorder="1" applyAlignment="1">
      <alignment horizontal="center" vertical="center" wrapText="1"/>
    </xf>
    <xf numFmtId="0" fontId="4" fillId="7" borderId="1" xfId="1" applyFont="1" applyFill="1" applyBorder="1" applyAlignment="1">
      <alignment horizontal="center" vertical="center"/>
    </xf>
    <xf numFmtId="0" fontId="4" fillId="0" borderId="1" xfId="1" applyFont="1" applyFill="1" applyBorder="1" applyAlignment="1">
      <alignment horizontal="center" vertical="center"/>
    </xf>
    <xf numFmtId="0" fontId="5" fillId="0" borderId="1" xfId="1" applyFont="1" applyFill="1" applyBorder="1" applyAlignment="1">
      <alignment horizontal="center" vertical="center"/>
    </xf>
    <xf numFmtId="0" fontId="4" fillId="0" borderId="0" xfId="1" applyFont="1" applyAlignment="1">
      <alignment horizontal="center"/>
    </xf>
    <xf numFmtId="0" fontId="0" fillId="0" borderId="0" xfId="0" applyAlignment="1">
      <alignment horizontal="center" vertical="center"/>
    </xf>
    <xf numFmtId="0" fontId="7" fillId="8" borderId="1" xfId="1" applyFont="1" applyFill="1" applyBorder="1" applyAlignment="1">
      <alignment horizontal="center" vertical="center"/>
    </xf>
    <xf numFmtId="0" fontId="7" fillId="2" borderId="1" xfId="1" applyFont="1" applyFill="1" applyBorder="1" applyAlignment="1">
      <alignment horizontal="center" vertical="center" wrapText="1"/>
    </xf>
    <xf numFmtId="0" fontId="7" fillId="2" borderId="1" xfId="1" applyFont="1" applyFill="1" applyBorder="1" applyAlignment="1">
      <alignment horizontal="center" vertical="center" wrapText="1"/>
    </xf>
    <xf numFmtId="0" fontId="4" fillId="9" borderId="2" xfId="1" applyFont="1" applyFill="1" applyBorder="1" applyAlignment="1">
      <alignment vertical="center"/>
    </xf>
    <xf numFmtId="0" fontId="5" fillId="9" borderId="3" xfId="1" applyFont="1" applyFill="1" applyBorder="1" applyAlignment="1">
      <alignment horizontal="left" vertical="center"/>
    </xf>
    <xf numFmtId="0" fontId="5" fillId="9" borderId="3" xfId="1" applyFont="1" applyFill="1" applyBorder="1" applyAlignment="1">
      <alignment horizontal="center" vertical="center"/>
    </xf>
    <xf numFmtId="0" fontId="5" fillId="9" borderId="4" xfId="1" applyFont="1" applyFill="1" applyBorder="1" applyAlignment="1">
      <alignment horizontal="left" vertical="center"/>
    </xf>
    <xf numFmtId="0" fontId="4" fillId="9" borderId="1" xfId="1" applyFont="1" applyFill="1" applyBorder="1" applyAlignment="1">
      <alignment horizontal="center" vertical="center"/>
    </xf>
    <xf numFmtId="0" fontId="0" fillId="0" borderId="0" xfId="0">
      <alignment vertical="center"/>
    </xf>
    <xf numFmtId="0" fontId="4" fillId="0" borderId="0" xfId="1" applyFont="1"/>
    <xf numFmtId="0" fontId="4" fillId="2" borderId="1" xfId="1" applyFont="1" applyFill="1" applyBorder="1" applyAlignment="1">
      <alignment horizontal="center" vertical="center"/>
    </xf>
    <xf numFmtId="0" fontId="5" fillId="9" borderId="3" xfId="1" applyFont="1" applyFill="1" applyBorder="1" applyAlignment="1">
      <alignment horizontal="left" vertical="center"/>
    </xf>
    <xf numFmtId="0" fontId="5" fillId="9" borderId="2" xfId="1" applyFont="1" applyFill="1" applyBorder="1" applyAlignment="1">
      <alignment horizontal="center" vertical="center"/>
    </xf>
    <xf numFmtId="0" fontId="5" fillId="4" borderId="1" xfId="1" applyFont="1" applyFill="1" applyBorder="1" applyAlignment="1">
      <alignment vertical="center"/>
    </xf>
    <xf numFmtId="0" fontId="5" fillId="4" borderId="4" xfId="1" applyFont="1" applyFill="1" applyBorder="1" applyAlignment="1">
      <alignment horizontal="left" vertical="center"/>
    </xf>
    <xf numFmtId="0" fontId="5" fillId="4" borderId="1" xfId="1" applyFont="1" applyFill="1" applyBorder="1" applyAlignment="1">
      <alignment horizontal="left" vertical="center"/>
    </xf>
    <xf numFmtId="0" fontId="5" fillId="4" borderId="1" xfId="1" applyFont="1" applyFill="1" applyBorder="1" applyAlignment="1">
      <alignment horizontal="center" vertical="center"/>
    </xf>
    <xf numFmtId="0" fontId="5" fillId="5" borderId="1" xfId="1" applyFont="1" applyFill="1" applyBorder="1" applyAlignment="1">
      <alignment horizontal="center" vertical="center"/>
    </xf>
    <xf numFmtId="0" fontId="4" fillId="5" borderId="1" xfId="1" applyFont="1" applyFill="1" applyBorder="1" applyAlignment="1">
      <alignment vertical="center"/>
    </xf>
    <xf numFmtId="0" fontId="4" fillId="5" borderId="4" xfId="1" applyFont="1" applyFill="1" applyBorder="1" applyAlignment="1">
      <alignment vertical="center"/>
    </xf>
    <xf numFmtId="49" fontId="5" fillId="0" borderId="1" xfId="1" applyNumberFormat="1" applyFont="1" applyBorder="1" applyAlignment="1">
      <alignment horizontal="center" vertical="center"/>
    </xf>
    <xf numFmtId="0" fontId="12" fillId="0" borderId="1" xfId="1" applyFont="1" applyBorder="1" applyAlignment="1">
      <alignment vertical="center"/>
    </xf>
    <xf numFmtId="0" fontId="5" fillId="0" borderId="6" xfId="1" applyFont="1" applyBorder="1" applyAlignment="1">
      <alignment vertical="center"/>
    </xf>
    <xf numFmtId="0" fontId="5" fillId="0" borderId="5" xfId="1" applyFont="1" applyBorder="1" applyAlignment="1">
      <alignment vertical="center"/>
    </xf>
    <xf numFmtId="0" fontId="5" fillId="0" borderId="5" xfId="1" applyFont="1" applyBorder="1" applyAlignment="1">
      <alignment horizontal="center" vertical="center"/>
    </xf>
    <xf numFmtId="0" fontId="4" fillId="0" borderId="7" xfId="1" applyFont="1" applyBorder="1" applyAlignment="1">
      <alignment horizontal="center" vertical="center"/>
    </xf>
    <xf numFmtId="0" fontId="4" fillId="0" borderId="1" xfId="1" applyFont="1" applyBorder="1" applyAlignment="1">
      <alignment vertical="center"/>
    </xf>
    <xf numFmtId="0" fontId="4" fillId="0" borderId="4" xfId="1" applyFont="1" applyBorder="1" applyAlignment="1">
      <alignment vertical="center"/>
    </xf>
    <xf numFmtId="0" fontId="4" fillId="0" borderId="1" xfId="1" applyFont="1" applyBorder="1" applyAlignment="1">
      <alignment horizontal="center" vertical="center"/>
    </xf>
    <xf numFmtId="0" fontId="5" fillId="0" borderId="1" xfId="1" applyFont="1" applyBorder="1" applyAlignment="1">
      <alignment horizontal="center" vertical="center"/>
    </xf>
    <xf numFmtId="0" fontId="5" fillId="0" borderId="6" xfId="1" applyFont="1" applyBorder="1" applyAlignment="1">
      <alignment horizontal="center" vertical="center"/>
    </xf>
    <xf numFmtId="0" fontId="5" fillId="0" borderId="7" xfId="1" applyFont="1" applyBorder="1" applyAlignment="1">
      <alignment horizontal="center" vertical="center"/>
    </xf>
    <xf numFmtId="0" fontId="5" fillId="4" borderId="4" xfId="1" applyFont="1" applyFill="1" applyBorder="1" applyAlignment="1">
      <alignment vertical="center"/>
    </xf>
    <xf numFmtId="0" fontId="5" fillId="4" borderId="2" xfId="1" applyFont="1" applyFill="1" applyBorder="1" applyAlignment="1">
      <alignment horizontal="center" vertical="center"/>
    </xf>
    <xf numFmtId="0" fontId="5" fillId="5" borderId="4" xfId="1" applyFont="1" applyFill="1" applyBorder="1" applyAlignment="1">
      <alignment horizontal="center" vertical="center"/>
    </xf>
    <xf numFmtId="0" fontId="5" fillId="5" borderId="2" xfId="1" applyFont="1" applyFill="1" applyBorder="1" applyAlignment="1">
      <alignment horizontal="center" vertical="center"/>
    </xf>
    <xf numFmtId="0" fontId="5" fillId="0" borderId="1" xfId="1" applyFont="1" applyBorder="1" applyAlignment="1">
      <alignment vertical="center"/>
    </xf>
    <xf numFmtId="0" fontId="7" fillId="0" borderId="3" xfId="1" applyFont="1" applyBorder="1" applyAlignment="1">
      <alignment vertical="center"/>
    </xf>
    <xf numFmtId="0" fontId="5" fillId="0" borderId="2" xfId="1" applyFont="1" applyBorder="1" applyAlignment="1">
      <alignment horizontal="center" vertical="center"/>
    </xf>
    <xf numFmtId="0" fontId="4" fillId="6" borderId="1" xfId="1" applyFont="1" applyFill="1" applyBorder="1" applyAlignment="1">
      <alignment horizontal="center" vertical="center"/>
    </xf>
    <xf numFmtId="0" fontId="5" fillId="8" borderId="2" xfId="1" applyFont="1" applyFill="1" applyBorder="1" applyAlignment="1">
      <alignment horizontal="center" vertical="center"/>
    </xf>
    <xf numFmtId="0" fontId="5" fillId="8" borderId="1" xfId="1" applyFont="1" applyFill="1" applyBorder="1" applyAlignment="1">
      <alignment horizontal="center" vertical="center"/>
    </xf>
    <xf numFmtId="0" fontId="5" fillId="5" borderId="1" xfId="1" applyFont="1" applyFill="1" applyBorder="1" applyAlignment="1">
      <alignment vertical="center"/>
    </xf>
    <xf numFmtId="0" fontId="5" fillId="5" borderId="3" xfId="1" applyFont="1" applyFill="1" applyBorder="1" applyAlignment="1">
      <alignment vertical="center"/>
    </xf>
    <xf numFmtId="0" fontId="5" fillId="4" borderId="8" xfId="1" applyFont="1" applyFill="1" applyBorder="1" applyAlignment="1">
      <alignment vertical="center"/>
    </xf>
    <xf numFmtId="0" fontId="5" fillId="4" borderId="9" xfId="1" applyFont="1" applyFill="1" applyBorder="1" applyAlignment="1">
      <alignment vertical="center"/>
    </xf>
    <xf numFmtId="0" fontId="5" fillId="4" borderId="10" xfId="1" applyFont="1" applyFill="1" applyBorder="1" applyAlignment="1">
      <alignment vertical="center"/>
    </xf>
    <xf numFmtId="0" fontId="5" fillId="4" borderId="11" xfId="1" applyFont="1" applyFill="1" applyBorder="1" applyAlignment="1">
      <alignment horizontal="center" vertical="center"/>
    </xf>
    <xf numFmtId="0" fontId="5" fillId="4" borderId="5" xfId="1" applyFont="1" applyFill="1" applyBorder="1" applyAlignment="1">
      <alignment horizontal="center" vertical="center"/>
    </xf>
    <xf numFmtId="0" fontId="5" fillId="5" borderId="9" xfId="1" applyFont="1" applyFill="1" applyBorder="1" applyAlignment="1">
      <alignment horizontal="center" vertical="center"/>
    </xf>
    <xf numFmtId="0" fontId="5" fillId="5" borderId="11" xfId="1" applyFont="1" applyFill="1" applyBorder="1" applyAlignment="1">
      <alignment horizontal="center" vertical="center"/>
    </xf>
    <xf numFmtId="0" fontId="5" fillId="0" borderId="1" xfId="1" applyFont="1" applyFill="1" applyBorder="1" applyAlignment="1">
      <alignment horizontal="center" vertical="center"/>
    </xf>
    <xf numFmtId="0" fontId="4" fillId="0" borderId="1" xfId="1" applyFont="1" applyFill="1" applyBorder="1" applyAlignment="1">
      <alignment horizontal="center" vertical="center"/>
    </xf>
    <xf numFmtId="0" fontId="5" fillId="0" borderId="4" xfId="1" applyFont="1" applyFill="1" applyBorder="1" applyAlignment="1">
      <alignment horizontal="center" vertical="center"/>
    </xf>
    <xf numFmtId="0" fontId="5" fillId="0" borderId="2" xfId="1" applyFont="1" applyFill="1" applyBorder="1" applyAlignment="1">
      <alignment horizontal="center" vertical="center"/>
    </xf>
    <xf numFmtId="0" fontId="5" fillId="0" borderId="12" xfId="1" applyFont="1" applyBorder="1" applyAlignment="1">
      <alignment vertical="center"/>
    </xf>
    <xf numFmtId="0" fontId="5" fillId="0" borderId="13" xfId="1" applyFont="1" applyBorder="1" applyAlignment="1">
      <alignment vertical="center"/>
    </xf>
    <xf numFmtId="0" fontId="12" fillId="8" borderId="1" xfId="1" applyFont="1" applyFill="1" applyBorder="1" applyAlignment="1">
      <alignment vertical="center"/>
    </xf>
    <xf numFmtId="0" fontId="5" fillId="8" borderId="14" xfId="1" applyFont="1" applyFill="1" applyBorder="1" applyAlignment="1">
      <alignment vertical="center"/>
    </xf>
    <xf numFmtId="0" fontId="5" fillId="8" borderId="1" xfId="1" applyFont="1" applyFill="1" applyBorder="1" applyAlignment="1">
      <alignment vertical="center"/>
    </xf>
    <xf numFmtId="0" fontId="5" fillId="4" borderId="13" xfId="1" applyFont="1" applyFill="1" applyBorder="1" applyAlignment="1">
      <alignment vertical="center"/>
    </xf>
    <xf numFmtId="0" fontId="5" fillId="0" borderId="15" xfId="1" applyFont="1" applyBorder="1" applyAlignment="1">
      <alignment vertical="center"/>
    </xf>
    <xf numFmtId="0" fontId="5" fillId="0" borderId="16" xfId="1" applyFont="1" applyBorder="1" applyAlignment="1">
      <alignment vertical="center"/>
    </xf>
    <xf numFmtId="0" fontId="5" fillId="0" borderId="17" xfId="1" applyFont="1" applyBorder="1" applyAlignment="1">
      <alignment horizontal="center" vertical="center"/>
    </xf>
    <xf numFmtId="0" fontId="5" fillId="0" borderId="18" xfId="1" applyFont="1" applyFill="1" applyBorder="1" applyAlignment="1">
      <alignment horizontal="center" vertical="center"/>
    </xf>
    <xf numFmtId="0" fontId="5" fillId="0" borderId="19" xfId="1" applyFont="1" applyBorder="1" applyAlignment="1">
      <alignment vertical="center"/>
    </xf>
    <xf numFmtId="0" fontId="5" fillId="0" borderId="20" xfId="1" applyFont="1" applyBorder="1" applyAlignment="1">
      <alignment horizontal="center" vertical="center"/>
    </xf>
    <xf numFmtId="0" fontId="5" fillId="0" borderId="21" xfId="1" applyFont="1" applyBorder="1" applyAlignment="1">
      <alignment vertical="center"/>
    </xf>
    <xf numFmtId="0" fontId="5" fillId="0" borderId="22" xfId="1" applyFont="1" applyBorder="1" applyAlignment="1">
      <alignment horizontal="center" vertical="center"/>
    </xf>
    <xf numFmtId="0" fontId="5" fillId="0" borderId="20" xfId="1" applyFont="1" applyFill="1" applyBorder="1" applyAlignment="1">
      <alignment horizontal="center" vertical="center"/>
    </xf>
    <xf numFmtId="0" fontId="5" fillId="5" borderId="5" xfId="1" applyFont="1" applyFill="1" applyBorder="1" applyAlignment="1">
      <alignment vertical="center"/>
    </xf>
    <xf numFmtId="0" fontId="5" fillId="5" borderId="23" xfId="1" applyFont="1" applyFill="1" applyBorder="1" applyAlignment="1">
      <alignment vertical="center"/>
    </xf>
    <xf numFmtId="0" fontId="5" fillId="5" borderId="0" xfId="1" applyFont="1" applyFill="1" applyBorder="1" applyAlignment="1">
      <alignment vertical="center"/>
    </xf>
    <xf numFmtId="0" fontId="5" fillId="5" borderId="24" xfId="1" applyFont="1" applyFill="1" applyBorder="1" applyAlignment="1">
      <alignment horizontal="center" vertical="center"/>
    </xf>
    <xf numFmtId="0" fontId="4" fillId="5" borderId="5" xfId="1" applyFont="1" applyFill="1" applyBorder="1" applyAlignment="1">
      <alignment horizontal="center" vertical="center"/>
    </xf>
    <xf numFmtId="0" fontId="5" fillId="5" borderId="6" xfId="1" applyFont="1" applyFill="1" applyBorder="1" applyAlignment="1">
      <alignment horizontal="center" vertical="center"/>
    </xf>
    <xf numFmtId="0" fontId="5" fillId="5" borderId="22" xfId="1" applyFont="1" applyFill="1" applyBorder="1" applyAlignment="1">
      <alignment horizontal="center" vertical="center"/>
    </xf>
    <xf numFmtId="49" fontId="5" fillId="0" borderId="1" xfId="1" applyNumberFormat="1" applyFont="1" applyFill="1" applyBorder="1" applyAlignment="1">
      <alignment horizontal="center" vertical="center"/>
    </xf>
    <xf numFmtId="0" fontId="5" fillId="0" borderId="1" xfId="1" applyFont="1" applyFill="1" applyBorder="1" applyAlignment="1">
      <alignment vertical="center"/>
    </xf>
    <xf numFmtId="0" fontId="4" fillId="10" borderId="1" xfId="1" applyFont="1" applyFill="1" applyBorder="1" applyAlignment="1">
      <alignment horizontal="center" vertical="center"/>
    </xf>
    <xf numFmtId="0" fontId="5" fillId="5" borderId="26" xfId="1" applyFont="1" applyFill="1" applyBorder="1" applyAlignment="1">
      <alignment vertical="center"/>
    </xf>
    <xf numFmtId="0" fontId="5" fillId="5" borderId="27" xfId="1" applyFont="1" applyFill="1" applyBorder="1" applyAlignment="1">
      <alignment vertical="center"/>
    </xf>
    <xf numFmtId="0" fontId="5" fillId="5" borderId="12" xfId="1" applyFont="1" applyFill="1" applyBorder="1" applyAlignment="1">
      <alignment vertical="center"/>
    </xf>
    <xf numFmtId="0" fontId="5" fillId="5" borderId="25" xfId="1" applyFont="1" applyFill="1" applyBorder="1" applyAlignment="1">
      <alignment horizontal="center" vertical="center"/>
    </xf>
    <xf numFmtId="0" fontId="4" fillId="5" borderId="8" xfId="1" applyFont="1" applyFill="1" applyBorder="1" applyAlignment="1">
      <alignment horizontal="center" vertical="center"/>
    </xf>
    <xf numFmtId="0" fontId="5" fillId="5" borderId="28" xfId="1" applyFont="1" applyFill="1" applyBorder="1" applyAlignment="1">
      <alignment horizontal="center" vertical="center"/>
    </xf>
    <xf numFmtId="0" fontId="5" fillId="0" borderId="29" xfId="1" applyFont="1" applyBorder="1" applyAlignment="1">
      <alignment vertical="center"/>
    </xf>
    <xf numFmtId="49" fontId="5" fillId="0" borderId="2" xfId="1" applyNumberFormat="1" applyFont="1" applyBorder="1" applyAlignment="1">
      <alignment horizontal="center" vertical="center"/>
    </xf>
    <xf numFmtId="0" fontId="5" fillId="4" borderId="15" xfId="1" applyFont="1" applyFill="1" applyBorder="1" applyAlignment="1">
      <alignment vertical="center"/>
    </xf>
    <xf numFmtId="0" fontId="5" fillId="4" borderId="16" xfId="1" applyFont="1" applyFill="1" applyBorder="1" applyAlignment="1">
      <alignment vertical="center"/>
    </xf>
    <xf numFmtId="0" fontId="5" fillId="4" borderId="17" xfId="1" applyFont="1" applyFill="1" applyBorder="1" applyAlignment="1">
      <alignment horizontal="center" vertical="center"/>
    </xf>
    <xf numFmtId="0" fontId="5" fillId="5" borderId="27" xfId="1" applyFont="1" applyFill="1" applyBorder="1" applyAlignment="1">
      <alignment horizontal="center" vertical="center"/>
    </xf>
    <xf numFmtId="0" fontId="5" fillId="5" borderId="17" xfId="1" applyFont="1" applyFill="1" applyBorder="1" applyAlignment="1">
      <alignment horizontal="center" vertical="center"/>
    </xf>
    <xf numFmtId="0" fontId="5" fillId="0" borderId="23" xfId="1" applyFont="1" applyBorder="1" applyAlignment="1">
      <alignment vertical="center"/>
    </xf>
    <xf numFmtId="0" fontId="4" fillId="11" borderId="1" xfId="1" applyFont="1" applyFill="1" applyBorder="1" applyAlignment="1">
      <alignment horizontal="center" vertical="center" wrapText="1"/>
    </xf>
    <xf numFmtId="0" fontId="5" fillId="5" borderId="26" xfId="1" applyFont="1" applyFill="1" applyBorder="1" applyAlignment="1">
      <alignment horizontal="center" vertical="center"/>
    </xf>
    <xf numFmtId="0" fontId="4" fillId="0" borderId="2" xfId="1" applyFont="1" applyBorder="1" applyAlignment="1">
      <alignment horizontal="center" vertical="center"/>
    </xf>
    <xf numFmtId="0" fontId="4" fillId="5" borderId="1" xfId="1" applyFont="1" applyFill="1" applyBorder="1" applyAlignment="1">
      <alignment horizontal="center" vertical="center"/>
    </xf>
    <xf numFmtId="0" fontId="5" fillId="12" borderId="5" xfId="1" applyFont="1" applyFill="1" applyBorder="1" applyAlignment="1">
      <alignment vertical="center"/>
    </xf>
    <xf numFmtId="0" fontId="5" fillId="12" borderId="23" xfId="1" applyFont="1" applyFill="1" applyBorder="1" applyAlignment="1">
      <alignment vertical="center"/>
    </xf>
    <xf numFmtId="0" fontId="13" fillId="12" borderId="29" xfId="1" applyFont="1" applyFill="1" applyBorder="1" applyAlignment="1">
      <alignment horizontal="center" vertical="center"/>
    </xf>
    <xf numFmtId="0" fontId="5" fillId="5" borderId="5" xfId="1" applyFont="1" applyFill="1" applyBorder="1" applyAlignment="1">
      <alignment horizontal="center" vertical="center"/>
    </xf>
    <xf numFmtId="0" fontId="5" fillId="5" borderId="23" xfId="1" applyFont="1" applyFill="1" applyBorder="1" applyAlignment="1">
      <alignment horizontal="center" vertical="center"/>
    </xf>
    <xf numFmtId="0" fontId="5" fillId="4" borderId="26" xfId="1" applyFont="1" applyFill="1" applyBorder="1" applyAlignment="1">
      <alignment vertical="center"/>
    </xf>
    <xf numFmtId="0" fontId="5" fillId="5" borderId="8" xfId="1" applyFont="1" applyFill="1" applyBorder="1" applyAlignment="1">
      <alignment horizontal="center" vertical="center"/>
    </xf>
    <xf numFmtId="0" fontId="5" fillId="4" borderId="27" xfId="1" applyFont="1" applyFill="1" applyBorder="1" applyAlignment="1">
      <alignment vertical="center"/>
    </xf>
    <xf numFmtId="0" fontId="4" fillId="0" borderId="15" xfId="1" applyFont="1" applyBorder="1" applyAlignment="1">
      <alignment vertical="center"/>
    </xf>
    <xf numFmtId="49" fontId="5" fillId="5" borderId="1" xfId="1" applyNumberFormat="1" applyFont="1" applyFill="1" applyBorder="1" applyAlignment="1">
      <alignment vertical="center"/>
    </xf>
    <xf numFmtId="0" fontId="4" fillId="0" borderId="4" xfId="1" quotePrefix="1" applyFont="1" applyBorder="1" applyAlignment="1">
      <alignment vertical="center"/>
    </xf>
    <xf numFmtId="0" fontId="4" fillId="0" borderId="4" xfId="1" applyFont="1" applyFill="1" applyBorder="1" applyAlignment="1">
      <alignment horizontal="center" vertical="center"/>
    </xf>
    <xf numFmtId="0" fontId="4" fillId="5" borderId="4" xfId="1" applyFont="1" applyFill="1" applyBorder="1" applyAlignment="1">
      <alignment horizontal="center" vertical="center"/>
    </xf>
    <xf numFmtId="0" fontId="4" fillId="0" borderId="4" xfId="1" quotePrefix="1" applyFont="1" applyBorder="1" applyAlignment="1">
      <alignment vertical="center" wrapText="1"/>
    </xf>
    <xf numFmtId="0" fontId="4" fillId="13" borderId="1" xfId="1" applyFont="1" applyFill="1" applyBorder="1" applyAlignment="1">
      <alignment horizontal="center" vertical="center"/>
    </xf>
    <xf numFmtId="0" fontId="4" fillId="5" borderId="26" xfId="1" applyFont="1" applyFill="1" applyBorder="1" applyAlignment="1">
      <alignment horizontal="center" vertical="center"/>
    </xf>
    <xf numFmtId="0" fontId="5" fillId="0" borderId="3" xfId="1" applyFont="1" applyBorder="1" applyAlignment="1">
      <alignment vertical="center"/>
    </xf>
    <xf numFmtId="0" fontId="4" fillId="14" borderId="1" xfId="1" applyFont="1" applyFill="1" applyBorder="1" applyAlignment="1">
      <alignment horizontal="center" vertical="center"/>
    </xf>
    <xf numFmtId="0" fontId="4" fillId="15" borderId="1" xfId="1" applyFont="1" applyFill="1" applyBorder="1" applyAlignment="1">
      <alignment horizontal="center"/>
    </xf>
    <xf numFmtId="0" fontId="5" fillId="16" borderId="1" xfId="1" applyFont="1" applyFill="1" applyBorder="1" applyAlignment="1">
      <alignment horizontal="center"/>
    </xf>
    <xf numFmtId="0" fontId="7" fillId="2" borderId="1" xfId="1" applyFont="1" applyFill="1" applyBorder="1" applyAlignment="1">
      <alignment horizontal="center" vertical="center" wrapText="1"/>
    </xf>
    <xf numFmtId="176" fontId="7" fillId="2" borderId="1" xfId="1" applyNumberFormat="1" applyFont="1" applyFill="1" applyBorder="1" applyAlignment="1">
      <alignment horizontal="center" vertical="center"/>
    </xf>
    <xf numFmtId="176" fontId="7" fillId="2" borderId="2" xfId="1" applyNumberFormat="1" applyFont="1" applyFill="1" applyBorder="1" applyAlignment="1">
      <alignment horizontal="center" vertical="center"/>
    </xf>
    <xf numFmtId="176" fontId="7" fillId="2" borderId="3" xfId="1" applyNumberFormat="1" applyFont="1" applyFill="1" applyBorder="1" applyAlignment="1">
      <alignment horizontal="center" vertical="center"/>
    </xf>
    <xf numFmtId="176" fontId="7" fillId="2" borderId="4" xfId="1" applyNumberFormat="1" applyFont="1" applyFill="1" applyBorder="1" applyAlignment="1">
      <alignment horizontal="center" vertical="center"/>
    </xf>
    <xf numFmtId="0" fontId="5" fillId="4" borderId="2" xfId="1" applyFont="1" applyFill="1" applyBorder="1" applyAlignment="1">
      <alignment horizontal="center" vertical="center"/>
    </xf>
    <xf numFmtId="0" fontId="5" fillId="4" borderId="4" xfId="1" applyFont="1" applyFill="1" applyBorder="1" applyAlignment="1">
      <alignment horizontal="center" vertical="center"/>
    </xf>
    <xf numFmtId="0" fontId="5" fillId="4" borderId="7" xfId="1" applyFont="1" applyFill="1" applyBorder="1" applyAlignment="1">
      <alignment horizontal="center" vertical="center"/>
    </xf>
    <xf numFmtId="0" fontId="5" fillId="4" borderId="6" xfId="1" applyFont="1" applyFill="1" applyBorder="1" applyAlignment="1">
      <alignment horizontal="center" vertical="center"/>
    </xf>
    <xf numFmtId="0" fontId="5" fillId="4" borderId="25" xfId="1" applyFont="1" applyFill="1" applyBorder="1" applyAlignment="1">
      <alignment horizontal="center" vertical="center"/>
    </xf>
    <xf numFmtId="0" fontId="5" fillId="4" borderId="18" xfId="1" applyFont="1" applyFill="1" applyBorder="1" applyAlignment="1">
      <alignment horizontal="center" vertical="center"/>
    </xf>
    <xf numFmtId="49" fontId="5" fillId="5" borderId="2" xfId="1" applyNumberFormat="1" applyFont="1" applyFill="1" applyBorder="1" applyAlignment="1">
      <alignment horizontal="center" vertical="center"/>
    </xf>
    <xf numFmtId="49" fontId="5" fillId="5" borderId="4" xfId="1" applyNumberFormat="1" applyFont="1" applyFill="1" applyBorder="1" applyAlignment="1">
      <alignment horizontal="center" vertical="center"/>
    </xf>
    <xf numFmtId="0" fontId="4" fillId="5" borderId="2" xfId="1" applyFont="1" applyFill="1" applyBorder="1" applyAlignment="1">
      <alignment horizontal="center" vertical="center"/>
    </xf>
    <xf numFmtId="0" fontId="4" fillId="5" borderId="4" xfId="1" applyFont="1" applyFill="1" applyBorder="1" applyAlignment="1">
      <alignment horizontal="center" vertical="center"/>
    </xf>
    <xf numFmtId="176" fontId="4" fillId="2" borderId="2" xfId="1" applyNumberFormat="1" applyFont="1" applyFill="1" applyBorder="1" applyAlignment="1">
      <alignment horizontal="center" vertical="center"/>
    </xf>
    <xf numFmtId="176" fontId="4" fillId="2" borderId="3" xfId="1" applyNumberFormat="1" applyFont="1" applyFill="1" applyBorder="1" applyAlignment="1">
      <alignment horizontal="center" vertical="center"/>
    </xf>
    <xf numFmtId="176" fontId="4" fillId="2" borderId="4" xfId="1" applyNumberFormat="1" applyFont="1" applyFill="1" applyBorder="1" applyAlignment="1">
      <alignment horizontal="center" vertical="center"/>
    </xf>
    <xf numFmtId="0" fontId="4" fillId="7" borderId="1" xfId="1" applyFont="1" applyFill="1" applyBorder="1" applyAlignment="1">
      <alignment horizontal="center" vertical="center"/>
    </xf>
    <xf numFmtId="177" fontId="4" fillId="0" borderId="1" xfId="1" applyNumberFormat="1" applyFont="1" applyBorder="1" applyAlignment="1">
      <alignment horizontal="center" vertical="center"/>
    </xf>
    <xf numFmtId="177" fontId="9" fillId="7" borderId="1" xfId="1" applyNumberFormat="1" applyFont="1" applyFill="1" applyBorder="1" applyAlignment="1">
      <alignment horizontal="center" vertical="center"/>
    </xf>
  </cellXfs>
  <cellStyles count="5">
    <cellStyle name="표준" xfId="0" builtinId="0"/>
    <cellStyle name="표준 2" xfId="3"/>
    <cellStyle name="표준 2 2" xfId="4"/>
    <cellStyle name="표준 2 3" xfId="1"/>
    <cellStyle name="표준 3" xfId="2"/>
  </cellStyles>
  <dxfs count="0"/>
  <tableStyles count="0" defaultTableStyle="TableStyleMedium2" defaultPivotStyle="PivotStyleLight16"/>
  <colors>
    <mruColors>
      <color rgb="FFCC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37</xdr:col>
      <xdr:colOff>158565</xdr:colOff>
      <xdr:row>2</xdr:row>
      <xdr:rowOff>129427</xdr:rowOff>
    </xdr:from>
    <xdr:to>
      <xdr:col>37</xdr:col>
      <xdr:colOff>201708</xdr:colOff>
      <xdr:row>159</xdr:row>
      <xdr:rowOff>123264</xdr:rowOff>
    </xdr:to>
    <xdr:sp macro="" textlink="">
      <xdr:nvSpPr>
        <xdr:cNvPr id="2" name="사각형: 둥근 모서리 1">
          <a:extLst>
            <a:ext uri="{FF2B5EF4-FFF2-40B4-BE49-F238E27FC236}">
              <a16:creationId xmlns:a16="http://schemas.microsoft.com/office/drawing/2014/main" id="{3DEBE698-8A7C-410C-A474-00454C53FE58}"/>
            </a:ext>
          </a:extLst>
        </xdr:cNvPr>
        <xdr:cNvSpPr/>
      </xdr:nvSpPr>
      <xdr:spPr>
        <a:xfrm>
          <a:off x="16631212" y="1059515"/>
          <a:ext cx="43143" cy="29835102"/>
        </a:xfrm>
        <a:prstGeom prst="roundRect">
          <a:avLst/>
        </a:prstGeom>
        <a:solidFill>
          <a:srgbClr val="FF6565"/>
        </a:solidFill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235"/>
  <sheetViews>
    <sheetView tabSelected="1" zoomScale="85" zoomScaleNormal="85" workbookViewId="0"/>
  </sheetViews>
  <sheetFormatPr defaultColWidth="21" defaultRowHeight="17.25" customHeight="1" x14ac:dyDescent="0.3"/>
  <cols>
    <col min="1" max="1" width="3.375" customWidth="1"/>
    <col min="2" max="2" width="6.625" bestFit="1" customWidth="1"/>
    <col min="3" max="3" width="13.25" bestFit="1" customWidth="1"/>
    <col min="4" max="4" width="25.125" bestFit="1" customWidth="1"/>
    <col min="5" max="5" width="20.625" style="29" bestFit="1" customWidth="1"/>
    <col min="6" max="6" width="5" bestFit="1" customWidth="1"/>
    <col min="7" max="7" width="9.875" bestFit="1" customWidth="1"/>
    <col min="8" max="8" width="8.25" bestFit="1" customWidth="1"/>
    <col min="9" max="9" width="10.25" bestFit="1" customWidth="1"/>
    <col min="10" max="11" width="6.125" bestFit="1" customWidth="1"/>
    <col min="12" max="12" width="6.625" bestFit="1" customWidth="1"/>
    <col min="13" max="31" width="2.625" bestFit="1" customWidth="1"/>
    <col min="32" max="32" width="6.625" bestFit="1" customWidth="1"/>
    <col min="33" max="34" width="6.125" style="29" bestFit="1" customWidth="1"/>
    <col min="35" max="35" width="11.625" bestFit="1" customWidth="1"/>
    <col min="36" max="37" width="6.125" style="29" bestFit="1" customWidth="1"/>
  </cols>
  <sheetData>
    <row r="1" spans="1:37" ht="27" customHeight="1" x14ac:dyDescent="0.3">
      <c r="A1" s="10" t="s">
        <v>0</v>
      </c>
      <c r="B1" s="10" t="s">
        <v>1</v>
      </c>
      <c r="C1" s="15" t="s">
        <v>2</v>
      </c>
      <c r="D1" s="15" t="s">
        <v>3</v>
      </c>
      <c r="E1" s="22"/>
      <c r="F1" s="15" t="s">
        <v>4</v>
      </c>
      <c r="G1" s="15" t="s">
        <v>60</v>
      </c>
      <c r="H1" s="15" t="s">
        <v>5</v>
      </c>
      <c r="I1" s="15" t="s">
        <v>59</v>
      </c>
      <c r="J1" s="139" t="s">
        <v>6</v>
      </c>
      <c r="K1" s="139"/>
      <c r="L1" s="15" t="s">
        <v>43</v>
      </c>
      <c r="M1" s="141">
        <v>45901</v>
      </c>
      <c r="N1" s="142"/>
      <c r="O1" s="142"/>
      <c r="P1" s="142"/>
      <c r="Q1" s="143"/>
      <c r="R1" s="140">
        <v>45566</v>
      </c>
      <c r="S1" s="140"/>
      <c r="T1" s="140"/>
      <c r="U1" s="140"/>
      <c r="V1" s="140"/>
      <c r="W1" s="140">
        <v>45597</v>
      </c>
      <c r="X1" s="140"/>
      <c r="Y1" s="140"/>
      <c r="Z1" s="140"/>
      <c r="AA1" s="140">
        <v>45627</v>
      </c>
      <c r="AB1" s="140"/>
      <c r="AC1" s="140"/>
      <c r="AD1" s="140"/>
      <c r="AE1" s="140"/>
      <c r="AF1" s="15" t="s">
        <v>62</v>
      </c>
      <c r="AG1" s="139" t="s">
        <v>6</v>
      </c>
      <c r="AH1" s="139"/>
      <c r="AI1" s="15" t="s">
        <v>61</v>
      </c>
      <c r="AJ1" s="139" t="s">
        <v>6</v>
      </c>
      <c r="AK1" s="139"/>
    </row>
    <row r="2" spans="1:37" ht="17.25" customHeight="1" x14ac:dyDescent="0.3">
      <c r="A2" s="10"/>
      <c r="B2" s="10"/>
      <c r="C2" s="15"/>
      <c r="D2" s="15"/>
      <c r="E2" s="22"/>
      <c r="F2" s="15"/>
      <c r="G2" s="15"/>
      <c r="H2" s="15"/>
      <c r="I2" s="15"/>
      <c r="J2" s="15" t="s">
        <v>31</v>
      </c>
      <c r="K2" s="15" t="s">
        <v>32</v>
      </c>
      <c r="L2" s="11"/>
      <c r="M2" s="12">
        <v>1</v>
      </c>
      <c r="N2" s="12">
        <v>2</v>
      </c>
      <c r="O2" s="12">
        <v>3</v>
      </c>
      <c r="P2" s="12">
        <v>4</v>
      </c>
      <c r="Q2" s="12">
        <v>5</v>
      </c>
      <c r="R2" s="12">
        <v>1</v>
      </c>
      <c r="S2" s="12">
        <v>2</v>
      </c>
      <c r="T2" s="12">
        <v>3</v>
      </c>
      <c r="U2" s="12">
        <v>4</v>
      </c>
      <c r="V2" s="12">
        <v>5</v>
      </c>
      <c r="W2" s="12">
        <v>1</v>
      </c>
      <c r="X2" s="12">
        <v>2</v>
      </c>
      <c r="Y2" s="12">
        <v>3</v>
      </c>
      <c r="Z2" s="12">
        <v>4</v>
      </c>
      <c r="AA2" s="12">
        <v>1</v>
      </c>
      <c r="AB2" s="12">
        <v>2</v>
      </c>
      <c r="AC2" s="12">
        <v>3</v>
      </c>
      <c r="AD2" s="12">
        <v>4</v>
      </c>
      <c r="AE2" s="12">
        <v>5</v>
      </c>
      <c r="AF2" s="15"/>
      <c r="AG2" s="23" t="s">
        <v>31</v>
      </c>
      <c r="AH2" s="23" t="s">
        <v>32</v>
      </c>
      <c r="AI2" s="15"/>
      <c r="AJ2" s="23" t="s">
        <v>31</v>
      </c>
      <c r="AK2" s="23" t="s">
        <v>32</v>
      </c>
    </row>
    <row r="3" spans="1:37" ht="17.25" customHeight="1" x14ac:dyDescent="0.3">
      <c r="A3" s="24" t="s">
        <v>64</v>
      </c>
      <c r="B3" s="25"/>
      <c r="C3" s="25"/>
      <c r="D3" s="25"/>
      <c r="E3" s="32"/>
      <c r="F3" s="25"/>
      <c r="G3" s="26"/>
      <c r="H3" s="26"/>
      <c r="I3" s="27"/>
      <c r="J3" s="33">
        <f xml:space="preserve"> SUM(J4,J19,J39,J52,J83,J95,J104,J134,J146,J150,J159,J168,J172,J182,J189,J201,J206,J214,J220,J224)</f>
        <v>218.5</v>
      </c>
      <c r="K3" s="33">
        <f xml:space="preserve"> SUM(K4,K19,K39,K52,K83,K95,K104,K134,K146,K150,K159,K168,K172,K182,K189,K201,K206,K214,K220,K224)</f>
        <v>218.5</v>
      </c>
      <c r="L3" s="28"/>
      <c r="M3" s="28"/>
      <c r="N3" s="28"/>
      <c r="O3" s="28"/>
      <c r="P3" s="28"/>
      <c r="Q3" s="28"/>
      <c r="R3" s="28"/>
      <c r="S3" s="28"/>
      <c r="T3" s="28"/>
      <c r="U3" s="28"/>
      <c r="V3" s="28"/>
      <c r="W3" s="28"/>
      <c r="X3" s="28"/>
      <c r="Y3" s="28"/>
      <c r="Z3" s="28"/>
      <c r="AA3" s="28"/>
      <c r="AB3" s="28"/>
      <c r="AC3" s="28"/>
      <c r="AD3" s="28"/>
      <c r="AE3" s="28"/>
      <c r="AF3" s="28"/>
      <c r="AG3" s="33">
        <f xml:space="preserve"> SUM(AG4,AG19,AG39,AG52,AG83,AG95,AG104,AG134,AG146,AG150,AG159,AG168,AG172,AG182,AG189,AG201,AG206,AG214,AG220,AG224)</f>
        <v>51.29999999999999</v>
      </c>
      <c r="AH3" s="33">
        <f xml:space="preserve"> SUM(AH4,AH19,AH39,AH52,AH83,AH95,AH104,AH134,AH146,AH150,AH159,AH168,AH172,AH182,AH189,AH201,AH206,AH214,AH220,AH224)</f>
        <v>51.29999999999999</v>
      </c>
      <c r="AI3" s="28"/>
      <c r="AJ3" s="33">
        <f xml:space="preserve"> SUM(AJ4,AJ19,AJ39,AJ52,AJ83,AJ95,AJ104,AJ134,AJ146,AJ150,AJ159,AJ168,AJ172,AJ182,AJ189,AJ201,AJ206,AJ214,AJ220,AJ224)</f>
        <v>51.29999999999999</v>
      </c>
      <c r="AK3" s="33">
        <f xml:space="preserve"> SUM(AK4,AK19,AK39,AK52,AK83,AK95,AK104,AK134,AK146,AK150,AK159,AK168,AK172,AK182,AK189,AK201,AK206,AK214,AK220,AK224)</f>
        <v>51.29999999999999</v>
      </c>
    </row>
    <row r="4" spans="1:37" s="30" customFormat="1" ht="17.25" customHeight="1" x14ac:dyDescent="0.25">
      <c r="A4" s="144" t="s">
        <v>65</v>
      </c>
      <c r="B4" s="145"/>
      <c r="C4" s="34" t="s">
        <v>82</v>
      </c>
      <c r="D4" s="35"/>
      <c r="E4" s="35"/>
      <c r="F4" s="36"/>
      <c r="G4" s="37"/>
      <c r="H4" s="37"/>
      <c r="I4" s="37"/>
      <c r="J4" s="38">
        <f>SUM(J5:J18)</f>
        <v>8.5</v>
      </c>
      <c r="K4" s="38">
        <f>SUM(K5:K18)</f>
        <v>8.5</v>
      </c>
      <c r="L4" s="118"/>
      <c r="M4" s="118"/>
      <c r="N4" s="118"/>
      <c r="O4" s="118"/>
      <c r="P4" s="118"/>
      <c r="Q4" s="118"/>
      <c r="R4" s="118"/>
      <c r="S4" s="118"/>
      <c r="T4" s="118"/>
      <c r="U4" s="118"/>
      <c r="V4" s="118"/>
      <c r="W4" s="118"/>
      <c r="X4" s="118"/>
      <c r="Y4" s="118"/>
      <c r="Z4" s="118"/>
      <c r="AA4" s="118"/>
      <c r="AB4" s="118"/>
      <c r="AC4" s="118"/>
      <c r="AD4" s="118"/>
      <c r="AE4" s="118"/>
      <c r="AF4" s="118"/>
      <c r="AG4" s="38">
        <f>SUM(AG5:AG18)</f>
        <v>4.1999999999999993</v>
      </c>
      <c r="AH4" s="38">
        <f>SUM(AH5:AH18)</f>
        <v>4.1999999999999993</v>
      </c>
      <c r="AI4" s="118"/>
      <c r="AJ4" s="38">
        <f>SUM(AJ5:AJ18)</f>
        <v>4.1999999999999993</v>
      </c>
      <c r="AK4" s="38">
        <f>SUM(AK5:AK18)</f>
        <v>4.1999999999999993</v>
      </c>
    </row>
    <row r="5" spans="1:37" s="30" customFormat="1" ht="17.25" customHeight="1" x14ac:dyDescent="0.25">
      <c r="A5" s="41" t="s">
        <v>18</v>
      </c>
      <c r="B5" s="41" t="s">
        <v>65</v>
      </c>
      <c r="C5" s="42"/>
      <c r="D5" s="43" t="s">
        <v>66</v>
      </c>
      <c r="E5" s="44" t="s">
        <v>67</v>
      </c>
      <c r="F5" s="45" t="s">
        <v>7</v>
      </c>
      <c r="G5" s="60" t="s">
        <v>40</v>
      </c>
      <c r="H5" s="21"/>
      <c r="I5" s="13">
        <v>45988</v>
      </c>
      <c r="J5" s="46">
        <v>0.5</v>
      </c>
      <c r="K5" s="46">
        <v>0.5</v>
      </c>
      <c r="L5" s="14">
        <f t="shared" ref="L5:L18" si="0">K5/J5</f>
        <v>1</v>
      </c>
      <c r="M5" s="21">
        <v>5</v>
      </c>
      <c r="N5" s="21"/>
      <c r="O5" s="21"/>
      <c r="P5" s="21">
        <v>5</v>
      </c>
      <c r="Q5" s="21"/>
      <c r="R5" s="21"/>
      <c r="S5" s="21"/>
      <c r="T5" s="21"/>
      <c r="U5" s="21"/>
      <c r="V5" s="21"/>
      <c r="W5" s="21"/>
      <c r="X5" s="21"/>
      <c r="Y5" s="21"/>
      <c r="Z5" s="21"/>
      <c r="AA5" s="21">
        <v>5</v>
      </c>
      <c r="AB5" s="21"/>
      <c r="AC5" s="21"/>
      <c r="AD5" s="21">
        <v>5</v>
      </c>
      <c r="AE5" s="21"/>
      <c r="AF5" s="21" t="str">
        <f>G5</f>
        <v>김연수</v>
      </c>
      <c r="AG5" s="49">
        <v>0.3</v>
      </c>
      <c r="AH5" s="49">
        <v>0.3</v>
      </c>
      <c r="AI5" s="21" t="str">
        <f>G5</f>
        <v>김연수</v>
      </c>
      <c r="AJ5" s="49">
        <v>0.3</v>
      </c>
      <c r="AK5" s="49">
        <v>0.3</v>
      </c>
    </row>
    <row r="6" spans="1:37" s="30" customFormat="1" ht="17.25" customHeight="1" x14ac:dyDescent="0.25">
      <c r="A6" s="41" t="s">
        <v>45</v>
      </c>
      <c r="B6" s="41" t="s">
        <v>65</v>
      </c>
      <c r="C6" s="42"/>
      <c r="D6" s="43" t="s">
        <v>68</v>
      </c>
      <c r="E6" s="44" t="s">
        <v>69</v>
      </c>
      <c r="F6" s="45" t="s">
        <v>7</v>
      </c>
      <c r="G6" s="60" t="s">
        <v>40</v>
      </c>
      <c r="H6" s="21"/>
      <c r="I6" s="13">
        <v>45988</v>
      </c>
      <c r="J6" s="46">
        <v>0.5</v>
      </c>
      <c r="K6" s="50">
        <v>0.5</v>
      </c>
      <c r="L6" s="14">
        <f t="shared" si="0"/>
        <v>1</v>
      </c>
      <c r="M6" s="21"/>
      <c r="N6" s="21">
        <v>4</v>
      </c>
      <c r="O6" s="21">
        <v>5</v>
      </c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>
        <v>4</v>
      </c>
      <c r="AC6" s="21">
        <v>5</v>
      </c>
      <c r="AD6" s="21"/>
      <c r="AE6" s="21"/>
      <c r="AF6" s="21" t="str">
        <f t="shared" ref="AF6:AF69" si="1">G6</f>
        <v>김연수</v>
      </c>
      <c r="AG6" s="49">
        <v>0.3</v>
      </c>
      <c r="AH6" s="49">
        <v>0.3</v>
      </c>
      <c r="AI6" s="21" t="str">
        <f t="shared" ref="AI6:AI69" si="2">G6</f>
        <v>김연수</v>
      </c>
      <c r="AJ6" s="49">
        <v>0.3</v>
      </c>
      <c r="AK6" s="49">
        <v>0.3</v>
      </c>
    </row>
    <row r="7" spans="1:37" s="30" customFormat="1" ht="17.25" customHeight="1" x14ac:dyDescent="0.25">
      <c r="A7" s="41" t="s">
        <v>9</v>
      </c>
      <c r="B7" s="41" t="s">
        <v>65</v>
      </c>
      <c r="C7" s="42"/>
      <c r="D7" s="43" t="s">
        <v>70</v>
      </c>
      <c r="E7" s="44" t="s">
        <v>69</v>
      </c>
      <c r="F7" s="45" t="s">
        <v>7</v>
      </c>
      <c r="G7" s="60" t="s">
        <v>40</v>
      </c>
      <c r="H7" s="21"/>
      <c r="I7" s="13">
        <v>45988</v>
      </c>
      <c r="J7" s="46">
        <v>0.5</v>
      </c>
      <c r="K7" s="50">
        <v>0.5</v>
      </c>
      <c r="L7" s="14">
        <f t="shared" si="0"/>
        <v>1</v>
      </c>
      <c r="M7" s="21"/>
      <c r="N7" s="21">
        <v>1</v>
      </c>
      <c r="O7" s="21"/>
      <c r="P7" s="21"/>
      <c r="Q7" s="21">
        <v>4</v>
      </c>
      <c r="R7" s="21"/>
      <c r="S7" s="21"/>
      <c r="T7" s="21"/>
      <c r="U7" s="21"/>
      <c r="V7" s="21"/>
      <c r="W7" s="21"/>
      <c r="X7" s="21"/>
      <c r="Y7" s="21"/>
      <c r="Z7" s="21"/>
      <c r="AA7" s="21"/>
      <c r="AB7" s="21">
        <v>1</v>
      </c>
      <c r="AC7" s="21"/>
      <c r="AD7" s="21"/>
      <c r="AE7" s="21"/>
      <c r="AF7" s="21" t="str">
        <f t="shared" si="1"/>
        <v>김연수</v>
      </c>
      <c r="AG7" s="49">
        <v>0.3</v>
      </c>
      <c r="AH7" s="49">
        <v>0.3</v>
      </c>
      <c r="AI7" s="21" t="str">
        <f t="shared" si="2"/>
        <v>김연수</v>
      </c>
      <c r="AJ7" s="49">
        <v>0.3</v>
      </c>
      <c r="AK7" s="49">
        <v>0.3</v>
      </c>
    </row>
    <row r="8" spans="1:37" s="30" customFormat="1" ht="17.25" customHeight="1" x14ac:dyDescent="0.25">
      <c r="A8" s="41" t="s">
        <v>10</v>
      </c>
      <c r="B8" s="41" t="s">
        <v>65</v>
      </c>
      <c r="C8" s="42"/>
      <c r="D8" s="43"/>
      <c r="E8" s="44" t="s">
        <v>71</v>
      </c>
      <c r="F8" s="45" t="s">
        <v>72</v>
      </c>
      <c r="G8" s="60" t="s">
        <v>40</v>
      </c>
      <c r="H8" s="21"/>
      <c r="I8" s="13">
        <v>45988</v>
      </c>
      <c r="J8" s="46">
        <v>0.5</v>
      </c>
      <c r="K8" s="50">
        <v>0.5</v>
      </c>
      <c r="L8" s="14">
        <f t="shared" si="0"/>
        <v>1</v>
      </c>
      <c r="M8" s="21"/>
      <c r="N8" s="21"/>
      <c r="O8" s="21"/>
      <c r="P8" s="21"/>
      <c r="Q8" s="21">
        <v>1</v>
      </c>
      <c r="R8" s="21"/>
      <c r="S8" s="21"/>
      <c r="T8" s="21"/>
      <c r="U8" s="21"/>
      <c r="V8" s="21"/>
      <c r="W8" s="21"/>
      <c r="X8" s="21"/>
      <c r="Y8" s="21"/>
      <c r="Z8" s="21"/>
      <c r="AA8" s="21"/>
      <c r="AB8" s="21"/>
      <c r="AC8" s="21"/>
      <c r="AD8" s="21"/>
      <c r="AE8" s="21">
        <v>1</v>
      </c>
      <c r="AF8" s="21" t="str">
        <f t="shared" si="1"/>
        <v>김연수</v>
      </c>
      <c r="AG8" s="49">
        <v>0.3</v>
      </c>
      <c r="AH8" s="49">
        <v>0.3</v>
      </c>
      <c r="AI8" s="21" t="str">
        <f t="shared" si="2"/>
        <v>김연수</v>
      </c>
      <c r="AJ8" s="49">
        <v>0.3</v>
      </c>
      <c r="AK8" s="49">
        <v>0.3</v>
      </c>
    </row>
    <row r="9" spans="1:37" s="30" customFormat="1" ht="17.25" customHeight="1" x14ac:dyDescent="0.25">
      <c r="A9" s="41" t="s">
        <v>11</v>
      </c>
      <c r="B9" s="41" t="s">
        <v>65</v>
      </c>
      <c r="C9" s="42"/>
      <c r="D9" s="43"/>
      <c r="E9" s="44" t="s">
        <v>73</v>
      </c>
      <c r="F9" s="52" t="s">
        <v>74</v>
      </c>
      <c r="G9" s="60" t="s">
        <v>40</v>
      </c>
      <c r="H9" s="21"/>
      <c r="I9" s="13">
        <v>45988</v>
      </c>
      <c r="J9" s="46">
        <v>0.5</v>
      </c>
      <c r="K9" s="50">
        <v>0.5</v>
      </c>
      <c r="L9" s="14">
        <f t="shared" si="0"/>
        <v>1</v>
      </c>
      <c r="M9" s="21"/>
      <c r="N9" s="21"/>
      <c r="O9" s="21"/>
      <c r="P9" s="21"/>
      <c r="Q9" s="21"/>
      <c r="R9" s="21">
        <v>5</v>
      </c>
      <c r="S9" s="21"/>
      <c r="T9" s="21"/>
      <c r="U9" s="21">
        <v>5</v>
      </c>
      <c r="V9" s="21"/>
      <c r="W9" s="21"/>
      <c r="X9" s="21"/>
      <c r="Y9" s="21"/>
      <c r="Z9" s="21"/>
      <c r="AA9" s="21"/>
      <c r="AB9" s="21"/>
      <c r="AC9" s="21"/>
      <c r="AD9" s="21"/>
      <c r="AE9" s="21"/>
      <c r="AF9" s="21" t="str">
        <f t="shared" si="1"/>
        <v>김연수</v>
      </c>
      <c r="AG9" s="49">
        <v>0.3</v>
      </c>
      <c r="AH9" s="49">
        <v>0.3</v>
      </c>
      <c r="AI9" s="21" t="str">
        <f t="shared" si="2"/>
        <v>김연수</v>
      </c>
      <c r="AJ9" s="49">
        <v>0.3</v>
      </c>
      <c r="AK9" s="49">
        <v>0.3</v>
      </c>
    </row>
    <row r="10" spans="1:37" s="30" customFormat="1" ht="17.25" customHeight="1" x14ac:dyDescent="0.25">
      <c r="A10" s="41" t="s">
        <v>12</v>
      </c>
      <c r="B10" s="41" t="s">
        <v>65</v>
      </c>
      <c r="C10" s="42"/>
      <c r="D10" s="43" t="s">
        <v>75</v>
      </c>
      <c r="E10" s="44" t="s">
        <v>67</v>
      </c>
      <c r="F10" s="45" t="s">
        <v>7</v>
      </c>
      <c r="G10" s="60" t="s">
        <v>40</v>
      </c>
      <c r="H10" s="21"/>
      <c r="I10" s="13">
        <v>45988</v>
      </c>
      <c r="J10" s="46">
        <v>0.5</v>
      </c>
      <c r="K10" s="50">
        <v>0.5</v>
      </c>
      <c r="L10" s="14">
        <f t="shared" si="0"/>
        <v>1</v>
      </c>
      <c r="M10" s="21"/>
      <c r="N10" s="21"/>
      <c r="O10" s="21"/>
      <c r="P10" s="21"/>
      <c r="Q10" s="21"/>
      <c r="R10" s="21"/>
      <c r="S10" s="21">
        <v>4</v>
      </c>
      <c r="T10" s="21">
        <v>5</v>
      </c>
      <c r="U10" s="21"/>
      <c r="V10" s="21"/>
      <c r="W10" s="21"/>
      <c r="X10" s="21"/>
      <c r="Y10" s="21"/>
      <c r="Z10" s="21"/>
      <c r="AA10" s="21"/>
      <c r="AB10" s="21"/>
      <c r="AC10" s="21"/>
      <c r="AD10" s="21"/>
      <c r="AE10" s="21"/>
      <c r="AF10" s="21" t="str">
        <f t="shared" si="1"/>
        <v>김연수</v>
      </c>
      <c r="AG10" s="49">
        <v>0.3</v>
      </c>
      <c r="AH10" s="49">
        <v>0.3</v>
      </c>
      <c r="AI10" s="21" t="str">
        <f t="shared" si="2"/>
        <v>김연수</v>
      </c>
      <c r="AJ10" s="49">
        <v>0.3</v>
      </c>
      <c r="AK10" s="49">
        <v>0.3</v>
      </c>
    </row>
    <row r="11" spans="1:37" s="30" customFormat="1" ht="17.25" customHeight="1" x14ac:dyDescent="0.25">
      <c r="A11" s="41" t="s">
        <v>13</v>
      </c>
      <c r="B11" s="41" t="s">
        <v>65</v>
      </c>
      <c r="C11" s="42"/>
      <c r="D11" s="43"/>
      <c r="E11" s="44" t="s">
        <v>76</v>
      </c>
      <c r="F11" s="45" t="s">
        <v>72</v>
      </c>
      <c r="G11" s="60" t="s">
        <v>40</v>
      </c>
      <c r="H11" s="21"/>
      <c r="I11" s="13">
        <v>45988</v>
      </c>
      <c r="J11" s="46">
        <v>0.5</v>
      </c>
      <c r="K11" s="46">
        <v>0.5</v>
      </c>
      <c r="L11" s="14">
        <f t="shared" si="0"/>
        <v>1</v>
      </c>
      <c r="M11" s="21"/>
      <c r="N11" s="21"/>
      <c r="O11" s="21"/>
      <c r="P11" s="21"/>
      <c r="Q11" s="21"/>
      <c r="R11" s="21"/>
      <c r="S11" s="21">
        <v>1</v>
      </c>
      <c r="T11" s="21"/>
      <c r="U11" s="21"/>
      <c r="V11" s="21">
        <v>4</v>
      </c>
      <c r="W11" s="21"/>
      <c r="X11" s="21"/>
      <c r="Y11" s="21"/>
      <c r="Z11" s="21"/>
      <c r="AA11" s="21"/>
      <c r="AB11" s="21"/>
      <c r="AC11" s="21"/>
      <c r="AD11" s="21"/>
      <c r="AE11" s="21"/>
      <c r="AF11" s="21" t="str">
        <f t="shared" si="1"/>
        <v>김연수</v>
      </c>
      <c r="AG11" s="49">
        <v>0.3</v>
      </c>
      <c r="AH11" s="49">
        <v>0.3</v>
      </c>
      <c r="AI11" s="21" t="str">
        <f t="shared" si="2"/>
        <v>김연수</v>
      </c>
      <c r="AJ11" s="49">
        <v>0.3</v>
      </c>
      <c r="AK11" s="49">
        <v>0.3</v>
      </c>
    </row>
    <row r="12" spans="1:37" s="30" customFormat="1" ht="17.25" customHeight="1" x14ac:dyDescent="0.25">
      <c r="A12" s="41" t="s">
        <v>33</v>
      </c>
      <c r="B12" s="41" t="s">
        <v>65</v>
      </c>
      <c r="C12" s="42"/>
      <c r="D12" s="43" t="s">
        <v>77</v>
      </c>
      <c r="E12" s="44" t="s">
        <v>78</v>
      </c>
      <c r="F12" s="52" t="s">
        <v>7</v>
      </c>
      <c r="G12" s="60" t="s">
        <v>40</v>
      </c>
      <c r="H12" s="21"/>
      <c r="I12" s="13">
        <v>45988</v>
      </c>
      <c r="J12" s="46">
        <v>0.5</v>
      </c>
      <c r="K12" s="46">
        <v>0.5</v>
      </c>
      <c r="L12" s="14">
        <f t="shared" si="0"/>
        <v>1</v>
      </c>
      <c r="M12" s="21"/>
      <c r="N12" s="21"/>
      <c r="O12" s="21"/>
      <c r="P12" s="21"/>
      <c r="Q12" s="21"/>
      <c r="R12" s="21"/>
      <c r="S12" s="21"/>
      <c r="T12" s="21"/>
      <c r="U12" s="21"/>
      <c r="V12" s="21">
        <v>1</v>
      </c>
      <c r="W12" s="21"/>
      <c r="X12" s="21"/>
      <c r="Y12" s="21"/>
      <c r="Z12" s="21"/>
      <c r="AA12" s="21"/>
      <c r="AB12" s="21"/>
      <c r="AC12" s="21"/>
      <c r="AD12" s="21"/>
      <c r="AE12" s="21"/>
      <c r="AF12" s="21" t="str">
        <f t="shared" si="1"/>
        <v>김연수</v>
      </c>
      <c r="AG12" s="49">
        <v>0.3</v>
      </c>
      <c r="AH12" s="49">
        <v>0.3</v>
      </c>
      <c r="AI12" s="21" t="str">
        <f t="shared" si="2"/>
        <v>김연수</v>
      </c>
      <c r="AJ12" s="49">
        <v>0.3</v>
      </c>
      <c r="AK12" s="49">
        <v>0.3</v>
      </c>
    </row>
    <row r="13" spans="1:37" s="30" customFormat="1" ht="17.25" customHeight="1" x14ac:dyDescent="0.25">
      <c r="A13" s="41" t="s">
        <v>14</v>
      </c>
      <c r="B13" s="41" t="s">
        <v>65</v>
      </c>
      <c r="C13" s="42"/>
      <c r="D13" s="43"/>
      <c r="E13" s="44" t="s">
        <v>76</v>
      </c>
      <c r="F13" s="52" t="s">
        <v>7</v>
      </c>
      <c r="G13" s="60" t="s">
        <v>40</v>
      </c>
      <c r="H13" s="21"/>
      <c r="I13" s="13">
        <v>45988</v>
      </c>
      <c r="J13" s="46">
        <v>0.5</v>
      </c>
      <c r="K13" s="46">
        <v>0.5</v>
      </c>
      <c r="L13" s="14">
        <f t="shared" si="0"/>
        <v>1</v>
      </c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>
        <v>5</v>
      </c>
      <c r="X13" s="21"/>
      <c r="Y13" s="21"/>
      <c r="Z13" s="21">
        <v>5</v>
      </c>
      <c r="AA13" s="21"/>
      <c r="AB13" s="21"/>
      <c r="AC13" s="21"/>
      <c r="AD13" s="21"/>
      <c r="AE13" s="21"/>
      <c r="AF13" s="21" t="str">
        <f t="shared" si="1"/>
        <v>김연수</v>
      </c>
      <c r="AG13" s="49">
        <v>0.3</v>
      </c>
      <c r="AH13" s="49">
        <v>0.3</v>
      </c>
      <c r="AI13" s="21" t="str">
        <f t="shared" si="2"/>
        <v>김연수</v>
      </c>
      <c r="AJ13" s="49">
        <v>0.3</v>
      </c>
      <c r="AK13" s="49">
        <v>0.3</v>
      </c>
    </row>
    <row r="14" spans="1:37" s="30" customFormat="1" ht="17.25" customHeight="1" x14ac:dyDescent="0.25">
      <c r="A14" s="41" t="s">
        <v>15</v>
      </c>
      <c r="B14" s="41" t="s">
        <v>65</v>
      </c>
      <c r="C14" s="42"/>
      <c r="D14" s="43"/>
      <c r="E14" s="44" t="s">
        <v>71</v>
      </c>
      <c r="F14" s="52" t="s">
        <v>72</v>
      </c>
      <c r="G14" s="60" t="s">
        <v>40</v>
      </c>
      <c r="H14" s="21"/>
      <c r="I14" s="13">
        <v>45988</v>
      </c>
      <c r="J14" s="46">
        <v>1</v>
      </c>
      <c r="K14" s="46">
        <v>1</v>
      </c>
      <c r="L14" s="14">
        <f t="shared" si="0"/>
        <v>1</v>
      </c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>
        <v>4</v>
      </c>
      <c r="Y14" s="21">
        <v>5</v>
      </c>
      <c r="Z14" s="21"/>
      <c r="AA14" s="21"/>
      <c r="AB14" s="21"/>
      <c r="AC14" s="21"/>
      <c r="AD14" s="21"/>
      <c r="AE14" s="21"/>
      <c r="AF14" s="21" t="str">
        <f t="shared" si="1"/>
        <v>김연수</v>
      </c>
      <c r="AG14" s="49">
        <v>0.3</v>
      </c>
      <c r="AH14" s="49">
        <v>0.3</v>
      </c>
      <c r="AI14" s="21" t="str">
        <f t="shared" si="2"/>
        <v>김연수</v>
      </c>
      <c r="AJ14" s="49">
        <v>0.3</v>
      </c>
      <c r="AK14" s="49">
        <v>0.3</v>
      </c>
    </row>
    <row r="15" spans="1:37" s="30" customFormat="1" ht="17.25" customHeight="1" x14ac:dyDescent="0.25">
      <c r="A15" s="41" t="s">
        <v>16</v>
      </c>
      <c r="B15" s="41" t="s">
        <v>65</v>
      </c>
      <c r="C15" s="42"/>
      <c r="D15" s="43" t="s">
        <v>79</v>
      </c>
      <c r="E15" s="44" t="s">
        <v>67</v>
      </c>
      <c r="F15" s="45" t="s">
        <v>7</v>
      </c>
      <c r="G15" s="133" t="s">
        <v>38</v>
      </c>
      <c r="H15" s="21"/>
      <c r="I15" s="13">
        <v>45988</v>
      </c>
      <c r="J15" s="46">
        <v>1</v>
      </c>
      <c r="K15" s="50">
        <v>1</v>
      </c>
      <c r="L15" s="14">
        <f t="shared" si="0"/>
        <v>1</v>
      </c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 t="str">
        <f t="shared" si="1"/>
        <v>백현주</v>
      </c>
      <c r="AG15" s="49">
        <v>0.3</v>
      </c>
      <c r="AH15" s="49">
        <v>0.3</v>
      </c>
      <c r="AI15" s="21" t="str">
        <f t="shared" si="2"/>
        <v>백현주</v>
      </c>
      <c r="AJ15" s="49">
        <v>0.3</v>
      </c>
      <c r="AK15" s="49">
        <v>0.3</v>
      </c>
    </row>
    <row r="16" spans="1:37" s="30" customFormat="1" ht="17.25" customHeight="1" x14ac:dyDescent="0.25">
      <c r="A16" s="41" t="s">
        <v>29</v>
      </c>
      <c r="B16" s="41" t="s">
        <v>65</v>
      </c>
      <c r="C16" s="42"/>
      <c r="D16" s="43"/>
      <c r="E16" s="44" t="s">
        <v>80</v>
      </c>
      <c r="F16" s="45" t="s">
        <v>72</v>
      </c>
      <c r="G16" s="133" t="s">
        <v>38</v>
      </c>
      <c r="H16" s="21"/>
      <c r="I16" s="13">
        <v>45988</v>
      </c>
      <c r="J16" s="46">
        <v>1</v>
      </c>
      <c r="K16" s="50">
        <v>1</v>
      </c>
      <c r="L16" s="14">
        <f t="shared" si="0"/>
        <v>1</v>
      </c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  <c r="AA16" s="21"/>
      <c r="AB16" s="21"/>
      <c r="AC16" s="21"/>
      <c r="AD16" s="21"/>
      <c r="AE16" s="21"/>
      <c r="AF16" s="21" t="str">
        <f t="shared" si="1"/>
        <v>백현주</v>
      </c>
      <c r="AG16" s="49">
        <v>0.3</v>
      </c>
      <c r="AH16" s="49">
        <v>0.3</v>
      </c>
      <c r="AI16" s="21" t="str">
        <f t="shared" si="2"/>
        <v>백현주</v>
      </c>
      <c r="AJ16" s="49">
        <v>0.3</v>
      </c>
      <c r="AK16" s="49">
        <v>0.3</v>
      </c>
    </row>
    <row r="17" spans="1:37" s="30" customFormat="1" ht="17.25" customHeight="1" x14ac:dyDescent="0.25">
      <c r="A17" s="41" t="s">
        <v>30</v>
      </c>
      <c r="B17" s="41" t="s">
        <v>65</v>
      </c>
      <c r="C17" s="42"/>
      <c r="D17" s="43" t="s">
        <v>81</v>
      </c>
      <c r="E17" s="44" t="s">
        <v>67</v>
      </c>
      <c r="F17" s="52" t="s">
        <v>7</v>
      </c>
      <c r="G17" s="60" t="s">
        <v>40</v>
      </c>
      <c r="H17" s="21"/>
      <c r="I17" s="13">
        <v>45988</v>
      </c>
      <c r="J17" s="46">
        <v>0.5</v>
      </c>
      <c r="K17" s="49">
        <v>0.5</v>
      </c>
      <c r="L17" s="14">
        <f t="shared" si="0"/>
        <v>1</v>
      </c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  <c r="AA17" s="21"/>
      <c r="AB17" s="21"/>
      <c r="AC17" s="21"/>
      <c r="AD17" s="21"/>
      <c r="AE17" s="21"/>
      <c r="AF17" s="21" t="str">
        <f t="shared" si="1"/>
        <v>김연수</v>
      </c>
      <c r="AG17" s="49">
        <v>0.3</v>
      </c>
      <c r="AH17" s="49">
        <v>0.3</v>
      </c>
      <c r="AI17" s="21" t="str">
        <f t="shared" si="2"/>
        <v>김연수</v>
      </c>
      <c r="AJ17" s="49">
        <v>0.3</v>
      </c>
      <c r="AK17" s="49">
        <v>0.3</v>
      </c>
    </row>
    <row r="18" spans="1:37" s="30" customFormat="1" ht="17.25" customHeight="1" x14ac:dyDescent="0.25">
      <c r="A18" s="41" t="s">
        <v>34</v>
      </c>
      <c r="B18" s="41" t="s">
        <v>65</v>
      </c>
      <c r="C18" s="42"/>
      <c r="D18" s="43"/>
      <c r="E18" s="44" t="s">
        <v>76</v>
      </c>
      <c r="F18" s="52" t="s">
        <v>72</v>
      </c>
      <c r="G18" s="60" t="s">
        <v>40</v>
      </c>
      <c r="H18" s="21"/>
      <c r="I18" s="13">
        <v>45988</v>
      </c>
      <c r="J18" s="46">
        <v>0.5</v>
      </c>
      <c r="K18" s="49">
        <v>0.5</v>
      </c>
      <c r="L18" s="14">
        <f t="shared" si="0"/>
        <v>1</v>
      </c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  <c r="AA18" s="21"/>
      <c r="AB18" s="21"/>
      <c r="AC18" s="21"/>
      <c r="AD18" s="21"/>
      <c r="AE18" s="21"/>
      <c r="AF18" s="21" t="str">
        <f t="shared" si="1"/>
        <v>김연수</v>
      </c>
      <c r="AG18" s="49">
        <v>0.3</v>
      </c>
      <c r="AH18" s="49">
        <v>0.3</v>
      </c>
      <c r="AI18" s="21" t="str">
        <f t="shared" si="2"/>
        <v>김연수</v>
      </c>
      <c r="AJ18" s="49">
        <v>0.3</v>
      </c>
      <c r="AK18" s="49">
        <v>0.3</v>
      </c>
    </row>
    <row r="19" spans="1:37" s="30" customFormat="1" ht="17.25" customHeight="1" x14ac:dyDescent="0.25">
      <c r="A19" s="144" t="s">
        <v>65</v>
      </c>
      <c r="B19" s="145"/>
      <c r="C19" s="34" t="s">
        <v>83</v>
      </c>
      <c r="D19" s="53"/>
      <c r="E19" s="53"/>
      <c r="F19" s="34"/>
      <c r="G19" s="38"/>
      <c r="H19" s="38"/>
      <c r="I19" s="55"/>
      <c r="J19" s="56">
        <f>SUM(J20:J38)</f>
        <v>18</v>
      </c>
      <c r="K19" s="56">
        <f>SUM(K20:K38)</f>
        <v>18</v>
      </c>
      <c r="L19" s="118"/>
      <c r="M19" s="118"/>
      <c r="N19" s="118"/>
      <c r="O19" s="118"/>
      <c r="P19" s="118"/>
      <c r="Q19" s="118"/>
      <c r="R19" s="118"/>
      <c r="S19" s="118"/>
      <c r="T19" s="118"/>
      <c r="U19" s="118"/>
      <c r="V19" s="118"/>
      <c r="W19" s="118"/>
      <c r="X19" s="118"/>
      <c r="Y19" s="118"/>
      <c r="Z19" s="118"/>
      <c r="AA19" s="118"/>
      <c r="AB19" s="118"/>
      <c r="AC19" s="118"/>
      <c r="AD19" s="118"/>
      <c r="AE19" s="118"/>
      <c r="AF19" s="118"/>
      <c r="AG19" s="38">
        <f>SUM(AG20:AG38)</f>
        <v>5.6999999999999984</v>
      </c>
      <c r="AH19" s="38">
        <f>SUM(AH20:AH38)</f>
        <v>5.6999999999999984</v>
      </c>
      <c r="AI19" s="118"/>
      <c r="AJ19" s="38">
        <f>SUM(AJ20:AJ38)</f>
        <v>5.6999999999999984</v>
      </c>
      <c r="AK19" s="38">
        <f>SUM(AK20:AK38)</f>
        <v>5.6999999999999984</v>
      </c>
    </row>
    <row r="20" spans="1:37" s="30" customFormat="1" ht="17.25" customHeight="1" x14ac:dyDescent="0.25">
      <c r="A20" s="41" t="s">
        <v>18</v>
      </c>
      <c r="B20" s="41" t="s">
        <v>65</v>
      </c>
      <c r="C20" s="57"/>
      <c r="D20" s="58" t="s">
        <v>84</v>
      </c>
      <c r="E20" s="57" t="s">
        <v>67</v>
      </c>
      <c r="F20" s="59" t="s">
        <v>7</v>
      </c>
      <c r="G20" s="133" t="s">
        <v>38</v>
      </c>
      <c r="H20" s="21"/>
      <c r="I20" s="13">
        <v>45988</v>
      </c>
      <c r="J20" s="61">
        <v>0.5</v>
      </c>
      <c r="K20" s="62">
        <v>0.5</v>
      </c>
      <c r="L20" s="14">
        <f t="shared" ref="L20:L29" si="3">K20/J20</f>
        <v>1</v>
      </c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21"/>
      <c r="AE20" s="21"/>
      <c r="AF20" s="21" t="str">
        <f t="shared" si="1"/>
        <v>백현주</v>
      </c>
      <c r="AG20" s="49">
        <v>0.3</v>
      </c>
      <c r="AH20" s="49">
        <v>0.3</v>
      </c>
      <c r="AI20" s="21" t="str">
        <f t="shared" si="2"/>
        <v>백현주</v>
      </c>
      <c r="AJ20" s="49">
        <v>0.3</v>
      </c>
      <c r="AK20" s="49">
        <v>0.3</v>
      </c>
    </row>
    <row r="21" spans="1:37" s="30" customFormat="1" ht="17.25" customHeight="1" x14ac:dyDescent="0.25">
      <c r="A21" s="41" t="s">
        <v>8</v>
      </c>
      <c r="B21" s="41" t="s">
        <v>65</v>
      </c>
      <c r="C21" s="57"/>
      <c r="D21" s="58"/>
      <c r="E21" s="57" t="s">
        <v>80</v>
      </c>
      <c r="F21" s="59" t="s">
        <v>72</v>
      </c>
      <c r="G21" s="133" t="s">
        <v>38</v>
      </c>
      <c r="H21" s="21"/>
      <c r="I21" s="13">
        <v>45988</v>
      </c>
      <c r="J21" s="61">
        <v>0.5</v>
      </c>
      <c r="K21" s="62">
        <v>0.5</v>
      </c>
      <c r="L21" s="14">
        <f t="shared" si="3"/>
        <v>1</v>
      </c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  <c r="AA21" s="21"/>
      <c r="AB21" s="21"/>
      <c r="AC21" s="21"/>
      <c r="AD21" s="21"/>
      <c r="AE21" s="21"/>
      <c r="AF21" s="21" t="str">
        <f t="shared" si="1"/>
        <v>백현주</v>
      </c>
      <c r="AG21" s="49">
        <v>0.3</v>
      </c>
      <c r="AH21" s="49">
        <v>0.3</v>
      </c>
      <c r="AI21" s="21" t="str">
        <f t="shared" si="2"/>
        <v>백현주</v>
      </c>
      <c r="AJ21" s="49">
        <v>0.3</v>
      </c>
      <c r="AK21" s="49">
        <v>0.3</v>
      </c>
    </row>
    <row r="22" spans="1:37" s="30" customFormat="1" ht="17.25" customHeight="1" x14ac:dyDescent="0.25">
      <c r="A22" s="41" t="s">
        <v>9</v>
      </c>
      <c r="B22" s="41" t="s">
        <v>65</v>
      </c>
      <c r="C22" s="57"/>
      <c r="D22" s="58" t="s">
        <v>85</v>
      </c>
      <c r="E22" s="57" t="s">
        <v>67</v>
      </c>
      <c r="F22" s="59" t="s">
        <v>7</v>
      </c>
      <c r="G22" s="133" t="s">
        <v>38</v>
      </c>
      <c r="H22" s="21"/>
      <c r="I22" s="13">
        <v>45988</v>
      </c>
      <c r="J22" s="61">
        <v>0.5</v>
      </c>
      <c r="K22" s="62">
        <v>0.5</v>
      </c>
      <c r="L22" s="14">
        <f t="shared" si="3"/>
        <v>1</v>
      </c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1"/>
      <c r="AC22" s="21"/>
      <c r="AD22" s="21"/>
      <c r="AE22" s="21"/>
      <c r="AF22" s="21" t="str">
        <f t="shared" si="1"/>
        <v>백현주</v>
      </c>
      <c r="AG22" s="49">
        <v>0.3</v>
      </c>
      <c r="AH22" s="49">
        <v>0.3</v>
      </c>
      <c r="AI22" s="21" t="str">
        <f t="shared" si="2"/>
        <v>백현주</v>
      </c>
      <c r="AJ22" s="49">
        <v>0.3</v>
      </c>
      <c r="AK22" s="49">
        <v>0.3</v>
      </c>
    </row>
    <row r="23" spans="1:37" s="30" customFormat="1" ht="17.25" customHeight="1" x14ac:dyDescent="0.25">
      <c r="A23" s="41" t="s">
        <v>10</v>
      </c>
      <c r="B23" s="41" t="s">
        <v>65</v>
      </c>
      <c r="C23" s="57"/>
      <c r="D23" s="58"/>
      <c r="E23" s="57" t="s">
        <v>86</v>
      </c>
      <c r="F23" s="59" t="s">
        <v>72</v>
      </c>
      <c r="G23" s="133" t="s">
        <v>38</v>
      </c>
      <c r="H23" s="21"/>
      <c r="I23" s="13">
        <v>45988</v>
      </c>
      <c r="J23" s="61">
        <v>0.5</v>
      </c>
      <c r="K23" s="62">
        <v>0.5</v>
      </c>
      <c r="L23" s="14">
        <f t="shared" si="3"/>
        <v>1</v>
      </c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1"/>
      <c r="AD23" s="21"/>
      <c r="AE23" s="21"/>
      <c r="AF23" s="21" t="str">
        <f t="shared" si="1"/>
        <v>백현주</v>
      </c>
      <c r="AG23" s="49">
        <v>0.3</v>
      </c>
      <c r="AH23" s="49">
        <v>0.3</v>
      </c>
      <c r="AI23" s="21" t="str">
        <f t="shared" si="2"/>
        <v>백현주</v>
      </c>
      <c r="AJ23" s="49">
        <v>0.3</v>
      </c>
      <c r="AK23" s="49">
        <v>0.3</v>
      </c>
    </row>
    <row r="24" spans="1:37" s="30" customFormat="1" ht="17.25" customHeight="1" x14ac:dyDescent="0.25">
      <c r="A24" s="41" t="s">
        <v>11</v>
      </c>
      <c r="B24" s="41" t="s">
        <v>65</v>
      </c>
      <c r="C24" s="57"/>
      <c r="D24" s="58"/>
      <c r="E24" s="57" t="s">
        <v>87</v>
      </c>
      <c r="F24" s="59" t="s">
        <v>72</v>
      </c>
      <c r="G24" s="133" t="s">
        <v>38</v>
      </c>
      <c r="H24" s="21"/>
      <c r="I24" s="13">
        <v>45988</v>
      </c>
      <c r="J24" s="61">
        <v>0.5</v>
      </c>
      <c r="K24" s="62">
        <v>0.5</v>
      </c>
      <c r="L24" s="14">
        <f t="shared" si="3"/>
        <v>1</v>
      </c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/>
      <c r="AC24" s="21"/>
      <c r="AD24" s="21"/>
      <c r="AE24" s="21"/>
      <c r="AF24" s="21" t="str">
        <f t="shared" si="1"/>
        <v>백현주</v>
      </c>
      <c r="AG24" s="49">
        <v>0.3</v>
      </c>
      <c r="AH24" s="49">
        <v>0.3</v>
      </c>
      <c r="AI24" s="21" t="str">
        <f t="shared" si="2"/>
        <v>백현주</v>
      </c>
      <c r="AJ24" s="49">
        <v>0.3</v>
      </c>
      <c r="AK24" s="49">
        <v>0.3</v>
      </c>
    </row>
    <row r="25" spans="1:37" s="30" customFormat="1" ht="17.25" customHeight="1" x14ac:dyDescent="0.25">
      <c r="A25" s="41" t="s">
        <v>12</v>
      </c>
      <c r="B25" s="41" t="s">
        <v>65</v>
      </c>
      <c r="C25" s="57"/>
      <c r="D25" s="58"/>
      <c r="E25" s="57" t="s">
        <v>88</v>
      </c>
      <c r="F25" s="59" t="s">
        <v>72</v>
      </c>
      <c r="G25" s="133" t="s">
        <v>38</v>
      </c>
      <c r="H25" s="21"/>
      <c r="I25" s="13">
        <v>45988</v>
      </c>
      <c r="J25" s="61">
        <v>1</v>
      </c>
      <c r="K25" s="62">
        <v>1</v>
      </c>
      <c r="L25" s="14">
        <f t="shared" si="3"/>
        <v>1</v>
      </c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  <c r="AA25" s="21"/>
      <c r="AB25" s="21"/>
      <c r="AC25" s="21"/>
      <c r="AD25" s="21"/>
      <c r="AE25" s="21"/>
      <c r="AF25" s="21" t="str">
        <f t="shared" si="1"/>
        <v>백현주</v>
      </c>
      <c r="AG25" s="49">
        <v>0.3</v>
      </c>
      <c r="AH25" s="49">
        <v>0.3</v>
      </c>
      <c r="AI25" s="21" t="str">
        <f t="shared" si="2"/>
        <v>백현주</v>
      </c>
      <c r="AJ25" s="49">
        <v>0.3</v>
      </c>
      <c r="AK25" s="49">
        <v>0.3</v>
      </c>
    </row>
    <row r="26" spans="1:37" s="30" customFormat="1" ht="17.25" customHeight="1" x14ac:dyDescent="0.25">
      <c r="A26" s="41" t="s">
        <v>13</v>
      </c>
      <c r="B26" s="41" t="s">
        <v>65</v>
      </c>
      <c r="C26" s="57"/>
      <c r="D26" s="58"/>
      <c r="E26" s="57" t="s">
        <v>89</v>
      </c>
      <c r="F26" s="59" t="s">
        <v>72</v>
      </c>
      <c r="G26" s="133" t="s">
        <v>38</v>
      </c>
      <c r="H26" s="21"/>
      <c r="I26" s="13">
        <v>45988</v>
      </c>
      <c r="J26" s="61">
        <v>2</v>
      </c>
      <c r="K26" s="62">
        <v>2</v>
      </c>
      <c r="L26" s="14">
        <f t="shared" si="3"/>
        <v>1</v>
      </c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  <c r="AA26" s="21"/>
      <c r="AB26" s="21"/>
      <c r="AC26" s="21"/>
      <c r="AD26" s="21"/>
      <c r="AE26" s="21"/>
      <c r="AF26" s="21" t="str">
        <f t="shared" si="1"/>
        <v>백현주</v>
      </c>
      <c r="AG26" s="49">
        <v>0.3</v>
      </c>
      <c r="AH26" s="49">
        <v>0.3</v>
      </c>
      <c r="AI26" s="21" t="str">
        <f t="shared" si="2"/>
        <v>백현주</v>
      </c>
      <c r="AJ26" s="49">
        <v>0.3</v>
      </c>
      <c r="AK26" s="49">
        <v>0.3</v>
      </c>
    </row>
    <row r="27" spans="1:37" s="30" customFormat="1" ht="17.25" customHeight="1" x14ac:dyDescent="0.25">
      <c r="A27" s="41" t="s">
        <v>33</v>
      </c>
      <c r="B27" s="41" t="s">
        <v>65</v>
      </c>
      <c r="C27" s="57"/>
      <c r="D27" s="58"/>
      <c r="E27" s="57" t="s">
        <v>90</v>
      </c>
      <c r="F27" s="59" t="s">
        <v>72</v>
      </c>
      <c r="G27" s="133" t="s">
        <v>38</v>
      </c>
      <c r="H27" s="21"/>
      <c r="I27" s="13">
        <v>45988</v>
      </c>
      <c r="J27" s="61">
        <v>2</v>
      </c>
      <c r="K27" s="62">
        <v>2</v>
      </c>
      <c r="L27" s="14">
        <f t="shared" si="3"/>
        <v>1</v>
      </c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21"/>
      <c r="AE27" s="21"/>
      <c r="AF27" s="21" t="str">
        <f t="shared" si="1"/>
        <v>백현주</v>
      </c>
      <c r="AG27" s="49">
        <v>0.3</v>
      </c>
      <c r="AH27" s="49">
        <v>0.3</v>
      </c>
      <c r="AI27" s="21" t="str">
        <f t="shared" si="2"/>
        <v>백현주</v>
      </c>
      <c r="AJ27" s="49">
        <v>0.3</v>
      </c>
      <c r="AK27" s="49">
        <v>0.3</v>
      </c>
    </row>
    <row r="28" spans="1:37" s="30" customFormat="1" ht="17.25" customHeight="1" x14ac:dyDescent="0.25">
      <c r="A28" s="41" t="s">
        <v>14</v>
      </c>
      <c r="B28" s="41" t="s">
        <v>65</v>
      </c>
      <c r="C28" s="57"/>
      <c r="D28" s="58"/>
      <c r="E28" s="57" t="s">
        <v>91</v>
      </c>
      <c r="F28" s="59" t="s">
        <v>72</v>
      </c>
      <c r="G28" s="133" t="s">
        <v>38</v>
      </c>
      <c r="H28" s="21"/>
      <c r="I28" s="13">
        <v>45988</v>
      </c>
      <c r="J28" s="61">
        <v>1</v>
      </c>
      <c r="K28" s="72">
        <v>1</v>
      </c>
      <c r="L28" s="14">
        <f t="shared" si="3"/>
        <v>1</v>
      </c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1"/>
      <c r="AC28" s="21"/>
      <c r="AD28" s="21"/>
      <c r="AE28" s="21"/>
      <c r="AF28" s="21" t="str">
        <f t="shared" si="1"/>
        <v>백현주</v>
      </c>
      <c r="AG28" s="49">
        <v>0.3</v>
      </c>
      <c r="AH28" s="49">
        <v>0.3</v>
      </c>
      <c r="AI28" s="21" t="str">
        <f t="shared" si="2"/>
        <v>백현주</v>
      </c>
      <c r="AJ28" s="49">
        <v>0.3</v>
      </c>
      <c r="AK28" s="49">
        <v>0.3</v>
      </c>
    </row>
    <row r="29" spans="1:37" s="30" customFormat="1" ht="17.25" customHeight="1" x14ac:dyDescent="0.25">
      <c r="A29" s="41" t="s">
        <v>15</v>
      </c>
      <c r="B29" s="41" t="s">
        <v>65</v>
      </c>
      <c r="C29" s="57"/>
      <c r="D29" s="58"/>
      <c r="E29" s="57" t="s">
        <v>92</v>
      </c>
      <c r="F29" s="59" t="s">
        <v>74</v>
      </c>
      <c r="G29" s="133" t="s">
        <v>38</v>
      </c>
      <c r="H29" s="21"/>
      <c r="I29" s="13">
        <v>45988</v>
      </c>
      <c r="J29" s="61">
        <v>0.5</v>
      </c>
      <c r="K29" s="62">
        <v>0.5</v>
      </c>
      <c r="L29" s="14">
        <f t="shared" si="3"/>
        <v>1</v>
      </c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21"/>
      <c r="AB29" s="21"/>
      <c r="AC29" s="21"/>
      <c r="AD29" s="21"/>
      <c r="AE29" s="21"/>
      <c r="AF29" s="21" t="str">
        <f t="shared" si="1"/>
        <v>백현주</v>
      </c>
      <c r="AG29" s="49">
        <v>0.3</v>
      </c>
      <c r="AH29" s="49">
        <v>0.3</v>
      </c>
      <c r="AI29" s="21" t="str">
        <f t="shared" si="2"/>
        <v>백현주</v>
      </c>
      <c r="AJ29" s="49">
        <v>0.3</v>
      </c>
      <c r="AK29" s="49">
        <v>0.3</v>
      </c>
    </row>
    <row r="30" spans="1:37" s="30" customFormat="1" ht="17.25" customHeight="1" x14ac:dyDescent="0.25">
      <c r="A30" s="41" t="s">
        <v>16</v>
      </c>
      <c r="B30" s="41" t="s">
        <v>65</v>
      </c>
      <c r="C30" s="57"/>
      <c r="D30" s="58"/>
      <c r="E30" s="57" t="s">
        <v>93</v>
      </c>
      <c r="F30" s="59" t="s">
        <v>72</v>
      </c>
      <c r="G30" s="133" t="s">
        <v>38</v>
      </c>
      <c r="H30" s="21"/>
      <c r="I30" s="13">
        <v>45988</v>
      </c>
      <c r="J30" s="61">
        <v>0.5</v>
      </c>
      <c r="K30" s="62">
        <v>0.5</v>
      </c>
      <c r="L30" s="14">
        <f t="shared" ref="L30:L38" si="4">K30/J30</f>
        <v>1</v>
      </c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  <c r="AA30" s="21"/>
      <c r="AB30" s="21"/>
      <c r="AC30" s="21"/>
      <c r="AD30" s="21"/>
      <c r="AE30" s="21"/>
      <c r="AF30" s="21" t="str">
        <f t="shared" si="1"/>
        <v>백현주</v>
      </c>
      <c r="AG30" s="49">
        <v>0.3</v>
      </c>
      <c r="AH30" s="49">
        <v>0.3</v>
      </c>
      <c r="AI30" s="21" t="str">
        <f t="shared" si="2"/>
        <v>백현주</v>
      </c>
      <c r="AJ30" s="49">
        <v>0.3</v>
      </c>
      <c r="AK30" s="49">
        <v>0.3</v>
      </c>
    </row>
    <row r="31" spans="1:37" s="30" customFormat="1" ht="17.25" customHeight="1" x14ac:dyDescent="0.25">
      <c r="A31" s="41" t="s">
        <v>29</v>
      </c>
      <c r="B31" s="41" t="s">
        <v>65</v>
      </c>
      <c r="C31" s="57"/>
      <c r="D31" s="57" t="s">
        <v>94</v>
      </c>
      <c r="E31" s="57" t="s">
        <v>78</v>
      </c>
      <c r="F31" s="59" t="s">
        <v>7</v>
      </c>
      <c r="G31" s="133" t="s">
        <v>38</v>
      </c>
      <c r="H31" s="21"/>
      <c r="I31" s="13">
        <v>45988</v>
      </c>
      <c r="J31" s="61">
        <v>0.5</v>
      </c>
      <c r="K31" s="62">
        <v>0.5</v>
      </c>
      <c r="L31" s="14">
        <f t="shared" ref="L31:L37" si="5">K31/J31</f>
        <v>1</v>
      </c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  <c r="AA31" s="21"/>
      <c r="AB31" s="21"/>
      <c r="AC31" s="21"/>
      <c r="AD31" s="21"/>
      <c r="AE31" s="21"/>
      <c r="AF31" s="21" t="str">
        <f t="shared" si="1"/>
        <v>백현주</v>
      </c>
      <c r="AG31" s="49">
        <v>0.3</v>
      </c>
      <c r="AH31" s="49">
        <v>0.3</v>
      </c>
      <c r="AI31" s="21" t="str">
        <f t="shared" si="2"/>
        <v>백현주</v>
      </c>
      <c r="AJ31" s="49">
        <v>0.3</v>
      </c>
      <c r="AK31" s="49">
        <v>0.3</v>
      </c>
    </row>
    <row r="32" spans="1:37" s="30" customFormat="1" ht="17.25" customHeight="1" x14ac:dyDescent="0.25">
      <c r="A32" s="41" t="s">
        <v>30</v>
      </c>
      <c r="B32" s="41" t="s">
        <v>65</v>
      </c>
      <c r="C32" s="57"/>
      <c r="D32" s="135"/>
      <c r="E32" s="57" t="s">
        <v>95</v>
      </c>
      <c r="F32" s="59" t="s">
        <v>72</v>
      </c>
      <c r="G32" s="133" t="s">
        <v>38</v>
      </c>
      <c r="H32" s="21"/>
      <c r="I32" s="13">
        <v>45988</v>
      </c>
      <c r="J32" s="61">
        <v>2</v>
      </c>
      <c r="K32" s="62">
        <v>2</v>
      </c>
      <c r="L32" s="14">
        <f t="shared" si="5"/>
        <v>1</v>
      </c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  <c r="AA32" s="21"/>
      <c r="AB32" s="21"/>
      <c r="AC32" s="21"/>
      <c r="AD32" s="21"/>
      <c r="AE32" s="21"/>
      <c r="AF32" s="21" t="str">
        <f t="shared" si="1"/>
        <v>백현주</v>
      </c>
      <c r="AG32" s="49">
        <v>0.3</v>
      </c>
      <c r="AH32" s="49">
        <v>0.3</v>
      </c>
      <c r="AI32" s="21" t="str">
        <f t="shared" si="2"/>
        <v>백현주</v>
      </c>
      <c r="AJ32" s="49">
        <v>0.3</v>
      </c>
      <c r="AK32" s="49">
        <v>0.3</v>
      </c>
    </row>
    <row r="33" spans="1:37" s="30" customFormat="1" ht="17.25" customHeight="1" x14ac:dyDescent="0.25">
      <c r="A33" s="41" t="s">
        <v>34</v>
      </c>
      <c r="B33" s="41" t="s">
        <v>65</v>
      </c>
      <c r="C33" s="57"/>
      <c r="D33" s="135"/>
      <c r="E33" s="57" t="s">
        <v>96</v>
      </c>
      <c r="F33" s="59" t="s">
        <v>72</v>
      </c>
      <c r="G33" s="133" t="s">
        <v>38</v>
      </c>
      <c r="H33" s="21"/>
      <c r="I33" s="13">
        <v>45988</v>
      </c>
      <c r="J33" s="61">
        <v>1</v>
      </c>
      <c r="K33" s="62">
        <v>1</v>
      </c>
      <c r="L33" s="14">
        <f t="shared" si="5"/>
        <v>1</v>
      </c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  <c r="AA33" s="21"/>
      <c r="AB33" s="21"/>
      <c r="AC33" s="21"/>
      <c r="AD33" s="21"/>
      <c r="AE33" s="21"/>
      <c r="AF33" s="21" t="str">
        <f t="shared" si="1"/>
        <v>백현주</v>
      </c>
      <c r="AG33" s="49">
        <v>0.3</v>
      </c>
      <c r="AH33" s="49">
        <v>0.3</v>
      </c>
      <c r="AI33" s="21" t="str">
        <f t="shared" si="2"/>
        <v>백현주</v>
      </c>
      <c r="AJ33" s="49">
        <v>0.3</v>
      </c>
      <c r="AK33" s="49">
        <v>0.3</v>
      </c>
    </row>
    <row r="34" spans="1:37" s="30" customFormat="1" ht="17.25" customHeight="1" x14ac:dyDescent="0.25">
      <c r="A34" s="41" t="s">
        <v>35</v>
      </c>
      <c r="B34" s="41" t="s">
        <v>65</v>
      </c>
      <c r="C34" s="57"/>
      <c r="D34" s="57" t="s">
        <v>97</v>
      </c>
      <c r="E34" s="57" t="s">
        <v>78</v>
      </c>
      <c r="F34" s="59" t="s">
        <v>98</v>
      </c>
      <c r="G34" s="138" t="s">
        <v>39</v>
      </c>
      <c r="H34" s="21"/>
      <c r="I34" s="13">
        <v>45988</v>
      </c>
      <c r="J34" s="61">
        <v>1</v>
      </c>
      <c r="K34" s="62">
        <v>1</v>
      </c>
      <c r="L34" s="14">
        <f t="shared" si="5"/>
        <v>1</v>
      </c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  <c r="AA34" s="21"/>
      <c r="AB34" s="21"/>
      <c r="AC34" s="21"/>
      <c r="AD34" s="21"/>
      <c r="AE34" s="21"/>
      <c r="AF34" s="21" t="str">
        <f t="shared" si="1"/>
        <v>이영진</v>
      </c>
      <c r="AG34" s="49">
        <v>0.3</v>
      </c>
      <c r="AH34" s="49">
        <v>0.3</v>
      </c>
      <c r="AI34" s="21" t="str">
        <f t="shared" si="2"/>
        <v>이영진</v>
      </c>
      <c r="AJ34" s="49">
        <v>0.3</v>
      </c>
      <c r="AK34" s="49">
        <v>0.3</v>
      </c>
    </row>
    <row r="35" spans="1:37" s="30" customFormat="1" ht="17.25" customHeight="1" x14ac:dyDescent="0.25">
      <c r="A35" s="41" t="s">
        <v>36</v>
      </c>
      <c r="B35" s="41" t="s">
        <v>65</v>
      </c>
      <c r="C35" s="57"/>
      <c r="D35" s="135"/>
      <c r="E35" s="57" t="s">
        <v>99</v>
      </c>
      <c r="F35" s="59" t="s">
        <v>72</v>
      </c>
      <c r="G35" s="138" t="s">
        <v>39</v>
      </c>
      <c r="H35" s="21"/>
      <c r="I35" s="13">
        <v>45988</v>
      </c>
      <c r="J35" s="61">
        <v>1</v>
      </c>
      <c r="K35" s="62">
        <v>1</v>
      </c>
      <c r="L35" s="14">
        <f t="shared" si="5"/>
        <v>1</v>
      </c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  <c r="AA35" s="21"/>
      <c r="AB35" s="21"/>
      <c r="AC35" s="21"/>
      <c r="AD35" s="21"/>
      <c r="AE35" s="21"/>
      <c r="AF35" s="21" t="str">
        <f t="shared" si="1"/>
        <v>이영진</v>
      </c>
      <c r="AG35" s="49">
        <v>0.3</v>
      </c>
      <c r="AH35" s="49">
        <v>0.3</v>
      </c>
      <c r="AI35" s="21" t="str">
        <f t="shared" si="2"/>
        <v>이영진</v>
      </c>
      <c r="AJ35" s="49">
        <v>0.3</v>
      </c>
      <c r="AK35" s="49">
        <v>0.3</v>
      </c>
    </row>
    <row r="36" spans="1:37" s="30" customFormat="1" ht="17.25" customHeight="1" x14ac:dyDescent="0.25">
      <c r="A36" s="41" t="s">
        <v>46</v>
      </c>
      <c r="B36" s="41" t="s">
        <v>65</v>
      </c>
      <c r="C36" s="57"/>
      <c r="D36" s="58" t="s">
        <v>100</v>
      </c>
      <c r="E36" s="57" t="s">
        <v>78</v>
      </c>
      <c r="F36" s="59" t="s">
        <v>98</v>
      </c>
      <c r="G36" s="138" t="s">
        <v>39</v>
      </c>
      <c r="H36" s="21"/>
      <c r="I36" s="13">
        <v>45988</v>
      </c>
      <c r="J36" s="61">
        <v>0.5</v>
      </c>
      <c r="K36" s="62">
        <v>0.5</v>
      </c>
      <c r="L36" s="14">
        <f t="shared" si="5"/>
        <v>1</v>
      </c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  <c r="AA36" s="21"/>
      <c r="AB36" s="21"/>
      <c r="AC36" s="21"/>
      <c r="AD36" s="21"/>
      <c r="AE36" s="21"/>
      <c r="AF36" s="21" t="str">
        <f t="shared" si="1"/>
        <v>이영진</v>
      </c>
      <c r="AG36" s="49">
        <v>0.3</v>
      </c>
      <c r="AH36" s="49">
        <v>0.3</v>
      </c>
      <c r="AI36" s="21" t="str">
        <f t="shared" si="2"/>
        <v>이영진</v>
      </c>
      <c r="AJ36" s="49">
        <v>0.3</v>
      </c>
      <c r="AK36" s="49">
        <v>0.3</v>
      </c>
    </row>
    <row r="37" spans="1:37" s="30" customFormat="1" ht="17.25" customHeight="1" x14ac:dyDescent="0.25">
      <c r="A37" s="41" t="s">
        <v>47</v>
      </c>
      <c r="B37" s="41" t="s">
        <v>65</v>
      </c>
      <c r="C37" s="57"/>
      <c r="D37" s="58"/>
      <c r="E37" s="57" t="s">
        <v>101</v>
      </c>
      <c r="F37" s="59" t="s">
        <v>72</v>
      </c>
      <c r="G37" s="138" t="s">
        <v>39</v>
      </c>
      <c r="H37" s="21"/>
      <c r="I37" s="13">
        <v>45988</v>
      </c>
      <c r="J37" s="61">
        <v>2</v>
      </c>
      <c r="K37" s="62">
        <v>2</v>
      </c>
      <c r="L37" s="14">
        <f t="shared" si="5"/>
        <v>1</v>
      </c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  <c r="AA37" s="21"/>
      <c r="AB37" s="21"/>
      <c r="AC37" s="21"/>
      <c r="AD37" s="21"/>
      <c r="AE37" s="21"/>
      <c r="AF37" s="21" t="str">
        <f t="shared" si="1"/>
        <v>이영진</v>
      </c>
      <c r="AG37" s="49">
        <v>0.3</v>
      </c>
      <c r="AH37" s="49">
        <v>0.3</v>
      </c>
      <c r="AI37" s="21" t="str">
        <f t="shared" si="2"/>
        <v>이영진</v>
      </c>
      <c r="AJ37" s="49">
        <v>0.3</v>
      </c>
      <c r="AK37" s="49">
        <v>0.3</v>
      </c>
    </row>
    <row r="38" spans="1:37" s="30" customFormat="1" ht="17.25" customHeight="1" x14ac:dyDescent="0.25">
      <c r="A38" s="41" t="s">
        <v>48</v>
      </c>
      <c r="B38" s="41" t="s">
        <v>65</v>
      </c>
      <c r="C38" s="57"/>
      <c r="D38" s="58"/>
      <c r="E38" s="57" t="s">
        <v>102</v>
      </c>
      <c r="F38" s="59" t="s">
        <v>72</v>
      </c>
      <c r="G38" s="138" t="s">
        <v>39</v>
      </c>
      <c r="H38" s="21"/>
      <c r="I38" s="13">
        <v>45988</v>
      </c>
      <c r="J38" s="61">
        <v>0.5</v>
      </c>
      <c r="K38" s="62">
        <v>0.5</v>
      </c>
      <c r="L38" s="14">
        <f t="shared" si="4"/>
        <v>1</v>
      </c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  <c r="AC38" s="21"/>
      <c r="AD38" s="21"/>
      <c r="AE38" s="21"/>
      <c r="AF38" s="21" t="str">
        <f t="shared" si="1"/>
        <v>이영진</v>
      </c>
      <c r="AG38" s="49">
        <v>0.3</v>
      </c>
      <c r="AH38" s="49">
        <v>0.3</v>
      </c>
      <c r="AI38" s="21" t="str">
        <f t="shared" si="2"/>
        <v>이영진</v>
      </c>
      <c r="AJ38" s="49">
        <v>0.3</v>
      </c>
      <c r="AK38" s="49">
        <v>0.3</v>
      </c>
    </row>
    <row r="39" spans="1:37" s="30" customFormat="1" ht="17.25" customHeight="1" x14ac:dyDescent="0.25">
      <c r="A39" s="150" t="s">
        <v>65</v>
      </c>
      <c r="B39" s="151"/>
      <c r="C39" s="63" t="s">
        <v>103</v>
      </c>
      <c r="D39" s="64"/>
      <c r="E39" s="63"/>
      <c r="F39" s="56"/>
      <c r="G39" s="38"/>
      <c r="H39" s="55"/>
      <c r="I39" s="56">
        <f>SUM(I84:I94)</f>
        <v>10</v>
      </c>
      <c r="J39" s="56">
        <f>SUM(J40:J51)</f>
        <v>6</v>
      </c>
      <c r="K39" s="56">
        <f>SUM(K40:K51)</f>
        <v>6</v>
      </c>
      <c r="L39" s="38"/>
      <c r="M39" s="118"/>
      <c r="N39" s="118"/>
      <c r="O39" s="118"/>
      <c r="P39" s="118"/>
      <c r="Q39" s="118"/>
      <c r="R39" s="118"/>
      <c r="S39" s="118"/>
      <c r="T39" s="118"/>
      <c r="U39" s="118"/>
      <c r="V39" s="118"/>
      <c r="W39" s="118"/>
      <c r="X39" s="118"/>
      <c r="Y39" s="118"/>
      <c r="Z39" s="118"/>
      <c r="AA39" s="118"/>
      <c r="AB39" s="118"/>
      <c r="AC39" s="118"/>
      <c r="AD39" s="118"/>
      <c r="AE39" s="118"/>
      <c r="AF39" s="118"/>
      <c r="AG39" s="38">
        <f>SUM(AG40:AG51)</f>
        <v>3.5999999999999992</v>
      </c>
      <c r="AH39" s="38">
        <f>SUM(AH40:AH51)</f>
        <v>3.5999999999999992</v>
      </c>
      <c r="AI39" s="118"/>
      <c r="AJ39" s="38">
        <f>SUM(AJ40:AJ51)</f>
        <v>3.5999999999999992</v>
      </c>
      <c r="AK39" s="38">
        <f>SUM(AK40:AK51)</f>
        <v>3.5999999999999992</v>
      </c>
    </row>
    <row r="40" spans="1:37" s="30" customFormat="1" ht="17.25" customHeight="1" x14ac:dyDescent="0.25">
      <c r="A40" s="41" t="s">
        <v>17</v>
      </c>
      <c r="B40" s="41" t="s">
        <v>65</v>
      </c>
      <c r="C40" s="57"/>
      <c r="D40" s="58" t="s">
        <v>104</v>
      </c>
      <c r="E40" s="57" t="s">
        <v>67</v>
      </c>
      <c r="F40" s="59" t="s">
        <v>7</v>
      </c>
      <c r="G40" s="138" t="s">
        <v>39</v>
      </c>
      <c r="H40" s="21"/>
      <c r="I40" s="13">
        <v>45988</v>
      </c>
      <c r="J40" s="61">
        <v>0.5</v>
      </c>
      <c r="K40" s="62">
        <v>0.5</v>
      </c>
      <c r="L40" s="14">
        <f>K40/J40</f>
        <v>1</v>
      </c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  <c r="AA40" s="21"/>
      <c r="AB40" s="21"/>
      <c r="AC40" s="21"/>
      <c r="AD40" s="21"/>
      <c r="AE40" s="21"/>
      <c r="AF40" s="21" t="str">
        <f t="shared" si="1"/>
        <v>이영진</v>
      </c>
      <c r="AG40" s="49">
        <v>0.3</v>
      </c>
      <c r="AH40" s="49">
        <v>0.3</v>
      </c>
      <c r="AI40" s="21" t="str">
        <f t="shared" si="2"/>
        <v>이영진</v>
      </c>
      <c r="AJ40" s="49">
        <v>0.3</v>
      </c>
      <c r="AK40" s="49">
        <v>0.3</v>
      </c>
    </row>
    <row r="41" spans="1:37" s="30" customFormat="1" ht="17.25" customHeight="1" x14ac:dyDescent="0.25">
      <c r="A41" s="41" t="s">
        <v>8</v>
      </c>
      <c r="B41" s="41" t="s">
        <v>65</v>
      </c>
      <c r="C41" s="57"/>
      <c r="D41" s="58"/>
      <c r="E41" s="57" t="s">
        <v>76</v>
      </c>
      <c r="F41" s="59" t="s">
        <v>72</v>
      </c>
      <c r="G41" s="138" t="s">
        <v>39</v>
      </c>
      <c r="H41" s="21"/>
      <c r="I41" s="13">
        <v>45988</v>
      </c>
      <c r="J41" s="61">
        <v>0.5</v>
      </c>
      <c r="K41" s="62">
        <v>0.5</v>
      </c>
      <c r="L41" s="14">
        <f t="shared" ref="L41:L51" si="6">K41/J41</f>
        <v>1</v>
      </c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  <c r="AA41" s="21"/>
      <c r="AB41" s="21"/>
      <c r="AC41" s="21"/>
      <c r="AD41" s="21"/>
      <c r="AE41" s="21"/>
      <c r="AF41" s="21" t="str">
        <f t="shared" si="1"/>
        <v>이영진</v>
      </c>
      <c r="AG41" s="49">
        <v>0.3</v>
      </c>
      <c r="AH41" s="49">
        <v>0.3</v>
      </c>
      <c r="AI41" s="21" t="str">
        <f t="shared" si="2"/>
        <v>이영진</v>
      </c>
      <c r="AJ41" s="49">
        <v>0.3</v>
      </c>
      <c r="AK41" s="49">
        <v>0.3</v>
      </c>
    </row>
    <row r="42" spans="1:37" s="30" customFormat="1" ht="17.25" customHeight="1" x14ac:dyDescent="0.25">
      <c r="A42" s="41" t="s">
        <v>9</v>
      </c>
      <c r="B42" s="41" t="s">
        <v>65</v>
      </c>
      <c r="C42" s="57"/>
      <c r="D42" s="58"/>
      <c r="E42" s="57" t="s">
        <v>105</v>
      </c>
      <c r="F42" s="59" t="s">
        <v>72</v>
      </c>
      <c r="G42" s="138" t="s">
        <v>39</v>
      </c>
      <c r="H42" s="21"/>
      <c r="I42" s="13">
        <v>45988</v>
      </c>
      <c r="J42" s="61">
        <v>0.5</v>
      </c>
      <c r="K42" s="62">
        <v>0.5</v>
      </c>
      <c r="L42" s="14">
        <f t="shared" si="6"/>
        <v>1</v>
      </c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  <c r="AA42" s="21"/>
      <c r="AB42" s="21"/>
      <c r="AC42" s="21"/>
      <c r="AD42" s="21"/>
      <c r="AE42" s="21"/>
      <c r="AF42" s="21" t="str">
        <f t="shared" si="1"/>
        <v>이영진</v>
      </c>
      <c r="AG42" s="49">
        <v>0.3</v>
      </c>
      <c r="AH42" s="49">
        <v>0.3</v>
      </c>
      <c r="AI42" s="21" t="str">
        <f t="shared" si="2"/>
        <v>이영진</v>
      </c>
      <c r="AJ42" s="49">
        <v>0.3</v>
      </c>
      <c r="AK42" s="49">
        <v>0.3</v>
      </c>
    </row>
    <row r="43" spans="1:37" s="30" customFormat="1" ht="17.25" customHeight="1" x14ac:dyDescent="0.25">
      <c r="A43" s="41" t="s">
        <v>10</v>
      </c>
      <c r="B43" s="41" t="s">
        <v>65</v>
      </c>
      <c r="C43" s="57"/>
      <c r="D43" s="58"/>
      <c r="E43" s="57" t="s">
        <v>106</v>
      </c>
      <c r="F43" s="59" t="s">
        <v>72</v>
      </c>
      <c r="G43" s="138" t="s">
        <v>39</v>
      </c>
      <c r="H43" s="21"/>
      <c r="I43" s="13">
        <v>45988</v>
      </c>
      <c r="J43" s="61">
        <v>0.5</v>
      </c>
      <c r="K43" s="62">
        <v>0.5</v>
      </c>
      <c r="L43" s="14">
        <f t="shared" si="6"/>
        <v>1</v>
      </c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  <c r="AA43" s="21"/>
      <c r="AB43" s="21"/>
      <c r="AC43" s="21"/>
      <c r="AD43" s="21"/>
      <c r="AE43" s="21"/>
      <c r="AF43" s="21" t="str">
        <f t="shared" si="1"/>
        <v>이영진</v>
      </c>
      <c r="AG43" s="49">
        <v>0.3</v>
      </c>
      <c r="AH43" s="49">
        <v>0.3</v>
      </c>
      <c r="AI43" s="21" t="str">
        <f t="shared" si="2"/>
        <v>이영진</v>
      </c>
      <c r="AJ43" s="49">
        <v>0.3</v>
      </c>
      <c r="AK43" s="49">
        <v>0.3</v>
      </c>
    </row>
    <row r="44" spans="1:37" s="30" customFormat="1" ht="17.25" customHeight="1" x14ac:dyDescent="0.25">
      <c r="A44" s="41" t="s">
        <v>11</v>
      </c>
      <c r="B44" s="41" t="s">
        <v>65</v>
      </c>
      <c r="C44" s="57"/>
      <c r="D44" s="58" t="s">
        <v>107</v>
      </c>
      <c r="E44" s="57" t="s">
        <v>67</v>
      </c>
      <c r="F44" s="59" t="s">
        <v>7</v>
      </c>
      <c r="G44" s="138" t="s">
        <v>39</v>
      </c>
      <c r="H44" s="21"/>
      <c r="I44" s="13">
        <v>45988</v>
      </c>
      <c r="J44" s="61">
        <v>0.5</v>
      </c>
      <c r="K44" s="61">
        <v>0.5</v>
      </c>
      <c r="L44" s="14">
        <f t="shared" si="6"/>
        <v>1</v>
      </c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  <c r="AB44" s="21"/>
      <c r="AC44" s="21"/>
      <c r="AD44" s="21"/>
      <c r="AE44" s="21"/>
      <c r="AF44" s="21" t="str">
        <f t="shared" si="1"/>
        <v>이영진</v>
      </c>
      <c r="AG44" s="49">
        <v>0.3</v>
      </c>
      <c r="AH44" s="49">
        <v>0.3</v>
      </c>
      <c r="AI44" s="21" t="str">
        <f t="shared" si="2"/>
        <v>이영진</v>
      </c>
      <c r="AJ44" s="49">
        <v>0.3</v>
      </c>
      <c r="AK44" s="49">
        <v>0.3</v>
      </c>
    </row>
    <row r="45" spans="1:37" s="30" customFormat="1" ht="17.25" customHeight="1" x14ac:dyDescent="0.25">
      <c r="A45" s="41" t="s">
        <v>12</v>
      </c>
      <c r="B45" s="41" t="s">
        <v>65</v>
      </c>
      <c r="C45" s="57"/>
      <c r="D45" s="58"/>
      <c r="E45" s="57" t="s">
        <v>86</v>
      </c>
      <c r="F45" s="59" t="s">
        <v>72</v>
      </c>
      <c r="G45" s="138" t="s">
        <v>39</v>
      </c>
      <c r="H45" s="21"/>
      <c r="I45" s="13">
        <v>45988</v>
      </c>
      <c r="J45" s="61">
        <v>0.5</v>
      </c>
      <c r="K45" s="62">
        <v>0.5</v>
      </c>
      <c r="L45" s="14">
        <f t="shared" si="6"/>
        <v>1</v>
      </c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  <c r="AA45" s="21"/>
      <c r="AB45" s="21"/>
      <c r="AC45" s="21"/>
      <c r="AD45" s="21"/>
      <c r="AE45" s="21"/>
      <c r="AF45" s="21" t="str">
        <f t="shared" si="1"/>
        <v>이영진</v>
      </c>
      <c r="AG45" s="49">
        <v>0.3</v>
      </c>
      <c r="AH45" s="49">
        <v>0.3</v>
      </c>
      <c r="AI45" s="21" t="str">
        <f t="shared" si="2"/>
        <v>이영진</v>
      </c>
      <c r="AJ45" s="49">
        <v>0.3</v>
      </c>
      <c r="AK45" s="49">
        <v>0.3</v>
      </c>
    </row>
    <row r="46" spans="1:37" s="30" customFormat="1" ht="17.25" customHeight="1" x14ac:dyDescent="0.25">
      <c r="A46" s="41" t="s">
        <v>13</v>
      </c>
      <c r="B46" s="41" t="s">
        <v>65</v>
      </c>
      <c r="C46" s="57"/>
      <c r="D46" s="58"/>
      <c r="E46" s="57" t="s">
        <v>108</v>
      </c>
      <c r="F46" s="59" t="s">
        <v>74</v>
      </c>
      <c r="G46" s="138" t="s">
        <v>39</v>
      </c>
      <c r="H46" s="21"/>
      <c r="I46" s="13">
        <v>45988</v>
      </c>
      <c r="J46" s="61">
        <v>0.5</v>
      </c>
      <c r="K46" s="62">
        <v>0.5</v>
      </c>
      <c r="L46" s="14">
        <f t="shared" si="6"/>
        <v>1</v>
      </c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  <c r="AA46" s="21"/>
      <c r="AB46" s="21"/>
      <c r="AC46" s="21"/>
      <c r="AD46" s="21"/>
      <c r="AE46" s="21"/>
      <c r="AF46" s="21" t="str">
        <f t="shared" si="1"/>
        <v>이영진</v>
      </c>
      <c r="AG46" s="49">
        <v>0.3</v>
      </c>
      <c r="AH46" s="49">
        <v>0.3</v>
      </c>
      <c r="AI46" s="21" t="str">
        <f t="shared" si="2"/>
        <v>이영진</v>
      </c>
      <c r="AJ46" s="49">
        <v>0.3</v>
      </c>
      <c r="AK46" s="49">
        <v>0.3</v>
      </c>
    </row>
    <row r="47" spans="1:37" s="30" customFormat="1" ht="17.25" customHeight="1" x14ac:dyDescent="0.25">
      <c r="A47" s="41" t="s">
        <v>33</v>
      </c>
      <c r="B47" s="41" t="s">
        <v>65</v>
      </c>
      <c r="C47" s="57"/>
      <c r="D47" s="58"/>
      <c r="E47" s="57" t="s">
        <v>109</v>
      </c>
      <c r="F47" s="59" t="s">
        <v>72</v>
      </c>
      <c r="G47" s="138" t="s">
        <v>39</v>
      </c>
      <c r="H47" s="21"/>
      <c r="I47" s="13">
        <v>45988</v>
      </c>
      <c r="J47" s="61">
        <v>0.5</v>
      </c>
      <c r="K47" s="62">
        <v>0.5</v>
      </c>
      <c r="L47" s="14">
        <f t="shared" si="6"/>
        <v>1</v>
      </c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  <c r="AB47" s="21"/>
      <c r="AC47" s="21"/>
      <c r="AD47" s="21"/>
      <c r="AE47" s="21"/>
      <c r="AF47" s="21" t="str">
        <f t="shared" si="1"/>
        <v>이영진</v>
      </c>
      <c r="AG47" s="49">
        <v>0.3</v>
      </c>
      <c r="AH47" s="49">
        <v>0.3</v>
      </c>
      <c r="AI47" s="21" t="str">
        <f t="shared" si="2"/>
        <v>이영진</v>
      </c>
      <c r="AJ47" s="49">
        <v>0.3</v>
      </c>
      <c r="AK47" s="49">
        <v>0.3</v>
      </c>
    </row>
    <row r="48" spans="1:37" s="30" customFormat="1" ht="17.25" customHeight="1" x14ac:dyDescent="0.25">
      <c r="A48" s="41" t="s">
        <v>14</v>
      </c>
      <c r="B48" s="41" t="s">
        <v>65</v>
      </c>
      <c r="C48" s="57"/>
      <c r="D48" s="58"/>
      <c r="E48" s="57" t="s">
        <v>110</v>
      </c>
      <c r="F48" s="59" t="s">
        <v>72</v>
      </c>
      <c r="G48" s="138" t="s">
        <v>39</v>
      </c>
      <c r="H48" s="21"/>
      <c r="I48" s="13">
        <v>45988</v>
      </c>
      <c r="J48" s="61">
        <v>0.5</v>
      </c>
      <c r="K48" s="62">
        <v>0.5</v>
      </c>
      <c r="L48" s="14">
        <f t="shared" si="6"/>
        <v>1</v>
      </c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  <c r="AA48" s="21"/>
      <c r="AB48" s="21"/>
      <c r="AC48" s="21"/>
      <c r="AD48" s="21"/>
      <c r="AE48" s="21"/>
      <c r="AF48" s="21" t="str">
        <f t="shared" si="1"/>
        <v>이영진</v>
      </c>
      <c r="AG48" s="49">
        <v>0.3</v>
      </c>
      <c r="AH48" s="49">
        <v>0.3</v>
      </c>
      <c r="AI48" s="21" t="str">
        <f t="shared" si="2"/>
        <v>이영진</v>
      </c>
      <c r="AJ48" s="49">
        <v>0.3</v>
      </c>
      <c r="AK48" s="49">
        <v>0.3</v>
      </c>
    </row>
    <row r="49" spans="1:37" s="30" customFormat="1" ht="17.25" customHeight="1" x14ac:dyDescent="0.25">
      <c r="A49" s="41" t="s">
        <v>15</v>
      </c>
      <c r="B49" s="41" t="s">
        <v>65</v>
      </c>
      <c r="C49" s="57"/>
      <c r="D49" s="58"/>
      <c r="E49" s="57" t="s">
        <v>93</v>
      </c>
      <c r="F49" s="59" t="s">
        <v>72</v>
      </c>
      <c r="G49" s="138" t="s">
        <v>39</v>
      </c>
      <c r="H49" s="21"/>
      <c r="I49" s="13">
        <v>45988</v>
      </c>
      <c r="J49" s="61">
        <v>0.5</v>
      </c>
      <c r="K49" s="62">
        <v>0.5</v>
      </c>
      <c r="L49" s="14">
        <f t="shared" si="6"/>
        <v>1</v>
      </c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  <c r="AA49" s="21"/>
      <c r="AB49" s="21"/>
      <c r="AC49" s="21"/>
      <c r="AD49" s="21"/>
      <c r="AE49" s="21"/>
      <c r="AF49" s="21" t="str">
        <f t="shared" si="1"/>
        <v>이영진</v>
      </c>
      <c r="AG49" s="49">
        <v>0.3</v>
      </c>
      <c r="AH49" s="49">
        <v>0.3</v>
      </c>
      <c r="AI49" s="21" t="str">
        <f t="shared" si="2"/>
        <v>이영진</v>
      </c>
      <c r="AJ49" s="49">
        <v>0.3</v>
      </c>
      <c r="AK49" s="49">
        <v>0.3</v>
      </c>
    </row>
    <row r="50" spans="1:37" s="30" customFormat="1" ht="17.25" customHeight="1" x14ac:dyDescent="0.25">
      <c r="A50" s="41" t="s">
        <v>16</v>
      </c>
      <c r="B50" s="41" t="s">
        <v>65</v>
      </c>
      <c r="C50" s="57"/>
      <c r="D50" s="58" t="s">
        <v>111</v>
      </c>
      <c r="E50" s="57" t="s">
        <v>67</v>
      </c>
      <c r="F50" s="59" t="s">
        <v>7</v>
      </c>
      <c r="G50" s="138" t="s">
        <v>39</v>
      </c>
      <c r="H50" s="21"/>
      <c r="I50" s="13">
        <v>45988</v>
      </c>
      <c r="J50" s="61">
        <v>0.5</v>
      </c>
      <c r="K50" s="62">
        <v>0.5</v>
      </c>
      <c r="L50" s="14">
        <f t="shared" si="6"/>
        <v>1</v>
      </c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  <c r="AB50" s="21"/>
      <c r="AC50" s="21"/>
      <c r="AD50" s="21"/>
      <c r="AE50" s="21"/>
      <c r="AF50" s="21" t="str">
        <f t="shared" si="1"/>
        <v>이영진</v>
      </c>
      <c r="AG50" s="49">
        <v>0.3</v>
      </c>
      <c r="AH50" s="49">
        <v>0.3</v>
      </c>
      <c r="AI50" s="21" t="str">
        <f t="shared" si="2"/>
        <v>이영진</v>
      </c>
      <c r="AJ50" s="49">
        <v>0.3</v>
      </c>
      <c r="AK50" s="49">
        <v>0.3</v>
      </c>
    </row>
    <row r="51" spans="1:37" s="30" customFormat="1" ht="17.25" customHeight="1" x14ac:dyDescent="0.25">
      <c r="A51" s="41" t="s">
        <v>29</v>
      </c>
      <c r="B51" s="41" t="s">
        <v>65</v>
      </c>
      <c r="C51" s="57"/>
      <c r="D51" s="58"/>
      <c r="E51" s="57" t="s">
        <v>95</v>
      </c>
      <c r="F51" s="59" t="s">
        <v>72</v>
      </c>
      <c r="G51" s="138" t="s">
        <v>39</v>
      </c>
      <c r="H51" s="21"/>
      <c r="I51" s="13">
        <v>45988</v>
      </c>
      <c r="J51" s="61">
        <v>0.5</v>
      </c>
      <c r="K51" s="62">
        <v>0.5</v>
      </c>
      <c r="L51" s="14">
        <f t="shared" si="6"/>
        <v>1</v>
      </c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  <c r="AA51" s="21"/>
      <c r="AB51" s="21"/>
      <c r="AC51" s="21"/>
      <c r="AD51" s="21"/>
      <c r="AE51" s="21"/>
      <c r="AF51" s="21" t="str">
        <f t="shared" si="1"/>
        <v>이영진</v>
      </c>
      <c r="AG51" s="49">
        <v>0.3</v>
      </c>
      <c r="AH51" s="49">
        <v>0.3</v>
      </c>
      <c r="AI51" s="21" t="str">
        <f t="shared" si="2"/>
        <v>이영진</v>
      </c>
      <c r="AJ51" s="49">
        <v>0.3</v>
      </c>
      <c r="AK51" s="49">
        <v>0.3</v>
      </c>
    </row>
    <row r="52" spans="1:37" s="30" customFormat="1" ht="17.25" customHeight="1" x14ac:dyDescent="0.25">
      <c r="A52" s="144" t="s">
        <v>65</v>
      </c>
      <c r="B52" s="145"/>
      <c r="C52" s="65" t="s">
        <v>112</v>
      </c>
      <c r="D52" s="66"/>
      <c r="E52" s="67"/>
      <c r="F52" s="68"/>
      <c r="G52" s="69"/>
      <c r="H52" s="70"/>
      <c r="I52" s="71">
        <f>SUM(I84:I112)</f>
        <v>77</v>
      </c>
      <c r="J52" s="71">
        <f>SUM(J53:J82)</f>
        <v>26.5</v>
      </c>
      <c r="K52" s="71">
        <f>SUM(K53:K82)</f>
        <v>26.5</v>
      </c>
      <c r="L52" s="118"/>
      <c r="M52" s="118"/>
      <c r="N52" s="118"/>
      <c r="O52" s="118"/>
      <c r="P52" s="118"/>
      <c r="Q52" s="118"/>
      <c r="R52" s="118"/>
      <c r="S52" s="118"/>
      <c r="T52" s="118"/>
      <c r="U52" s="118"/>
      <c r="V52" s="118"/>
      <c r="W52" s="118"/>
      <c r="X52" s="118"/>
      <c r="Y52" s="118"/>
      <c r="Z52" s="118"/>
      <c r="AA52" s="118"/>
      <c r="AB52" s="118"/>
      <c r="AC52" s="118"/>
      <c r="AD52" s="118"/>
      <c r="AE52" s="118"/>
      <c r="AF52" s="118"/>
      <c r="AG52" s="38">
        <f>SUM(AG53:AG82)</f>
        <v>9</v>
      </c>
      <c r="AH52" s="38">
        <f>SUM(AH53:AH82)</f>
        <v>9</v>
      </c>
      <c r="AI52" s="118"/>
      <c r="AJ52" s="38">
        <f>SUM(AJ53:AJ82)</f>
        <v>9</v>
      </c>
      <c r="AK52" s="38">
        <f>SUM(AK53:AK82)</f>
        <v>9</v>
      </c>
    </row>
    <row r="53" spans="1:37" s="30" customFormat="1" ht="17.25" customHeight="1" x14ac:dyDescent="0.25">
      <c r="A53" s="41" t="s">
        <v>18</v>
      </c>
      <c r="B53" s="41" t="s">
        <v>65</v>
      </c>
      <c r="C53" s="57"/>
      <c r="D53" s="57" t="s">
        <v>113</v>
      </c>
      <c r="E53" s="57" t="s">
        <v>67</v>
      </c>
      <c r="F53" s="50" t="s">
        <v>7</v>
      </c>
      <c r="G53" s="133" t="s">
        <v>38</v>
      </c>
      <c r="H53" s="21"/>
      <c r="I53" s="13">
        <v>45988</v>
      </c>
      <c r="J53" s="72">
        <v>0.5</v>
      </c>
      <c r="K53" s="72">
        <v>0.5</v>
      </c>
      <c r="L53" s="14">
        <f>K53/J53</f>
        <v>1</v>
      </c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  <c r="AB53" s="21"/>
      <c r="AC53" s="21"/>
      <c r="AD53" s="21"/>
      <c r="AE53" s="21"/>
      <c r="AF53" s="21" t="str">
        <f t="shared" si="1"/>
        <v>백현주</v>
      </c>
      <c r="AG53" s="49">
        <v>0.3</v>
      </c>
      <c r="AH53" s="49">
        <v>0.3</v>
      </c>
      <c r="AI53" s="21" t="str">
        <f t="shared" si="2"/>
        <v>백현주</v>
      </c>
      <c r="AJ53" s="49">
        <v>0.3</v>
      </c>
      <c r="AK53" s="49">
        <v>0.3</v>
      </c>
    </row>
    <row r="54" spans="1:37" s="30" customFormat="1" ht="17.25" customHeight="1" x14ac:dyDescent="0.25">
      <c r="A54" s="41" t="s">
        <v>45</v>
      </c>
      <c r="B54" s="41" t="s">
        <v>65</v>
      </c>
      <c r="C54" s="57"/>
      <c r="D54" s="57"/>
      <c r="E54" s="57" t="s">
        <v>114</v>
      </c>
      <c r="F54" s="50" t="s">
        <v>72</v>
      </c>
      <c r="G54" s="133" t="s">
        <v>38</v>
      </c>
      <c r="H54" s="21"/>
      <c r="I54" s="13">
        <v>45988</v>
      </c>
      <c r="J54" s="72">
        <v>2</v>
      </c>
      <c r="K54" s="72">
        <v>2</v>
      </c>
      <c r="L54" s="14">
        <f t="shared" ref="L54:L116" si="7">K54/J54</f>
        <v>1</v>
      </c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  <c r="AA54" s="21"/>
      <c r="AB54" s="21"/>
      <c r="AC54" s="21"/>
      <c r="AD54" s="21"/>
      <c r="AE54" s="21"/>
      <c r="AF54" s="21" t="str">
        <f t="shared" si="1"/>
        <v>백현주</v>
      </c>
      <c r="AG54" s="49">
        <v>0.3</v>
      </c>
      <c r="AH54" s="49">
        <v>0.3</v>
      </c>
      <c r="AI54" s="21" t="str">
        <f t="shared" si="2"/>
        <v>백현주</v>
      </c>
      <c r="AJ54" s="49">
        <v>0.3</v>
      </c>
      <c r="AK54" s="49">
        <v>0.3</v>
      </c>
    </row>
    <row r="55" spans="1:37" s="30" customFormat="1" ht="17.25" customHeight="1" x14ac:dyDescent="0.25">
      <c r="A55" s="41" t="s">
        <v>9</v>
      </c>
      <c r="B55" s="41" t="s">
        <v>65</v>
      </c>
      <c r="C55" s="57"/>
      <c r="D55" s="57"/>
      <c r="E55" s="57" t="s">
        <v>115</v>
      </c>
      <c r="F55" s="50" t="s">
        <v>72</v>
      </c>
      <c r="G55" s="133" t="s">
        <v>38</v>
      </c>
      <c r="H55" s="21"/>
      <c r="I55" s="13">
        <v>45988</v>
      </c>
      <c r="J55" s="72">
        <v>1.5</v>
      </c>
      <c r="K55" s="72">
        <v>1.5</v>
      </c>
      <c r="L55" s="14">
        <f t="shared" si="7"/>
        <v>1</v>
      </c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  <c r="AA55" s="21"/>
      <c r="AB55" s="21"/>
      <c r="AC55" s="21"/>
      <c r="AD55" s="21"/>
      <c r="AE55" s="21"/>
      <c r="AF55" s="21" t="str">
        <f t="shared" si="1"/>
        <v>백현주</v>
      </c>
      <c r="AG55" s="49">
        <v>0.3</v>
      </c>
      <c r="AH55" s="49">
        <v>0.3</v>
      </c>
      <c r="AI55" s="21" t="str">
        <f t="shared" si="2"/>
        <v>백현주</v>
      </c>
      <c r="AJ55" s="49">
        <v>0.3</v>
      </c>
      <c r="AK55" s="49">
        <v>0.3</v>
      </c>
    </row>
    <row r="56" spans="1:37" s="30" customFormat="1" ht="17.25" customHeight="1" x14ac:dyDescent="0.25">
      <c r="A56" s="41" t="s">
        <v>10</v>
      </c>
      <c r="B56" s="41" t="s">
        <v>65</v>
      </c>
      <c r="C56" s="57"/>
      <c r="D56" s="57" t="s">
        <v>116</v>
      </c>
      <c r="E56" s="57" t="s">
        <v>67</v>
      </c>
      <c r="F56" s="50" t="s">
        <v>7</v>
      </c>
      <c r="G56" s="133" t="s">
        <v>38</v>
      </c>
      <c r="H56" s="21"/>
      <c r="I56" s="13">
        <v>45988</v>
      </c>
      <c r="J56" s="72">
        <v>0.5</v>
      </c>
      <c r="K56" s="72">
        <v>0.5</v>
      </c>
      <c r="L56" s="14">
        <f t="shared" si="7"/>
        <v>1</v>
      </c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  <c r="AA56" s="21"/>
      <c r="AB56" s="21"/>
      <c r="AC56" s="21"/>
      <c r="AD56" s="21"/>
      <c r="AE56" s="21"/>
      <c r="AF56" s="21" t="str">
        <f t="shared" si="1"/>
        <v>백현주</v>
      </c>
      <c r="AG56" s="49">
        <v>0.3</v>
      </c>
      <c r="AH56" s="49">
        <v>0.3</v>
      </c>
      <c r="AI56" s="21" t="str">
        <f t="shared" si="2"/>
        <v>백현주</v>
      </c>
      <c r="AJ56" s="49">
        <v>0.3</v>
      </c>
      <c r="AK56" s="49">
        <v>0.3</v>
      </c>
    </row>
    <row r="57" spans="1:37" s="30" customFormat="1" ht="17.25" customHeight="1" x14ac:dyDescent="0.25">
      <c r="A57" s="41" t="s">
        <v>11</v>
      </c>
      <c r="B57" s="41" t="s">
        <v>65</v>
      </c>
      <c r="C57" s="57"/>
      <c r="D57" s="57"/>
      <c r="E57" s="57" t="s">
        <v>76</v>
      </c>
      <c r="F57" s="50" t="s">
        <v>72</v>
      </c>
      <c r="G57" s="133" t="s">
        <v>38</v>
      </c>
      <c r="H57" s="21"/>
      <c r="I57" s="13">
        <v>45988</v>
      </c>
      <c r="J57" s="72">
        <v>0.5</v>
      </c>
      <c r="K57" s="72">
        <v>0.5</v>
      </c>
      <c r="L57" s="14">
        <f t="shared" si="7"/>
        <v>1</v>
      </c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  <c r="AA57" s="21"/>
      <c r="AB57" s="21"/>
      <c r="AC57" s="21"/>
      <c r="AD57" s="21"/>
      <c r="AE57" s="21"/>
      <c r="AF57" s="21" t="str">
        <f t="shared" si="1"/>
        <v>백현주</v>
      </c>
      <c r="AG57" s="49">
        <v>0.3</v>
      </c>
      <c r="AH57" s="49">
        <v>0.3</v>
      </c>
      <c r="AI57" s="21" t="str">
        <f t="shared" si="2"/>
        <v>백현주</v>
      </c>
      <c r="AJ57" s="49">
        <v>0.3</v>
      </c>
      <c r="AK57" s="49">
        <v>0.3</v>
      </c>
    </row>
    <row r="58" spans="1:37" s="30" customFormat="1" ht="17.25" customHeight="1" x14ac:dyDescent="0.25">
      <c r="A58" s="41" t="s">
        <v>12</v>
      </c>
      <c r="B58" s="41" t="s">
        <v>65</v>
      </c>
      <c r="C58" s="57"/>
      <c r="D58" s="57"/>
      <c r="E58" s="57" t="s">
        <v>114</v>
      </c>
      <c r="F58" s="50" t="s">
        <v>72</v>
      </c>
      <c r="G58" s="133" t="s">
        <v>38</v>
      </c>
      <c r="H58" s="21"/>
      <c r="I58" s="13">
        <v>45988</v>
      </c>
      <c r="J58" s="72">
        <v>2</v>
      </c>
      <c r="K58" s="72">
        <v>2</v>
      </c>
      <c r="L58" s="14">
        <f t="shared" si="7"/>
        <v>1</v>
      </c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  <c r="AA58" s="21"/>
      <c r="AB58" s="21"/>
      <c r="AC58" s="21"/>
      <c r="AD58" s="21"/>
      <c r="AE58" s="21"/>
      <c r="AF58" s="21" t="str">
        <f t="shared" si="1"/>
        <v>백현주</v>
      </c>
      <c r="AG58" s="49">
        <v>0.3</v>
      </c>
      <c r="AH58" s="49">
        <v>0.3</v>
      </c>
      <c r="AI58" s="21" t="str">
        <f t="shared" si="2"/>
        <v>백현주</v>
      </c>
      <c r="AJ58" s="49">
        <v>0.3</v>
      </c>
      <c r="AK58" s="49">
        <v>0.3</v>
      </c>
    </row>
    <row r="59" spans="1:37" s="30" customFormat="1" ht="17.25" customHeight="1" x14ac:dyDescent="0.25">
      <c r="A59" s="41" t="s">
        <v>13</v>
      </c>
      <c r="B59" s="41" t="s">
        <v>65</v>
      </c>
      <c r="C59" s="57"/>
      <c r="D59" s="57"/>
      <c r="E59" s="57" t="s">
        <v>117</v>
      </c>
      <c r="F59" s="50" t="s">
        <v>74</v>
      </c>
      <c r="G59" s="60" t="s">
        <v>40</v>
      </c>
      <c r="H59" s="21"/>
      <c r="I59" s="13">
        <v>45988</v>
      </c>
      <c r="J59" s="72">
        <v>0.5</v>
      </c>
      <c r="K59" s="72">
        <v>0.5</v>
      </c>
      <c r="L59" s="14">
        <f t="shared" si="7"/>
        <v>1</v>
      </c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  <c r="AA59" s="21"/>
      <c r="AB59" s="21"/>
      <c r="AC59" s="21"/>
      <c r="AD59" s="21"/>
      <c r="AE59" s="21"/>
      <c r="AF59" s="21" t="str">
        <f t="shared" si="1"/>
        <v>김연수</v>
      </c>
      <c r="AG59" s="49">
        <v>0.3</v>
      </c>
      <c r="AH59" s="49">
        <v>0.3</v>
      </c>
      <c r="AI59" s="21" t="str">
        <f t="shared" si="2"/>
        <v>김연수</v>
      </c>
      <c r="AJ59" s="49">
        <v>0.3</v>
      </c>
      <c r="AK59" s="49">
        <v>0.3</v>
      </c>
    </row>
    <row r="60" spans="1:37" s="30" customFormat="1" ht="17.25" customHeight="1" x14ac:dyDescent="0.25">
      <c r="A60" s="41" t="s">
        <v>33</v>
      </c>
      <c r="B60" s="41" t="s">
        <v>65</v>
      </c>
      <c r="C60" s="57"/>
      <c r="D60" s="57" t="s">
        <v>118</v>
      </c>
      <c r="E60" s="57" t="s">
        <v>67</v>
      </c>
      <c r="F60" s="50" t="s">
        <v>7</v>
      </c>
      <c r="G60" s="31" t="s">
        <v>44</v>
      </c>
      <c r="H60" s="21"/>
      <c r="I60" s="13">
        <v>45988</v>
      </c>
      <c r="J60" s="72">
        <v>0.5</v>
      </c>
      <c r="K60" s="72">
        <v>0.5</v>
      </c>
      <c r="L60" s="14">
        <f t="shared" si="7"/>
        <v>1</v>
      </c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  <c r="AA60" s="21"/>
      <c r="AB60" s="21"/>
      <c r="AC60" s="21"/>
      <c r="AD60" s="21"/>
      <c r="AE60" s="21"/>
      <c r="AF60" s="21" t="str">
        <f t="shared" si="1"/>
        <v>유형기</v>
      </c>
      <c r="AG60" s="49">
        <v>0.3</v>
      </c>
      <c r="AH60" s="49">
        <v>0.3</v>
      </c>
      <c r="AI60" s="21" t="str">
        <f t="shared" si="2"/>
        <v>유형기</v>
      </c>
      <c r="AJ60" s="49">
        <v>0.3</v>
      </c>
      <c r="AK60" s="49">
        <v>0.3</v>
      </c>
    </row>
    <row r="61" spans="1:37" s="30" customFormat="1" ht="17.25" customHeight="1" x14ac:dyDescent="0.25">
      <c r="A61" s="41" t="s">
        <v>14</v>
      </c>
      <c r="B61" s="41" t="s">
        <v>65</v>
      </c>
      <c r="C61" s="57"/>
      <c r="D61" s="57"/>
      <c r="E61" s="57" t="s">
        <v>76</v>
      </c>
      <c r="F61" s="50" t="s">
        <v>72</v>
      </c>
      <c r="G61" s="31" t="s">
        <v>44</v>
      </c>
      <c r="H61" s="21"/>
      <c r="I61" s="13">
        <v>45988</v>
      </c>
      <c r="J61" s="72">
        <v>0.5</v>
      </c>
      <c r="K61" s="72">
        <v>0.5</v>
      </c>
      <c r="L61" s="14">
        <f t="shared" si="7"/>
        <v>1</v>
      </c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  <c r="AA61" s="21"/>
      <c r="AB61" s="21"/>
      <c r="AC61" s="21"/>
      <c r="AD61" s="21"/>
      <c r="AE61" s="21"/>
      <c r="AF61" s="21" t="str">
        <f t="shared" si="1"/>
        <v>유형기</v>
      </c>
      <c r="AG61" s="49">
        <v>0.3</v>
      </c>
      <c r="AH61" s="49">
        <v>0.3</v>
      </c>
      <c r="AI61" s="21" t="str">
        <f t="shared" si="2"/>
        <v>유형기</v>
      </c>
      <c r="AJ61" s="49">
        <v>0.3</v>
      </c>
      <c r="AK61" s="49">
        <v>0.3</v>
      </c>
    </row>
    <row r="62" spans="1:37" s="30" customFormat="1" ht="17.25" customHeight="1" x14ac:dyDescent="0.25">
      <c r="A62" s="41" t="s">
        <v>15</v>
      </c>
      <c r="B62" s="41" t="s">
        <v>65</v>
      </c>
      <c r="C62" s="57"/>
      <c r="D62" s="57"/>
      <c r="E62" s="57" t="s">
        <v>114</v>
      </c>
      <c r="F62" s="50" t="s">
        <v>72</v>
      </c>
      <c r="G62" s="31" t="s">
        <v>44</v>
      </c>
      <c r="H62" s="21"/>
      <c r="I62" s="13">
        <v>45988</v>
      </c>
      <c r="J62" s="72">
        <v>0.5</v>
      </c>
      <c r="K62" s="72">
        <v>0.5</v>
      </c>
      <c r="L62" s="14">
        <f t="shared" si="7"/>
        <v>1</v>
      </c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  <c r="AA62" s="21"/>
      <c r="AB62" s="21"/>
      <c r="AC62" s="21"/>
      <c r="AD62" s="21"/>
      <c r="AE62" s="21"/>
      <c r="AF62" s="21" t="str">
        <f t="shared" si="1"/>
        <v>유형기</v>
      </c>
      <c r="AG62" s="49">
        <v>0.3</v>
      </c>
      <c r="AH62" s="49">
        <v>0.3</v>
      </c>
      <c r="AI62" s="21" t="str">
        <f t="shared" si="2"/>
        <v>유형기</v>
      </c>
      <c r="AJ62" s="49">
        <v>0.3</v>
      </c>
      <c r="AK62" s="49">
        <v>0.3</v>
      </c>
    </row>
    <row r="63" spans="1:37" s="30" customFormat="1" ht="17.25" customHeight="1" x14ac:dyDescent="0.25">
      <c r="A63" s="41" t="s">
        <v>16</v>
      </c>
      <c r="B63" s="41" t="s">
        <v>65</v>
      </c>
      <c r="C63" s="57"/>
      <c r="D63" s="57"/>
      <c r="E63" s="57" t="s">
        <v>119</v>
      </c>
      <c r="F63" s="50" t="s">
        <v>72</v>
      </c>
      <c r="G63" s="31" t="s">
        <v>44</v>
      </c>
      <c r="H63" s="21"/>
      <c r="I63" s="13">
        <v>45988</v>
      </c>
      <c r="J63" s="72">
        <v>0.5</v>
      </c>
      <c r="K63" s="72">
        <v>0.5</v>
      </c>
      <c r="L63" s="14">
        <f t="shared" si="7"/>
        <v>1</v>
      </c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  <c r="AA63" s="21"/>
      <c r="AB63" s="21"/>
      <c r="AC63" s="21"/>
      <c r="AD63" s="21"/>
      <c r="AE63" s="21"/>
      <c r="AF63" s="21" t="str">
        <f t="shared" si="1"/>
        <v>유형기</v>
      </c>
      <c r="AG63" s="49">
        <v>0.3</v>
      </c>
      <c r="AH63" s="49">
        <v>0.3</v>
      </c>
      <c r="AI63" s="21" t="str">
        <f t="shared" si="2"/>
        <v>유형기</v>
      </c>
      <c r="AJ63" s="49">
        <v>0.3</v>
      </c>
      <c r="AK63" s="49">
        <v>0.3</v>
      </c>
    </row>
    <row r="64" spans="1:37" s="30" customFormat="1" ht="17.25" customHeight="1" x14ac:dyDescent="0.25">
      <c r="A64" s="41" t="s">
        <v>29</v>
      </c>
      <c r="B64" s="41" t="s">
        <v>65</v>
      </c>
      <c r="C64" s="57"/>
      <c r="D64" s="57"/>
      <c r="E64" s="57" t="s">
        <v>120</v>
      </c>
      <c r="F64" s="50" t="s">
        <v>72</v>
      </c>
      <c r="G64" s="31" t="s">
        <v>44</v>
      </c>
      <c r="H64" s="21"/>
      <c r="I64" s="13">
        <v>45988</v>
      </c>
      <c r="J64" s="72">
        <v>0.5</v>
      </c>
      <c r="K64" s="72">
        <v>0.5</v>
      </c>
      <c r="L64" s="14">
        <f t="shared" si="7"/>
        <v>1</v>
      </c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  <c r="AA64" s="21"/>
      <c r="AB64" s="21"/>
      <c r="AC64" s="21"/>
      <c r="AD64" s="21"/>
      <c r="AE64" s="21"/>
      <c r="AF64" s="21" t="str">
        <f t="shared" si="1"/>
        <v>유형기</v>
      </c>
      <c r="AG64" s="49">
        <v>0.3</v>
      </c>
      <c r="AH64" s="49">
        <v>0.3</v>
      </c>
      <c r="AI64" s="21" t="str">
        <f t="shared" si="2"/>
        <v>유형기</v>
      </c>
      <c r="AJ64" s="49">
        <v>0.3</v>
      </c>
      <c r="AK64" s="49">
        <v>0.3</v>
      </c>
    </row>
    <row r="65" spans="1:37" s="30" customFormat="1" ht="17.25" customHeight="1" x14ac:dyDescent="0.25">
      <c r="A65" s="41" t="s">
        <v>30</v>
      </c>
      <c r="B65" s="41" t="s">
        <v>65</v>
      </c>
      <c r="C65" s="57"/>
      <c r="D65" s="57"/>
      <c r="E65" s="57" t="s">
        <v>121</v>
      </c>
      <c r="F65" s="50" t="s">
        <v>72</v>
      </c>
      <c r="G65" s="31" t="s">
        <v>44</v>
      </c>
      <c r="H65" s="21"/>
      <c r="I65" s="13">
        <v>45988</v>
      </c>
      <c r="J65" s="72">
        <v>0.5</v>
      </c>
      <c r="K65" s="72">
        <v>0.5</v>
      </c>
      <c r="L65" s="14">
        <f t="shared" si="7"/>
        <v>1</v>
      </c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  <c r="AA65" s="21"/>
      <c r="AB65" s="21"/>
      <c r="AC65" s="21"/>
      <c r="AD65" s="21"/>
      <c r="AE65" s="21"/>
      <c r="AF65" s="21" t="str">
        <f t="shared" si="1"/>
        <v>유형기</v>
      </c>
      <c r="AG65" s="49">
        <v>0.3</v>
      </c>
      <c r="AH65" s="49">
        <v>0.3</v>
      </c>
      <c r="AI65" s="21" t="str">
        <f t="shared" si="2"/>
        <v>유형기</v>
      </c>
      <c r="AJ65" s="49">
        <v>0.3</v>
      </c>
      <c r="AK65" s="49">
        <v>0.3</v>
      </c>
    </row>
    <row r="66" spans="1:37" s="30" customFormat="1" ht="17.25" customHeight="1" x14ac:dyDescent="0.25">
      <c r="A66" s="41" t="s">
        <v>34</v>
      </c>
      <c r="B66" s="41" t="s">
        <v>65</v>
      </c>
      <c r="C66" s="57"/>
      <c r="D66" s="57" t="s">
        <v>122</v>
      </c>
      <c r="E66" s="57" t="s">
        <v>67</v>
      </c>
      <c r="F66" s="50" t="s">
        <v>7</v>
      </c>
      <c r="G66" s="31" t="s">
        <v>44</v>
      </c>
      <c r="H66" s="21"/>
      <c r="I66" s="13">
        <v>45988</v>
      </c>
      <c r="J66" s="72">
        <v>0.5</v>
      </c>
      <c r="K66" s="72">
        <v>0.5</v>
      </c>
      <c r="L66" s="14">
        <f t="shared" si="7"/>
        <v>1</v>
      </c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  <c r="AA66" s="21"/>
      <c r="AB66" s="21"/>
      <c r="AC66" s="21"/>
      <c r="AD66" s="21"/>
      <c r="AE66" s="21"/>
      <c r="AF66" s="21" t="str">
        <f t="shared" si="1"/>
        <v>유형기</v>
      </c>
      <c r="AG66" s="49">
        <v>0.3</v>
      </c>
      <c r="AH66" s="49">
        <v>0.3</v>
      </c>
      <c r="AI66" s="21" t="str">
        <f t="shared" si="2"/>
        <v>유형기</v>
      </c>
      <c r="AJ66" s="49">
        <v>0.3</v>
      </c>
      <c r="AK66" s="49">
        <v>0.3</v>
      </c>
    </row>
    <row r="67" spans="1:37" s="30" customFormat="1" ht="17.25" customHeight="1" x14ac:dyDescent="0.25">
      <c r="A67" s="41" t="s">
        <v>35</v>
      </c>
      <c r="B67" s="41" t="s">
        <v>65</v>
      </c>
      <c r="C67" s="57"/>
      <c r="D67" s="57"/>
      <c r="E67" s="57" t="s">
        <v>114</v>
      </c>
      <c r="F67" s="50" t="s">
        <v>72</v>
      </c>
      <c r="G67" s="31" t="s">
        <v>44</v>
      </c>
      <c r="H67" s="21"/>
      <c r="I67" s="13">
        <v>45988</v>
      </c>
      <c r="J67" s="72">
        <v>2</v>
      </c>
      <c r="K67" s="72">
        <v>2</v>
      </c>
      <c r="L67" s="14">
        <f t="shared" si="7"/>
        <v>1</v>
      </c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  <c r="AA67" s="21"/>
      <c r="AB67" s="21"/>
      <c r="AC67" s="21"/>
      <c r="AD67" s="21"/>
      <c r="AE67" s="21"/>
      <c r="AF67" s="21" t="str">
        <f t="shared" si="1"/>
        <v>유형기</v>
      </c>
      <c r="AG67" s="49">
        <v>0.3</v>
      </c>
      <c r="AH67" s="49">
        <v>0.3</v>
      </c>
      <c r="AI67" s="21" t="str">
        <f t="shared" si="2"/>
        <v>유형기</v>
      </c>
      <c r="AJ67" s="49">
        <v>0.3</v>
      </c>
      <c r="AK67" s="49">
        <v>0.3</v>
      </c>
    </row>
    <row r="68" spans="1:37" s="30" customFormat="1" ht="17.25" customHeight="1" x14ac:dyDescent="0.25">
      <c r="A68" s="41" t="s">
        <v>36</v>
      </c>
      <c r="B68" s="41" t="s">
        <v>65</v>
      </c>
      <c r="C68" s="57"/>
      <c r="D68" s="57"/>
      <c r="E68" s="57" t="s">
        <v>123</v>
      </c>
      <c r="F68" s="50" t="s">
        <v>72</v>
      </c>
      <c r="G68" s="31" t="s">
        <v>44</v>
      </c>
      <c r="H68" s="21"/>
      <c r="I68" s="13">
        <v>45988</v>
      </c>
      <c r="J68" s="72">
        <v>1</v>
      </c>
      <c r="K68" s="72">
        <v>1</v>
      </c>
      <c r="L68" s="14">
        <f t="shared" si="7"/>
        <v>1</v>
      </c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  <c r="AA68" s="21"/>
      <c r="AB68" s="21"/>
      <c r="AC68" s="21"/>
      <c r="AD68" s="21"/>
      <c r="AE68" s="21"/>
      <c r="AF68" s="21" t="str">
        <f t="shared" si="1"/>
        <v>유형기</v>
      </c>
      <c r="AG68" s="49">
        <v>0.3</v>
      </c>
      <c r="AH68" s="49">
        <v>0.3</v>
      </c>
      <c r="AI68" s="21" t="str">
        <f t="shared" si="2"/>
        <v>유형기</v>
      </c>
      <c r="AJ68" s="49">
        <v>0.3</v>
      </c>
      <c r="AK68" s="49">
        <v>0.3</v>
      </c>
    </row>
    <row r="69" spans="1:37" s="30" customFormat="1" ht="17.25" customHeight="1" x14ac:dyDescent="0.25">
      <c r="A69" s="41" t="s">
        <v>46</v>
      </c>
      <c r="B69" s="41" t="s">
        <v>65</v>
      </c>
      <c r="C69" s="57"/>
      <c r="D69" s="57" t="s">
        <v>124</v>
      </c>
      <c r="E69" s="57" t="s">
        <v>67</v>
      </c>
      <c r="F69" s="50" t="s">
        <v>7</v>
      </c>
      <c r="G69" s="31" t="s">
        <v>44</v>
      </c>
      <c r="H69" s="21"/>
      <c r="I69" s="13">
        <v>45988</v>
      </c>
      <c r="J69" s="72">
        <v>0.5</v>
      </c>
      <c r="K69" s="72">
        <v>0.5</v>
      </c>
      <c r="L69" s="14">
        <f t="shared" si="7"/>
        <v>1</v>
      </c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  <c r="AA69" s="21"/>
      <c r="AB69" s="21"/>
      <c r="AC69" s="21"/>
      <c r="AD69" s="21"/>
      <c r="AE69" s="21"/>
      <c r="AF69" s="21" t="str">
        <f t="shared" si="1"/>
        <v>유형기</v>
      </c>
      <c r="AG69" s="49">
        <v>0.3</v>
      </c>
      <c r="AH69" s="49">
        <v>0.3</v>
      </c>
      <c r="AI69" s="21" t="str">
        <f t="shared" si="2"/>
        <v>유형기</v>
      </c>
      <c r="AJ69" s="49">
        <v>0.3</v>
      </c>
      <c r="AK69" s="49">
        <v>0.3</v>
      </c>
    </row>
    <row r="70" spans="1:37" s="30" customFormat="1" ht="17.25" customHeight="1" x14ac:dyDescent="0.25">
      <c r="A70" s="41" t="s">
        <v>47</v>
      </c>
      <c r="B70" s="41" t="s">
        <v>65</v>
      </c>
      <c r="C70" s="57"/>
      <c r="D70" s="57"/>
      <c r="E70" s="57" t="s">
        <v>125</v>
      </c>
      <c r="F70" s="50" t="s">
        <v>72</v>
      </c>
      <c r="G70" s="31" t="s">
        <v>44</v>
      </c>
      <c r="H70" s="21"/>
      <c r="I70" s="13">
        <v>45988</v>
      </c>
      <c r="J70" s="72">
        <v>1</v>
      </c>
      <c r="K70" s="72">
        <v>1</v>
      </c>
      <c r="L70" s="14">
        <f t="shared" si="7"/>
        <v>1</v>
      </c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  <c r="AA70" s="21"/>
      <c r="AB70" s="21"/>
      <c r="AC70" s="21"/>
      <c r="AD70" s="21"/>
      <c r="AE70" s="21"/>
      <c r="AF70" s="21" t="str">
        <f t="shared" ref="AF70:AF133" si="8">G70</f>
        <v>유형기</v>
      </c>
      <c r="AG70" s="49">
        <v>0.3</v>
      </c>
      <c r="AH70" s="49">
        <v>0.3</v>
      </c>
      <c r="AI70" s="21" t="str">
        <f t="shared" ref="AI70:AI133" si="9">G70</f>
        <v>유형기</v>
      </c>
      <c r="AJ70" s="49">
        <v>0.3</v>
      </c>
      <c r="AK70" s="49">
        <v>0.3</v>
      </c>
    </row>
    <row r="71" spans="1:37" s="30" customFormat="1" ht="17.25" customHeight="1" x14ac:dyDescent="0.25">
      <c r="A71" s="41" t="s">
        <v>48</v>
      </c>
      <c r="B71" s="41" t="s">
        <v>65</v>
      </c>
      <c r="C71" s="57"/>
      <c r="D71" s="57" t="s">
        <v>126</v>
      </c>
      <c r="E71" s="57" t="s">
        <v>67</v>
      </c>
      <c r="F71" s="50" t="s">
        <v>7</v>
      </c>
      <c r="G71" s="60" t="s">
        <v>40</v>
      </c>
      <c r="H71" s="21"/>
      <c r="I71" s="13">
        <v>45988</v>
      </c>
      <c r="J71" s="72">
        <v>2</v>
      </c>
      <c r="K71" s="72">
        <v>2</v>
      </c>
      <c r="L71" s="14">
        <f t="shared" si="7"/>
        <v>1</v>
      </c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  <c r="AA71" s="21"/>
      <c r="AB71" s="21"/>
      <c r="AC71" s="21"/>
      <c r="AD71" s="21"/>
      <c r="AE71" s="21"/>
      <c r="AF71" s="21" t="str">
        <f t="shared" si="8"/>
        <v>김연수</v>
      </c>
      <c r="AG71" s="49">
        <v>0.3</v>
      </c>
      <c r="AH71" s="49">
        <v>0.3</v>
      </c>
      <c r="AI71" s="21" t="str">
        <f t="shared" si="9"/>
        <v>김연수</v>
      </c>
      <c r="AJ71" s="49">
        <v>0.3</v>
      </c>
      <c r="AK71" s="49">
        <v>0.3</v>
      </c>
    </row>
    <row r="72" spans="1:37" s="30" customFormat="1" ht="17.25" customHeight="1" x14ac:dyDescent="0.25">
      <c r="A72" s="41" t="s">
        <v>49</v>
      </c>
      <c r="B72" s="41" t="s">
        <v>65</v>
      </c>
      <c r="C72" s="57"/>
      <c r="D72" s="57"/>
      <c r="E72" s="57" t="s">
        <v>114</v>
      </c>
      <c r="F72" s="50" t="s">
        <v>72</v>
      </c>
      <c r="G72" s="60" t="s">
        <v>40</v>
      </c>
      <c r="H72" s="21"/>
      <c r="I72" s="13">
        <v>45988</v>
      </c>
      <c r="J72" s="72">
        <v>2</v>
      </c>
      <c r="K72" s="72">
        <v>2</v>
      </c>
      <c r="L72" s="14">
        <f t="shared" si="7"/>
        <v>1</v>
      </c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  <c r="AA72" s="21"/>
      <c r="AB72" s="21"/>
      <c r="AC72" s="21"/>
      <c r="AD72" s="21"/>
      <c r="AE72" s="21"/>
      <c r="AF72" s="21" t="str">
        <f t="shared" si="8"/>
        <v>김연수</v>
      </c>
      <c r="AG72" s="49">
        <v>0.3</v>
      </c>
      <c r="AH72" s="49">
        <v>0.3</v>
      </c>
      <c r="AI72" s="21" t="str">
        <f t="shared" si="9"/>
        <v>김연수</v>
      </c>
      <c r="AJ72" s="49">
        <v>0.3</v>
      </c>
      <c r="AK72" s="49">
        <v>0.3</v>
      </c>
    </row>
    <row r="73" spans="1:37" s="30" customFormat="1" ht="17.25" customHeight="1" x14ac:dyDescent="0.25">
      <c r="A73" s="41" t="s">
        <v>50</v>
      </c>
      <c r="B73" s="41" t="s">
        <v>65</v>
      </c>
      <c r="C73" s="57"/>
      <c r="D73" s="57" t="s">
        <v>127</v>
      </c>
      <c r="E73" s="57" t="s">
        <v>67</v>
      </c>
      <c r="F73" s="50" t="s">
        <v>7</v>
      </c>
      <c r="G73" s="60" t="s">
        <v>40</v>
      </c>
      <c r="H73" s="21"/>
      <c r="I73" s="13">
        <v>45988</v>
      </c>
      <c r="J73" s="72">
        <v>0.5</v>
      </c>
      <c r="K73" s="72">
        <v>0.5</v>
      </c>
      <c r="L73" s="14">
        <f t="shared" si="7"/>
        <v>1</v>
      </c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  <c r="AA73" s="21"/>
      <c r="AB73" s="21"/>
      <c r="AC73" s="21"/>
      <c r="AD73" s="21"/>
      <c r="AE73" s="21"/>
      <c r="AF73" s="21" t="str">
        <f t="shared" si="8"/>
        <v>김연수</v>
      </c>
      <c r="AG73" s="49">
        <v>0.3</v>
      </c>
      <c r="AH73" s="49">
        <v>0.3</v>
      </c>
      <c r="AI73" s="21" t="str">
        <f t="shared" si="9"/>
        <v>김연수</v>
      </c>
      <c r="AJ73" s="49">
        <v>0.3</v>
      </c>
      <c r="AK73" s="49">
        <v>0.3</v>
      </c>
    </row>
    <row r="74" spans="1:37" s="30" customFormat="1" ht="17.25" customHeight="1" x14ac:dyDescent="0.25">
      <c r="A74" s="41" t="s">
        <v>51</v>
      </c>
      <c r="B74" s="41" t="s">
        <v>65</v>
      </c>
      <c r="C74" s="57"/>
      <c r="D74" s="57"/>
      <c r="E74" s="57" t="s">
        <v>114</v>
      </c>
      <c r="F74" s="50" t="s">
        <v>72</v>
      </c>
      <c r="G74" s="60" t="s">
        <v>40</v>
      </c>
      <c r="H74" s="21"/>
      <c r="I74" s="13">
        <v>45988</v>
      </c>
      <c r="J74" s="72">
        <v>0.5</v>
      </c>
      <c r="K74" s="72">
        <v>0.5</v>
      </c>
      <c r="L74" s="14">
        <f t="shared" si="7"/>
        <v>1</v>
      </c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  <c r="AA74" s="21"/>
      <c r="AB74" s="21"/>
      <c r="AC74" s="21"/>
      <c r="AD74" s="21"/>
      <c r="AE74" s="21"/>
      <c r="AF74" s="21" t="str">
        <f t="shared" si="8"/>
        <v>김연수</v>
      </c>
      <c r="AG74" s="49">
        <v>0.3</v>
      </c>
      <c r="AH74" s="49">
        <v>0.3</v>
      </c>
      <c r="AI74" s="21" t="str">
        <f t="shared" si="9"/>
        <v>김연수</v>
      </c>
      <c r="AJ74" s="49">
        <v>0.3</v>
      </c>
      <c r="AK74" s="49">
        <v>0.3</v>
      </c>
    </row>
    <row r="75" spans="1:37" s="30" customFormat="1" ht="17.25" customHeight="1" x14ac:dyDescent="0.25">
      <c r="A75" s="41" t="s">
        <v>52</v>
      </c>
      <c r="B75" s="41" t="s">
        <v>65</v>
      </c>
      <c r="C75" s="57"/>
      <c r="D75" s="57"/>
      <c r="E75" s="57" t="s">
        <v>121</v>
      </c>
      <c r="F75" s="50" t="s">
        <v>128</v>
      </c>
      <c r="G75" s="60" t="s">
        <v>40</v>
      </c>
      <c r="H75" s="21"/>
      <c r="I75" s="13">
        <v>45988</v>
      </c>
      <c r="J75" s="72">
        <v>0.5</v>
      </c>
      <c r="K75" s="72">
        <v>0.5</v>
      </c>
      <c r="L75" s="14">
        <f t="shared" si="7"/>
        <v>1</v>
      </c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  <c r="AA75" s="21"/>
      <c r="AB75" s="21"/>
      <c r="AC75" s="21"/>
      <c r="AD75" s="21"/>
      <c r="AE75" s="21"/>
      <c r="AF75" s="21" t="str">
        <f t="shared" si="8"/>
        <v>김연수</v>
      </c>
      <c r="AG75" s="49">
        <v>0.3</v>
      </c>
      <c r="AH75" s="49">
        <v>0.3</v>
      </c>
      <c r="AI75" s="21" t="str">
        <f t="shared" si="9"/>
        <v>김연수</v>
      </c>
      <c r="AJ75" s="49">
        <v>0.3</v>
      </c>
      <c r="AK75" s="49">
        <v>0.3</v>
      </c>
    </row>
    <row r="76" spans="1:37" s="30" customFormat="1" ht="17.25" customHeight="1" x14ac:dyDescent="0.25">
      <c r="A76" s="41" t="s">
        <v>53</v>
      </c>
      <c r="B76" s="41" t="s">
        <v>65</v>
      </c>
      <c r="C76" s="57"/>
      <c r="D76" s="57" t="s">
        <v>129</v>
      </c>
      <c r="E76" s="57" t="s">
        <v>67</v>
      </c>
      <c r="F76" s="50" t="s">
        <v>7</v>
      </c>
      <c r="G76" s="60" t="s">
        <v>40</v>
      </c>
      <c r="H76" s="21"/>
      <c r="I76" s="13">
        <v>45988</v>
      </c>
      <c r="J76" s="72">
        <v>0.5</v>
      </c>
      <c r="K76" s="72">
        <v>0.5</v>
      </c>
      <c r="L76" s="14">
        <f t="shared" si="7"/>
        <v>1</v>
      </c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  <c r="AA76" s="21"/>
      <c r="AB76" s="21"/>
      <c r="AC76" s="21"/>
      <c r="AD76" s="21"/>
      <c r="AE76" s="21"/>
      <c r="AF76" s="21" t="str">
        <f t="shared" si="8"/>
        <v>김연수</v>
      </c>
      <c r="AG76" s="49">
        <v>0.3</v>
      </c>
      <c r="AH76" s="49">
        <v>0.3</v>
      </c>
      <c r="AI76" s="21" t="str">
        <f t="shared" si="9"/>
        <v>김연수</v>
      </c>
      <c r="AJ76" s="49">
        <v>0.3</v>
      </c>
      <c r="AK76" s="49">
        <v>0.3</v>
      </c>
    </row>
    <row r="77" spans="1:37" s="30" customFormat="1" ht="17.25" customHeight="1" x14ac:dyDescent="0.25">
      <c r="A77" s="41" t="s">
        <v>54</v>
      </c>
      <c r="B77" s="41" t="s">
        <v>65</v>
      </c>
      <c r="C77" s="57"/>
      <c r="D77" s="57"/>
      <c r="E77" s="57" t="s">
        <v>76</v>
      </c>
      <c r="F77" s="50" t="s">
        <v>72</v>
      </c>
      <c r="G77" s="60" t="s">
        <v>40</v>
      </c>
      <c r="H77" s="21"/>
      <c r="I77" s="13">
        <v>45988</v>
      </c>
      <c r="J77" s="72">
        <v>0.5</v>
      </c>
      <c r="K77" s="72">
        <v>0.5</v>
      </c>
      <c r="L77" s="14">
        <f t="shared" si="7"/>
        <v>1</v>
      </c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  <c r="AA77" s="21"/>
      <c r="AB77" s="21"/>
      <c r="AC77" s="21"/>
      <c r="AD77" s="21"/>
      <c r="AE77" s="21"/>
      <c r="AF77" s="21" t="str">
        <f t="shared" si="8"/>
        <v>김연수</v>
      </c>
      <c r="AG77" s="49">
        <v>0.3</v>
      </c>
      <c r="AH77" s="49">
        <v>0.3</v>
      </c>
      <c r="AI77" s="21" t="str">
        <f t="shared" si="9"/>
        <v>김연수</v>
      </c>
      <c r="AJ77" s="49">
        <v>0.3</v>
      </c>
      <c r="AK77" s="49">
        <v>0.3</v>
      </c>
    </row>
    <row r="78" spans="1:37" s="30" customFormat="1" ht="17.25" customHeight="1" x14ac:dyDescent="0.25">
      <c r="A78" s="41" t="s">
        <v>55</v>
      </c>
      <c r="B78" s="41" t="s">
        <v>65</v>
      </c>
      <c r="C78" s="57"/>
      <c r="D78" s="57"/>
      <c r="E78" s="57" t="s">
        <v>130</v>
      </c>
      <c r="F78" s="50" t="s">
        <v>72</v>
      </c>
      <c r="G78" s="60" t="s">
        <v>40</v>
      </c>
      <c r="H78" s="21"/>
      <c r="I78" s="13">
        <v>45988</v>
      </c>
      <c r="J78" s="72">
        <v>0.5</v>
      </c>
      <c r="K78" s="72">
        <v>0.5</v>
      </c>
      <c r="L78" s="14">
        <f t="shared" si="7"/>
        <v>1</v>
      </c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  <c r="AA78" s="21"/>
      <c r="AB78" s="21"/>
      <c r="AC78" s="21"/>
      <c r="AD78" s="21"/>
      <c r="AE78" s="21"/>
      <c r="AF78" s="21" t="str">
        <f t="shared" si="8"/>
        <v>김연수</v>
      </c>
      <c r="AG78" s="49">
        <v>0.3</v>
      </c>
      <c r="AH78" s="49">
        <v>0.3</v>
      </c>
      <c r="AI78" s="21" t="str">
        <f t="shared" si="9"/>
        <v>김연수</v>
      </c>
      <c r="AJ78" s="49">
        <v>0.3</v>
      </c>
      <c r="AK78" s="49">
        <v>0.3</v>
      </c>
    </row>
    <row r="79" spans="1:37" s="30" customFormat="1" ht="17.25" customHeight="1" x14ac:dyDescent="0.25">
      <c r="A79" s="41" t="s">
        <v>56</v>
      </c>
      <c r="B79" s="41" t="s">
        <v>65</v>
      </c>
      <c r="C79" s="57"/>
      <c r="D79" s="57"/>
      <c r="E79" s="57" t="s">
        <v>131</v>
      </c>
      <c r="F79" s="50" t="s">
        <v>72</v>
      </c>
      <c r="G79" s="60" t="s">
        <v>40</v>
      </c>
      <c r="H79" s="21"/>
      <c r="I79" s="13">
        <v>45988</v>
      </c>
      <c r="J79" s="72">
        <v>0.5</v>
      </c>
      <c r="K79" s="72">
        <v>0.5</v>
      </c>
      <c r="L79" s="14">
        <f t="shared" si="7"/>
        <v>1</v>
      </c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  <c r="AA79" s="21"/>
      <c r="AB79" s="21"/>
      <c r="AC79" s="21"/>
      <c r="AD79" s="21"/>
      <c r="AE79" s="21"/>
      <c r="AF79" s="21" t="str">
        <f t="shared" si="8"/>
        <v>김연수</v>
      </c>
      <c r="AG79" s="49">
        <v>0.3</v>
      </c>
      <c r="AH79" s="49">
        <v>0.3</v>
      </c>
      <c r="AI79" s="21" t="str">
        <f t="shared" si="9"/>
        <v>김연수</v>
      </c>
      <c r="AJ79" s="49">
        <v>0.3</v>
      </c>
      <c r="AK79" s="49">
        <v>0.3</v>
      </c>
    </row>
    <row r="80" spans="1:37" s="30" customFormat="1" ht="17.25" customHeight="1" x14ac:dyDescent="0.25">
      <c r="A80" s="41" t="s">
        <v>132</v>
      </c>
      <c r="B80" s="41" t="s">
        <v>65</v>
      </c>
      <c r="C80" s="57"/>
      <c r="D80" s="57"/>
      <c r="E80" s="57" t="s">
        <v>121</v>
      </c>
      <c r="F80" s="50" t="s">
        <v>74</v>
      </c>
      <c r="G80" s="60" t="s">
        <v>40</v>
      </c>
      <c r="H80" s="21"/>
      <c r="I80" s="13">
        <v>45988</v>
      </c>
      <c r="J80" s="72">
        <v>0.5</v>
      </c>
      <c r="K80" s="72">
        <v>0.5</v>
      </c>
      <c r="L80" s="14">
        <f t="shared" si="7"/>
        <v>1</v>
      </c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  <c r="AA80" s="21"/>
      <c r="AB80" s="21"/>
      <c r="AC80" s="21"/>
      <c r="AD80" s="21"/>
      <c r="AE80" s="21"/>
      <c r="AF80" s="21" t="str">
        <f t="shared" si="8"/>
        <v>김연수</v>
      </c>
      <c r="AG80" s="49">
        <v>0.3</v>
      </c>
      <c r="AH80" s="49">
        <v>0.3</v>
      </c>
      <c r="AI80" s="21" t="str">
        <f t="shared" si="9"/>
        <v>김연수</v>
      </c>
      <c r="AJ80" s="49">
        <v>0.3</v>
      </c>
      <c r="AK80" s="49">
        <v>0.3</v>
      </c>
    </row>
    <row r="81" spans="1:37" s="30" customFormat="1" ht="17.25" customHeight="1" x14ac:dyDescent="0.25">
      <c r="A81" s="41" t="s">
        <v>57</v>
      </c>
      <c r="B81" s="41" t="s">
        <v>65</v>
      </c>
      <c r="C81" s="57"/>
      <c r="D81" s="57" t="s">
        <v>133</v>
      </c>
      <c r="E81" s="57" t="s">
        <v>67</v>
      </c>
      <c r="F81" s="59" t="s">
        <v>72</v>
      </c>
      <c r="G81" s="60" t="s">
        <v>40</v>
      </c>
      <c r="H81" s="21"/>
      <c r="I81" s="13">
        <v>45988</v>
      </c>
      <c r="J81" s="61">
        <v>2</v>
      </c>
      <c r="K81" s="62">
        <v>2</v>
      </c>
      <c r="L81" s="14">
        <f t="shared" si="7"/>
        <v>1</v>
      </c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  <c r="AA81" s="21"/>
      <c r="AB81" s="21"/>
      <c r="AC81" s="21"/>
      <c r="AD81" s="21"/>
      <c r="AE81" s="21"/>
      <c r="AF81" s="21" t="str">
        <f t="shared" si="8"/>
        <v>김연수</v>
      </c>
      <c r="AG81" s="49">
        <v>0.3</v>
      </c>
      <c r="AH81" s="49">
        <v>0.3</v>
      </c>
      <c r="AI81" s="21" t="str">
        <f t="shared" si="9"/>
        <v>김연수</v>
      </c>
      <c r="AJ81" s="49">
        <v>0.3</v>
      </c>
      <c r="AK81" s="49">
        <v>0.3</v>
      </c>
    </row>
    <row r="82" spans="1:37" s="30" customFormat="1" ht="17.25" customHeight="1" x14ac:dyDescent="0.25">
      <c r="A82" s="41" t="s">
        <v>58</v>
      </c>
      <c r="B82" s="41" t="s">
        <v>65</v>
      </c>
      <c r="C82" s="57"/>
      <c r="D82" s="57"/>
      <c r="E82" s="57" t="s">
        <v>134</v>
      </c>
      <c r="F82" s="59" t="s">
        <v>72</v>
      </c>
      <c r="G82" s="60" t="s">
        <v>40</v>
      </c>
      <c r="H82" s="21"/>
      <c r="I82" s="13">
        <v>45988</v>
      </c>
      <c r="J82" s="72">
        <v>1</v>
      </c>
      <c r="K82" s="72">
        <v>1</v>
      </c>
      <c r="L82" s="14">
        <f t="shared" si="7"/>
        <v>1</v>
      </c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  <c r="AA82" s="21"/>
      <c r="AB82" s="21"/>
      <c r="AC82" s="21"/>
      <c r="AD82" s="21"/>
      <c r="AE82" s="21"/>
      <c r="AF82" s="21" t="str">
        <f t="shared" si="8"/>
        <v>김연수</v>
      </c>
      <c r="AG82" s="49">
        <v>0.3</v>
      </c>
      <c r="AH82" s="49">
        <v>0.3</v>
      </c>
      <c r="AI82" s="21" t="str">
        <f t="shared" si="9"/>
        <v>김연수</v>
      </c>
      <c r="AJ82" s="49">
        <v>0.3</v>
      </c>
      <c r="AK82" s="49">
        <v>0.3</v>
      </c>
    </row>
    <row r="83" spans="1:37" s="30" customFormat="1" ht="17.25" customHeight="1" x14ac:dyDescent="0.25">
      <c r="A83" s="144" t="s">
        <v>65</v>
      </c>
      <c r="B83" s="145"/>
      <c r="C83" s="34" t="s">
        <v>135</v>
      </c>
      <c r="D83" s="34"/>
      <c r="E83" s="53"/>
      <c r="F83" s="54"/>
      <c r="G83" s="37"/>
      <c r="H83" s="55"/>
      <c r="I83" s="56">
        <f>SUM(I84:I94)</f>
        <v>10</v>
      </c>
      <c r="J83" s="56">
        <f>SUM(J84:J94)</f>
        <v>10</v>
      </c>
      <c r="K83" s="56">
        <f>SUM(K84:K94)</f>
        <v>10</v>
      </c>
      <c r="L83" s="118"/>
      <c r="M83" s="118"/>
      <c r="N83" s="118"/>
      <c r="O83" s="118"/>
      <c r="P83" s="118"/>
      <c r="Q83" s="118"/>
      <c r="R83" s="118"/>
      <c r="S83" s="118"/>
      <c r="T83" s="118"/>
      <c r="U83" s="118"/>
      <c r="V83" s="118"/>
      <c r="W83" s="118"/>
      <c r="X83" s="118"/>
      <c r="Y83" s="118"/>
      <c r="Z83" s="118"/>
      <c r="AA83" s="118"/>
      <c r="AB83" s="118"/>
      <c r="AC83" s="118"/>
      <c r="AD83" s="118"/>
      <c r="AE83" s="118"/>
      <c r="AF83" s="118"/>
      <c r="AG83" s="38">
        <f>SUM(AG84:AG94)</f>
        <v>3.2999999999999994</v>
      </c>
      <c r="AH83" s="38">
        <f>SUM(AH84:AH94)</f>
        <v>3.2999999999999994</v>
      </c>
      <c r="AI83" s="118"/>
      <c r="AJ83" s="38">
        <f>SUM(AJ84:AJ94)</f>
        <v>3.2999999999999994</v>
      </c>
      <c r="AK83" s="38">
        <f>SUM(AK84:AK94)</f>
        <v>3.2999999999999994</v>
      </c>
    </row>
    <row r="84" spans="1:37" ht="17.25" customHeight="1" x14ac:dyDescent="0.3">
      <c r="A84" s="41" t="s">
        <v>18</v>
      </c>
      <c r="B84" s="41" t="s">
        <v>65</v>
      </c>
      <c r="C84" s="57"/>
      <c r="D84" s="57" t="s">
        <v>136</v>
      </c>
      <c r="E84" s="57" t="s">
        <v>67</v>
      </c>
      <c r="F84" s="59" t="s">
        <v>7</v>
      </c>
      <c r="G84" s="60" t="s">
        <v>40</v>
      </c>
      <c r="H84" s="74"/>
      <c r="I84" s="75">
        <v>1</v>
      </c>
      <c r="J84" s="75">
        <v>1</v>
      </c>
      <c r="K84" s="72">
        <v>1</v>
      </c>
      <c r="L84" s="14">
        <f t="shared" si="7"/>
        <v>1</v>
      </c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  <c r="AA84" s="21"/>
      <c r="AB84" s="21"/>
      <c r="AC84" s="21"/>
      <c r="AD84" s="21"/>
      <c r="AE84" s="21"/>
      <c r="AF84" s="21" t="str">
        <f t="shared" si="8"/>
        <v>김연수</v>
      </c>
      <c r="AG84" s="49">
        <v>0.3</v>
      </c>
      <c r="AH84" s="49">
        <v>0.3</v>
      </c>
      <c r="AI84" s="21" t="str">
        <f t="shared" si="9"/>
        <v>김연수</v>
      </c>
      <c r="AJ84" s="49">
        <v>0.3</v>
      </c>
      <c r="AK84" s="49">
        <v>0.3</v>
      </c>
    </row>
    <row r="85" spans="1:37" ht="17.25" customHeight="1" x14ac:dyDescent="0.3">
      <c r="A85" s="41" t="s">
        <v>8</v>
      </c>
      <c r="B85" s="41" t="s">
        <v>65</v>
      </c>
      <c r="C85" s="57"/>
      <c r="D85" s="76"/>
      <c r="E85" s="57" t="s">
        <v>137</v>
      </c>
      <c r="F85" s="59" t="s">
        <v>128</v>
      </c>
      <c r="G85" s="60" t="s">
        <v>40</v>
      </c>
      <c r="H85" s="74"/>
      <c r="I85" s="75">
        <v>0.5</v>
      </c>
      <c r="J85" s="75">
        <v>0.5</v>
      </c>
      <c r="K85" s="75">
        <v>0.5</v>
      </c>
      <c r="L85" s="14">
        <f t="shared" si="7"/>
        <v>1</v>
      </c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  <c r="AA85" s="21"/>
      <c r="AB85" s="21"/>
      <c r="AC85" s="21"/>
      <c r="AD85" s="21"/>
      <c r="AE85" s="21"/>
      <c r="AF85" s="21" t="str">
        <f t="shared" si="8"/>
        <v>김연수</v>
      </c>
      <c r="AG85" s="49">
        <v>0.3</v>
      </c>
      <c r="AH85" s="49">
        <v>0.3</v>
      </c>
      <c r="AI85" s="21" t="str">
        <f t="shared" si="9"/>
        <v>김연수</v>
      </c>
      <c r="AJ85" s="49">
        <v>0.3</v>
      </c>
      <c r="AK85" s="49">
        <v>0.3</v>
      </c>
    </row>
    <row r="86" spans="1:37" ht="17.25" customHeight="1" x14ac:dyDescent="0.3">
      <c r="A86" s="41" t="s">
        <v>9</v>
      </c>
      <c r="B86" s="41" t="s">
        <v>65</v>
      </c>
      <c r="C86" s="57"/>
      <c r="D86" s="57" t="s">
        <v>138</v>
      </c>
      <c r="E86" s="57" t="s">
        <v>67</v>
      </c>
      <c r="F86" s="59" t="s">
        <v>7</v>
      </c>
      <c r="G86" s="60" t="s">
        <v>40</v>
      </c>
      <c r="H86" s="74"/>
      <c r="I86" s="75">
        <v>2</v>
      </c>
      <c r="J86" s="75">
        <v>2</v>
      </c>
      <c r="K86" s="72">
        <v>2</v>
      </c>
      <c r="L86" s="14">
        <f t="shared" si="7"/>
        <v>1</v>
      </c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  <c r="AA86" s="21"/>
      <c r="AB86" s="21"/>
      <c r="AC86" s="21"/>
      <c r="AD86" s="21"/>
      <c r="AE86" s="21"/>
      <c r="AF86" s="21" t="str">
        <f t="shared" si="8"/>
        <v>김연수</v>
      </c>
      <c r="AG86" s="49">
        <v>0.3</v>
      </c>
      <c r="AH86" s="49">
        <v>0.3</v>
      </c>
      <c r="AI86" s="21" t="str">
        <f t="shared" si="9"/>
        <v>김연수</v>
      </c>
      <c r="AJ86" s="49">
        <v>0.3</v>
      </c>
      <c r="AK86" s="49">
        <v>0.3</v>
      </c>
    </row>
    <row r="87" spans="1:37" ht="17.25" customHeight="1" x14ac:dyDescent="0.3">
      <c r="A87" s="41" t="s">
        <v>10</v>
      </c>
      <c r="B87" s="41" t="s">
        <v>65</v>
      </c>
      <c r="C87" s="57"/>
      <c r="D87" s="57" t="s">
        <v>139</v>
      </c>
      <c r="E87" s="57" t="s">
        <v>67</v>
      </c>
      <c r="F87" s="59" t="s">
        <v>7</v>
      </c>
      <c r="G87" s="60" t="s">
        <v>40</v>
      </c>
      <c r="H87" s="74"/>
      <c r="I87" s="75">
        <v>0.5</v>
      </c>
      <c r="J87" s="75">
        <v>0.5</v>
      </c>
      <c r="K87" s="72">
        <v>0.5</v>
      </c>
      <c r="L87" s="14">
        <f t="shared" si="7"/>
        <v>1</v>
      </c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  <c r="AA87" s="21"/>
      <c r="AB87" s="21"/>
      <c r="AC87" s="21"/>
      <c r="AD87" s="21"/>
      <c r="AE87" s="21"/>
      <c r="AF87" s="21" t="str">
        <f t="shared" si="8"/>
        <v>김연수</v>
      </c>
      <c r="AG87" s="49">
        <v>0.3</v>
      </c>
      <c r="AH87" s="49">
        <v>0.3</v>
      </c>
      <c r="AI87" s="21" t="str">
        <f t="shared" si="9"/>
        <v>김연수</v>
      </c>
      <c r="AJ87" s="49">
        <v>0.3</v>
      </c>
      <c r="AK87" s="49">
        <v>0.3</v>
      </c>
    </row>
    <row r="88" spans="1:37" ht="17.25" customHeight="1" x14ac:dyDescent="0.3">
      <c r="A88" s="41" t="s">
        <v>11</v>
      </c>
      <c r="B88" s="41" t="s">
        <v>65</v>
      </c>
      <c r="C88" s="57"/>
      <c r="D88" s="77" t="s">
        <v>140</v>
      </c>
      <c r="E88" s="57" t="s">
        <v>67</v>
      </c>
      <c r="F88" s="59" t="s">
        <v>7</v>
      </c>
      <c r="G88" s="60" t="s">
        <v>40</v>
      </c>
      <c r="H88" s="74"/>
      <c r="I88" s="75">
        <v>0.5</v>
      </c>
      <c r="J88" s="75">
        <v>0.5</v>
      </c>
      <c r="K88" s="72">
        <v>0.5</v>
      </c>
      <c r="L88" s="14">
        <f t="shared" si="7"/>
        <v>1</v>
      </c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  <c r="AA88" s="21"/>
      <c r="AB88" s="21"/>
      <c r="AC88" s="21"/>
      <c r="AD88" s="21"/>
      <c r="AE88" s="21"/>
      <c r="AF88" s="21" t="str">
        <f t="shared" si="8"/>
        <v>김연수</v>
      </c>
      <c r="AG88" s="49">
        <v>0.3</v>
      </c>
      <c r="AH88" s="49">
        <v>0.3</v>
      </c>
      <c r="AI88" s="21" t="str">
        <f t="shared" si="9"/>
        <v>김연수</v>
      </c>
      <c r="AJ88" s="49">
        <v>0.3</v>
      </c>
      <c r="AK88" s="49">
        <v>0.3</v>
      </c>
    </row>
    <row r="89" spans="1:37" ht="17.25" customHeight="1" x14ac:dyDescent="0.3">
      <c r="A89" s="41" t="s">
        <v>12</v>
      </c>
      <c r="B89" s="41" t="s">
        <v>65</v>
      </c>
      <c r="C89" s="57"/>
      <c r="D89" s="77" t="s">
        <v>141</v>
      </c>
      <c r="E89" s="57" t="s">
        <v>67</v>
      </c>
      <c r="F89" s="59" t="s">
        <v>7</v>
      </c>
      <c r="G89" s="60" t="s">
        <v>40</v>
      </c>
      <c r="H89" s="74"/>
      <c r="I89" s="75">
        <v>1</v>
      </c>
      <c r="J89" s="75">
        <v>1</v>
      </c>
      <c r="K89" s="72">
        <v>1</v>
      </c>
      <c r="L89" s="14">
        <f t="shared" si="7"/>
        <v>1</v>
      </c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  <c r="AA89" s="21"/>
      <c r="AB89" s="21"/>
      <c r="AC89" s="21"/>
      <c r="AD89" s="21"/>
      <c r="AE89" s="21"/>
      <c r="AF89" s="21" t="str">
        <f t="shared" si="8"/>
        <v>김연수</v>
      </c>
      <c r="AG89" s="49">
        <v>0.3</v>
      </c>
      <c r="AH89" s="49">
        <v>0.3</v>
      </c>
      <c r="AI89" s="21" t="str">
        <f t="shared" si="9"/>
        <v>김연수</v>
      </c>
      <c r="AJ89" s="49">
        <v>0.3</v>
      </c>
      <c r="AK89" s="49">
        <v>0.3</v>
      </c>
    </row>
    <row r="90" spans="1:37" ht="17.25" customHeight="1" x14ac:dyDescent="0.3">
      <c r="A90" s="41" t="s">
        <v>13</v>
      </c>
      <c r="B90" s="41" t="s">
        <v>65</v>
      </c>
      <c r="C90" s="57"/>
      <c r="D90" s="77" t="s">
        <v>142</v>
      </c>
      <c r="E90" s="57" t="s">
        <v>67</v>
      </c>
      <c r="F90" s="59" t="s">
        <v>7</v>
      </c>
      <c r="G90" s="60" t="s">
        <v>40</v>
      </c>
      <c r="H90" s="74"/>
      <c r="I90" s="75">
        <v>2.5</v>
      </c>
      <c r="J90" s="75">
        <v>2.5</v>
      </c>
      <c r="K90" s="72">
        <v>2.5</v>
      </c>
      <c r="L90" s="14">
        <f t="shared" si="7"/>
        <v>1</v>
      </c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  <c r="AA90" s="21"/>
      <c r="AB90" s="21"/>
      <c r="AC90" s="21"/>
      <c r="AD90" s="21"/>
      <c r="AE90" s="21"/>
      <c r="AF90" s="21" t="str">
        <f t="shared" si="8"/>
        <v>김연수</v>
      </c>
      <c r="AG90" s="49">
        <v>0.3</v>
      </c>
      <c r="AH90" s="49">
        <v>0.3</v>
      </c>
      <c r="AI90" s="21" t="str">
        <f t="shared" si="9"/>
        <v>김연수</v>
      </c>
      <c r="AJ90" s="49">
        <v>0.3</v>
      </c>
      <c r="AK90" s="49">
        <v>0.3</v>
      </c>
    </row>
    <row r="91" spans="1:37" ht="17.25" customHeight="1" x14ac:dyDescent="0.3">
      <c r="A91" s="41" t="s">
        <v>33</v>
      </c>
      <c r="B91" s="41" t="s">
        <v>65</v>
      </c>
      <c r="C91" s="57"/>
      <c r="D91" s="77" t="s">
        <v>143</v>
      </c>
      <c r="E91" s="57" t="s">
        <v>67</v>
      </c>
      <c r="F91" s="59" t="s">
        <v>7</v>
      </c>
      <c r="G91" s="60" t="s">
        <v>40</v>
      </c>
      <c r="H91" s="74"/>
      <c r="I91" s="75">
        <v>0.5</v>
      </c>
      <c r="J91" s="75">
        <v>0.5</v>
      </c>
      <c r="K91" s="72">
        <v>0.5</v>
      </c>
      <c r="L91" s="14">
        <f t="shared" si="7"/>
        <v>1</v>
      </c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  <c r="AA91" s="21"/>
      <c r="AB91" s="21"/>
      <c r="AC91" s="21"/>
      <c r="AD91" s="21"/>
      <c r="AE91" s="21"/>
      <c r="AF91" s="21" t="str">
        <f t="shared" si="8"/>
        <v>김연수</v>
      </c>
      <c r="AG91" s="49">
        <v>0.3</v>
      </c>
      <c r="AH91" s="49">
        <v>0.3</v>
      </c>
      <c r="AI91" s="21" t="str">
        <f t="shared" si="9"/>
        <v>김연수</v>
      </c>
      <c r="AJ91" s="49">
        <v>0.3</v>
      </c>
      <c r="AK91" s="49">
        <v>0.3</v>
      </c>
    </row>
    <row r="92" spans="1:37" ht="17.25" customHeight="1" x14ac:dyDescent="0.3">
      <c r="A92" s="41" t="s">
        <v>14</v>
      </c>
      <c r="B92" s="41" t="s">
        <v>65</v>
      </c>
      <c r="C92" s="57"/>
      <c r="D92" s="77" t="s">
        <v>144</v>
      </c>
      <c r="E92" s="57" t="s">
        <v>67</v>
      </c>
      <c r="F92" s="59" t="s">
        <v>7</v>
      </c>
      <c r="G92" s="60" t="s">
        <v>40</v>
      </c>
      <c r="H92" s="74"/>
      <c r="I92" s="75">
        <v>0.5</v>
      </c>
      <c r="J92" s="75">
        <v>0.5</v>
      </c>
      <c r="K92" s="72">
        <v>0.5</v>
      </c>
      <c r="L92" s="14">
        <f t="shared" si="7"/>
        <v>1</v>
      </c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  <c r="AA92" s="21"/>
      <c r="AB92" s="21"/>
      <c r="AC92" s="21"/>
      <c r="AD92" s="21"/>
      <c r="AE92" s="21"/>
      <c r="AF92" s="21" t="str">
        <f t="shared" si="8"/>
        <v>김연수</v>
      </c>
      <c r="AG92" s="49">
        <v>0.3</v>
      </c>
      <c r="AH92" s="49">
        <v>0.3</v>
      </c>
      <c r="AI92" s="21" t="str">
        <f t="shared" si="9"/>
        <v>김연수</v>
      </c>
      <c r="AJ92" s="49">
        <v>0.3</v>
      </c>
      <c r="AK92" s="49">
        <v>0.3</v>
      </c>
    </row>
    <row r="93" spans="1:37" ht="17.25" customHeight="1" x14ac:dyDescent="0.3">
      <c r="A93" s="41" t="s">
        <v>15</v>
      </c>
      <c r="B93" s="41" t="s">
        <v>65</v>
      </c>
      <c r="C93" s="57"/>
      <c r="D93" s="77"/>
      <c r="E93" s="57" t="s">
        <v>145</v>
      </c>
      <c r="F93" s="59" t="s">
        <v>72</v>
      </c>
      <c r="G93" s="60" t="s">
        <v>40</v>
      </c>
      <c r="H93" s="74"/>
      <c r="I93" s="75">
        <v>0.5</v>
      </c>
      <c r="J93" s="75">
        <v>0.5</v>
      </c>
      <c r="K93" s="72">
        <v>0.5</v>
      </c>
      <c r="L93" s="14">
        <f t="shared" si="7"/>
        <v>1</v>
      </c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  <c r="AA93" s="21"/>
      <c r="AB93" s="21"/>
      <c r="AC93" s="21"/>
      <c r="AD93" s="21"/>
      <c r="AE93" s="21"/>
      <c r="AF93" s="21" t="str">
        <f t="shared" si="8"/>
        <v>김연수</v>
      </c>
      <c r="AG93" s="49">
        <v>0.3</v>
      </c>
      <c r="AH93" s="49">
        <v>0.3</v>
      </c>
      <c r="AI93" s="21" t="str">
        <f t="shared" si="9"/>
        <v>김연수</v>
      </c>
      <c r="AJ93" s="49">
        <v>0.3</v>
      </c>
      <c r="AK93" s="49">
        <v>0.3</v>
      </c>
    </row>
    <row r="94" spans="1:37" ht="17.25" customHeight="1" x14ac:dyDescent="0.3">
      <c r="A94" s="41" t="s">
        <v>16</v>
      </c>
      <c r="B94" s="41" t="s">
        <v>65</v>
      </c>
      <c r="C94" s="78"/>
      <c r="D94" s="79" t="s">
        <v>146</v>
      </c>
      <c r="E94" s="80" t="s">
        <v>67</v>
      </c>
      <c r="F94" s="61" t="s">
        <v>7</v>
      </c>
      <c r="G94" s="60" t="s">
        <v>40</v>
      </c>
      <c r="H94" s="74"/>
      <c r="I94" s="75">
        <v>0.5</v>
      </c>
      <c r="J94" s="75">
        <v>0.5</v>
      </c>
      <c r="K94" s="73">
        <v>0.5</v>
      </c>
      <c r="L94" s="14">
        <f t="shared" si="7"/>
        <v>1</v>
      </c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  <c r="AA94" s="21"/>
      <c r="AB94" s="21"/>
      <c r="AC94" s="21"/>
      <c r="AD94" s="21"/>
      <c r="AE94" s="21"/>
      <c r="AF94" s="21" t="str">
        <f t="shared" si="8"/>
        <v>김연수</v>
      </c>
      <c r="AG94" s="49">
        <v>0.3</v>
      </c>
      <c r="AH94" s="49">
        <v>0.3</v>
      </c>
      <c r="AI94" s="21" t="str">
        <f t="shared" si="9"/>
        <v>김연수</v>
      </c>
      <c r="AJ94" s="49">
        <v>0.3</v>
      </c>
      <c r="AK94" s="49">
        <v>0.3</v>
      </c>
    </row>
    <row r="95" spans="1:37" ht="17.25" customHeight="1" x14ac:dyDescent="0.3">
      <c r="A95" s="144" t="s">
        <v>65</v>
      </c>
      <c r="B95" s="145"/>
      <c r="C95" s="34" t="s">
        <v>147</v>
      </c>
      <c r="D95" s="81"/>
      <c r="E95" s="34"/>
      <c r="F95" s="54"/>
      <c r="G95" s="37"/>
      <c r="H95" s="55"/>
      <c r="I95" s="56">
        <f>SUM(I96:I103)</f>
        <v>4</v>
      </c>
      <c r="J95" s="56">
        <f>SUM(J96:J103)</f>
        <v>4</v>
      </c>
      <c r="K95" s="56">
        <f>SUM(K96:K103)</f>
        <v>4</v>
      </c>
      <c r="L95" s="14">
        <f t="shared" si="7"/>
        <v>1</v>
      </c>
      <c r="M95" s="118"/>
      <c r="N95" s="118"/>
      <c r="O95" s="118"/>
      <c r="P95" s="118"/>
      <c r="Q95" s="118"/>
      <c r="R95" s="118"/>
      <c r="S95" s="118"/>
      <c r="T95" s="118"/>
      <c r="U95" s="118"/>
      <c r="V95" s="118"/>
      <c r="W95" s="118"/>
      <c r="X95" s="118"/>
      <c r="Y95" s="118"/>
      <c r="Z95" s="118"/>
      <c r="AA95" s="118"/>
      <c r="AB95" s="118"/>
      <c r="AC95" s="118"/>
      <c r="AD95" s="118"/>
      <c r="AE95" s="118"/>
      <c r="AF95" s="118"/>
      <c r="AG95" s="38">
        <f>SUM(AG96:AG103)</f>
        <v>2.4</v>
      </c>
      <c r="AH95" s="38">
        <f>SUM(AH96:AH103)</f>
        <v>2.4</v>
      </c>
      <c r="AI95" s="118"/>
      <c r="AJ95" s="38">
        <f>SUM(AJ96:AJ103)</f>
        <v>2.4</v>
      </c>
      <c r="AK95" s="38">
        <f>SUM(AK96:AK103)</f>
        <v>2.4</v>
      </c>
    </row>
    <row r="96" spans="1:37" ht="17.25" customHeight="1" x14ac:dyDescent="0.3">
      <c r="A96" s="41" t="s">
        <v>18</v>
      </c>
      <c r="B96" s="41" t="s">
        <v>65</v>
      </c>
      <c r="C96" s="57"/>
      <c r="D96" s="82" t="s">
        <v>148</v>
      </c>
      <c r="E96" s="83" t="s">
        <v>67</v>
      </c>
      <c r="F96" s="84" t="s">
        <v>7</v>
      </c>
      <c r="G96" s="60" t="s">
        <v>40</v>
      </c>
      <c r="H96" s="85"/>
      <c r="I96" s="75">
        <v>0.5</v>
      </c>
      <c r="J96" s="75">
        <v>0.5</v>
      </c>
      <c r="K96" s="72">
        <v>0.5</v>
      </c>
      <c r="L96" s="14">
        <f t="shared" si="7"/>
        <v>1</v>
      </c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  <c r="AA96" s="21"/>
      <c r="AB96" s="21"/>
      <c r="AC96" s="21"/>
      <c r="AD96" s="21"/>
      <c r="AE96" s="21"/>
      <c r="AF96" s="21" t="str">
        <f t="shared" si="8"/>
        <v>김연수</v>
      </c>
      <c r="AG96" s="49">
        <v>0.3</v>
      </c>
      <c r="AH96" s="49">
        <v>0.3</v>
      </c>
      <c r="AI96" s="21" t="str">
        <f t="shared" si="9"/>
        <v>김연수</v>
      </c>
      <c r="AJ96" s="49">
        <v>0.3</v>
      </c>
      <c r="AK96" s="49">
        <v>0.3</v>
      </c>
    </row>
    <row r="97" spans="1:37" ht="17.25" customHeight="1" x14ac:dyDescent="0.3">
      <c r="A97" s="41" t="s">
        <v>8</v>
      </c>
      <c r="B97" s="41" t="s">
        <v>65</v>
      </c>
      <c r="C97" s="57"/>
      <c r="D97" s="82"/>
      <c r="E97" s="86" t="s">
        <v>76</v>
      </c>
      <c r="F97" s="87" t="s">
        <v>72</v>
      </c>
      <c r="G97" s="60" t="s">
        <v>40</v>
      </c>
      <c r="H97" s="74"/>
      <c r="I97" s="75">
        <v>0.5</v>
      </c>
      <c r="J97" s="75">
        <v>0.5</v>
      </c>
      <c r="K97" s="72">
        <v>0.5</v>
      </c>
      <c r="L97" s="14">
        <f t="shared" si="7"/>
        <v>1</v>
      </c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  <c r="AA97" s="21"/>
      <c r="AB97" s="21"/>
      <c r="AC97" s="21"/>
      <c r="AD97" s="21"/>
      <c r="AE97" s="21"/>
      <c r="AF97" s="21" t="str">
        <f t="shared" si="8"/>
        <v>김연수</v>
      </c>
      <c r="AG97" s="49">
        <v>0.3</v>
      </c>
      <c r="AH97" s="49">
        <v>0.3</v>
      </c>
      <c r="AI97" s="21" t="str">
        <f t="shared" si="9"/>
        <v>김연수</v>
      </c>
      <c r="AJ97" s="49">
        <v>0.3</v>
      </c>
      <c r="AK97" s="49">
        <v>0.3</v>
      </c>
    </row>
    <row r="98" spans="1:37" ht="17.25" customHeight="1" x14ac:dyDescent="0.3">
      <c r="A98" s="41" t="s">
        <v>9</v>
      </c>
      <c r="B98" s="41" t="s">
        <v>65</v>
      </c>
      <c r="C98" s="57"/>
      <c r="D98" s="82" t="s">
        <v>149</v>
      </c>
      <c r="E98" s="88" t="s">
        <v>67</v>
      </c>
      <c r="F98" s="89" t="s">
        <v>7</v>
      </c>
      <c r="G98" s="60" t="s">
        <v>40</v>
      </c>
      <c r="H98" s="74"/>
      <c r="I98" s="75">
        <v>0.5</v>
      </c>
      <c r="J98" s="75">
        <v>0.5</v>
      </c>
      <c r="K98" s="72">
        <v>0.5</v>
      </c>
      <c r="L98" s="14">
        <f t="shared" si="7"/>
        <v>1</v>
      </c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  <c r="AA98" s="21"/>
      <c r="AB98" s="21"/>
      <c r="AC98" s="21"/>
      <c r="AD98" s="21"/>
      <c r="AE98" s="21"/>
      <c r="AF98" s="21" t="str">
        <f t="shared" si="8"/>
        <v>김연수</v>
      </c>
      <c r="AG98" s="49">
        <v>0.3</v>
      </c>
      <c r="AH98" s="49">
        <v>0.3</v>
      </c>
      <c r="AI98" s="21" t="str">
        <f t="shared" si="9"/>
        <v>김연수</v>
      </c>
      <c r="AJ98" s="49">
        <v>0.3</v>
      </c>
      <c r="AK98" s="49">
        <v>0.3</v>
      </c>
    </row>
    <row r="99" spans="1:37" ht="17.25" customHeight="1" x14ac:dyDescent="0.3">
      <c r="A99" s="41" t="s">
        <v>10</v>
      </c>
      <c r="B99" s="41" t="s">
        <v>65</v>
      </c>
      <c r="C99" s="57"/>
      <c r="D99" s="77"/>
      <c r="E99" s="57" t="s">
        <v>150</v>
      </c>
      <c r="F99" s="59" t="s">
        <v>72</v>
      </c>
      <c r="G99" s="60" t="s">
        <v>40</v>
      </c>
      <c r="H99" s="74"/>
      <c r="I99" s="90">
        <v>0.5</v>
      </c>
      <c r="J99" s="90">
        <v>0.5</v>
      </c>
      <c r="K99" s="72">
        <v>0.5</v>
      </c>
      <c r="L99" s="14">
        <f t="shared" si="7"/>
        <v>1</v>
      </c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  <c r="AA99" s="21"/>
      <c r="AB99" s="21"/>
      <c r="AC99" s="21"/>
      <c r="AD99" s="21"/>
      <c r="AE99" s="21"/>
      <c r="AF99" s="21" t="str">
        <f t="shared" si="8"/>
        <v>김연수</v>
      </c>
      <c r="AG99" s="49">
        <v>0.3</v>
      </c>
      <c r="AH99" s="49">
        <v>0.3</v>
      </c>
      <c r="AI99" s="21" t="str">
        <f t="shared" si="9"/>
        <v>김연수</v>
      </c>
      <c r="AJ99" s="49">
        <v>0.3</v>
      </c>
      <c r="AK99" s="49">
        <v>0.3</v>
      </c>
    </row>
    <row r="100" spans="1:37" ht="17.25" customHeight="1" x14ac:dyDescent="0.3">
      <c r="A100" s="41" t="s">
        <v>11</v>
      </c>
      <c r="B100" s="41" t="s">
        <v>65</v>
      </c>
      <c r="C100" s="57"/>
      <c r="D100" s="77"/>
      <c r="E100" s="57" t="s">
        <v>151</v>
      </c>
      <c r="F100" s="59" t="s">
        <v>72</v>
      </c>
      <c r="G100" s="60" t="s">
        <v>40</v>
      </c>
      <c r="H100" s="74"/>
      <c r="I100" s="90">
        <v>0.5</v>
      </c>
      <c r="J100" s="90">
        <v>0.5</v>
      </c>
      <c r="K100" s="72">
        <v>0.5</v>
      </c>
      <c r="L100" s="14">
        <f t="shared" si="7"/>
        <v>1</v>
      </c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  <c r="AA100" s="21"/>
      <c r="AB100" s="21"/>
      <c r="AC100" s="21"/>
      <c r="AD100" s="21"/>
      <c r="AE100" s="21"/>
      <c r="AF100" s="21" t="str">
        <f t="shared" si="8"/>
        <v>김연수</v>
      </c>
      <c r="AG100" s="49">
        <v>0.3</v>
      </c>
      <c r="AH100" s="49">
        <v>0.3</v>
      </c>
      <c r="AI100" s="21" t="str">
        <f t="shared" si="9"/>
        <v>김연수</v>
      </c>
      <c r="AJ100" s="49">
        <v>0.3</v>
      </c>
      <c r="AK100" s="49">
        <v>0.3</v>
      </c>
    </row>
    <row r="101" spans="1:37" ht="17.25" customHeight="1" x14ac:dyDescent="0.3">
      <c r="A101" s="41" t="s">
        <v>12</v>
      </c>
      <c r="B101" s="41" t="s">
        <v>65</v>
      </c>
      <c r="C101" s="57"/>
      <c r="D101" s="77"/>
      <c r="E101" s="57" t="s">
        <v>152</v>
      </c>
      <c r="F101" s="59" t="s">
        <v>128</v>
      </c>
      <c r="G101" s="60" t="s">
        <v>40</v>
      </c>
      <c r="H101" s="74"/>
      <c r="I101" s="90">
        <v>0.5</v>
      </c>
      <c r="J101" s="90">
        <v>0.5</v>
      </c>
      <c r="K101" s="72">
        <v>0.5</v>
      </c>
      <c r="L101" s="14">
        <f t="shared" si="7"/>
        <v>1</v>
      </c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  <c r="AA101" s="21"/>
      <c r="AB101" s="21"/>
      <c r="AC101" s="21"/>
      <c r="AD101" s="21"/>
      <c r="AE101" s="21"/>
      <c r="AF101" s="21" t="str">
        <f t="shared" si="8"/>
        <v>김연수</v>
      </c>
      <c r="AG101" s="49">
        <v>0.3</v>
      </c>
      <c r="AH101" s="49">
        <v>0.3</v>
      </c>
      <c r="AI101" s="21" t="str">
        <f t="shared" si="9"/>
        <v>김연수</v>
      </c>
      <c r="AJ101" s="49">
        <v>0.3</v>
      </c>
      <c r="AK101" s="49">
        <v>0.3</v>
      </c>
    </row>
    <row r="102" spans="1:37" ht="17.25" customHeight="1" x14ac:dyDescent="0.3">
      <c r="A102" s="41" t="s">
        <v>13</v>
      </c>
      <c r="B102" s="41" t="s">
        <v>65</v>
      </c>
      <c r="C102" s="57"/>
      <c r="D102" s="77" t="s">
        <v>153</v>
      </c>
      <c r="E102" s="57" t="s">
        <v>67</v>
      </c>
      <c r="F102" s="59" t="s">
        <v>7</v>
      </c>
      <c r="G102" s="60" t="s">
        <v>40</v>
      </c>
      <c r="H102" s="74"/>
      <c r="I102" s="75">
        <v>0.5</v>
      </c>
      <c r="J102" s="75">
        <v>0.5</v>
      </c>
      <c r="K102" s="72">
        <v>0.5</v>
      </c>
      <c r="L102" s="14">
        <f t="shared" si="7"/>
        <v>1</v>
      </c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  <c r="AA102" s="21"/>
      <c r="AB102" s="21"/>
      <c r="AC102" s="21"/>
      <c r="AD102" s="21"/>
      <c r="AE102" s="21"/>
      <c r="AF102" s="21" t="str">
        <f t="shared" si="8"/>
        <v>김연수</v>
      </c>
      <c r="AG102" s="49">
        <v>0.3</v>
      </c>
      <c r="AH102" s="49">
        <v>0.3</v>
      </c>
      <c r="AI102" s="21" t="str">
        <f t="shared" si="9"/>
        <v>김연수</v>
      </c>
      <c r="AJ102" s="49">
        <v>0.3</v>
      </c>
      <c r="AK102" s="49">
        <v>0.3</v>
      </c>
    </row>
    <row r="103" spans="1:37" ht="17.25" customHeight="1" x14ac:dyDescent="0.3">
      <c r="A103" s="41" t="s">
        <v>33</v>
      </c>
      <c r="B103" s="41" t="s">
        <v>65</v>
      </c>
      <c r="C103" s="57"/>
      <c r="D103" s="77"/>
      <c r="E103" s="57" t="s">
        <v>154</v>
      </c>
      <c r="F103" s="59" t="s">
        <v>72</v>
      </c>
      <c r="G103" s="60" t="s">
        <v>40</v>
      </c>
      <c r="H103" s="74"/>
      <c r="I103" s="90">
        <v>0.5</v>
      </c>
      <c r="J103" s="90">
        <v>0.5</v>
      </c>
      <c r="K103" s="72">
        <v>0.5</v>
      </c>
      <c r="L103" s="14">
        <f t="shared" si="7"/>
        <v>1</v>
      </c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  <c r="AA103" s="21"/>
      <c r="AB103" s="21"/>
      <c r="AC103" s="21"/>
      <c r="AD103" s="21"/>
      <c r="AE103" s="21"/>
      <c r="AF103" s="21" t="str">
        <f t="shared" si="8"/>
        <v>김연수</v>
      </c>
      <c r="AG103" s="49">
        <v>0.3</v>
      </c>
      <c r="AH103" s="49">
        <v>0.3</v>
      </c>
      <c r="AI103" s="21" t="str">
        <f t="shared" si="9"/>
        <v>김연수</v>
      </c>
      <c r="AJ103" s="49">
        <v>0.3</v>
      </c>
      <c r="AK103" s="49">
        <v>0.3</v>
      </c>
    </row>
    <row r="104" spans="1:37" ht="17.25" customHeight="1" x14ac:dyDescent="0.3">
      <c r="A104" s="146" t="s">
        <v>65</v>
      </c>
      <c r="B104" s="147"/>
      <c r="C104" s="91" t="s">
        <v>155</v>
      </c>
      <c r="D104" s="92"/>
      <c r="E104" s="93"/>
      <c r="F104" s="94"/>
      <c r="G104" s="95"/>
      <c r="H104" s="96"/>
      <c r="I104" s="97">
        <f>SUM(I105:I133)</f>
        <v>48</v>
      </c>
      <c r="J104" s="97">
        <f>SUM(J105:J133)</f>
        <v>48</v>
      </c>
      <c r="K104" s="97">
        <f>SUM(K105:K133)</f>
        <v>48</v>
      </c>
      <c r="L104" s="95"/>
      <c r="M104" s="118"/>
      <c r="N104" s="118"/>
      <c r="O104" s="118"/>
      <c r="P104" s="118"/>
      <c r="Q104" s="118"/>
      <c r="R104" s="118"/>
      <c r="S104" s="118"/>
      <c r="T104" s="118"/>
      <c r="U104" s="118"/>
      <c r="V104" s="118"/>
      <c r="W104" s="118"/>
      <c r="X104" s="118"/>
      <c r="Y104" s="118"/>
      <c r="Z104" s="118"/>
      <c r="AA104" s="118"/>
      <c r="AB104" s="118"/>
      <c r="AC104" s="118"/>
      <c r="AD104" s="118"/>
      <c r="AE104" s="118"/>
      <c r="AF104" s="118"/>
      <c r="AG104" s="38">
        <f>SUM(AG105:AG133)</f>
        <v>8.6999999999999993</v>
      </c>
      <c r="AH104" s="38">
        <f>SUM(AH105:AH133)</f>
        <v>8.6999999999999993</v>
      </c>
      <c r="AI104" s="118"/>
      <c r="AJ104" s="38">
        <f>SUM(AJ105:AJ133)</f>
        <v>8.6999999999999993</v>
      </c>
      <c r="AK104" s="38">
        <f>SUM(AK105:AK133)</f>
        <v>8.6999999999999993</v>
      </c>
    </row>
    <row r="105" spans="1:37" ht="17.25" customHeight="1" x14ac:dyDescent="0.3">
      <c r="A105" s="72">
        <v>1</v>
      </c>
      <c r="B105" s="98" t="s">
        <v>65</v>
      </c>
      <c r="C105" s="99"/>
      <c r="D105" s="99" t="s">
        <v>156</v>
      </c>
      <c r="E105" s="99" t="s">
        <v>67</v>
      </c>
      <c r="F105" s="72" t="s">
        <v>7</v>
      </c>
      <c r="G105" s="136" t="s">
        <v>37</v>
      </c>
      <c r="H105" s="72"/>
      <c r="I105" s="72">
        <v>1</v>
      </c>
      <c r="J105" s="72">
        <v>1</v>
      </c>
      <c r="K105" s="72">
        <v>1</v>
      </c>
      <c r="L105" s="14">
        <f t="shared" si="7"/>
        <v>1</v>
      </c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  <c r="AA105" s="21"/>
      <c r="AB105" s="21"/>
      <c r="AC105" s="21"/>
      <c r="AD105" s="21"/>
      <c r="AE105" s="21"/>
      <c r="AF105" s="21" t="str">
        <f t="shared" si="8"/>
        <v>김정훈</v>
      </c>
      <c r="AG105" s="49">
        <v>0.3</v>
      </c>
      <c r="AH105" s="49">
        <v>0.3</v>
      </c>
      <c r="AI105" s="21" t="str">
        <f t="shared" si="9"/>
        <v>김정훈</v>
      </c>
      <c r="AJ105" s="49">
        <v>0.3</v>
      </c>
      <c r="AK105" s="49">
        <v>0.3</v>
      </c>
    </row>
    <row r="106" spans="1:37" ht="17.25" customHeight="1" x14ac:dyDescent="0.3">
      <c r="A106" s="72">
        <v>2</v>
      </c>
      <c r="B106" s="98" t="s">
        <v>65</v>
      </c>
      <c r="C106" s="99"/>
      <c r="D106" s="99"/>
      <c r="E106" s="99" t="s">
        <v>157</v>
      </c>
      <c r="F106" s="72" t="s">
        <v>72</v>
      </c>
      <c r="G106" s="136" t="s">
        <v>37</v>
      </c>
      <c r="H106" s="72"/>
      <c r="I106" s="75">
        <v>1</v>
      </c>
      <c r="J106" s="75">
        <v>1</v>
      </c>
      <c r="K106" s="72">
        <v>1</v>
      </c>
      <c r="L106" s="14">
        <f t="shared" si="7"/>
        <v>1</v>
      </c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  <c r="AA106" s="21"/>
      <c r="AB106" s="21"/>
      <c r="AC106" s="21"/>
      <c r="AD106" s="21"/>
      <c r="AE106" s="21"/>
      <c r="AF106" s="21" t="str">
        <f t="shared" si="8"/>
        <v>김정훈</v>
      </c>
      <c r="AG106" s="49">
        <v>0.3</v>
      </c>
      <c r="AH106" s="49">
        <v>0.3</v>
      </c>
      <c r="AI106" s="21" t="str">
        <f t="shared" si="9"/>
        <v>김정훈</v>
      </c>
      <c r="AJ106" s="49">
        <v>0.3</v>
      </c>
      <c r="AK106" s="49">
        <v>0.3</v>
      </c>
    </row>
    <row r="107" spans="1:37" ht="17.25" customHeight="1" x14ac:dyDescent="0.3">
      <c r="A107" s="72">
        <v>3</v>
      </c>
      <c r="B107" s="98" t="s">
        <v>65</v>
      </c>
      <c r="C107" s="99"/>
      <c r="D107" s="99" t="s">
        <v>158</v>
      </c>
      <c r="E107" s="99" t="s">
        <v>67</v>
      </c>
      <c r="F107" s="72" t="s">
        <v>7</v>
      </c>
      <c r="G107" s="136" t="s">
        <v>37</v>
      </c>
      <c r="H107" s="72"/>
      <c r="I107" s="72">
        <v>2</v>
      </c>
      <c r="J107" s="72">
        <v>2</v>
      </c>
      <c r="K107" s="72">
        <v>2</v>
      </c>
      <c r="L107" s="14">
        <f t="shared" si="7"/>
        <v>1</v>
      </c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  <c r="AA107" s="21"/>
      <c r="AB107" s="21"/>
      <c r="AC107" s="21"/>
      <c r="AD107" s="21"/>
      <c r="AE107" s="21"/>
      <c r="AF107" s="21" t="str">
        <f t="shared" si="8"/>
        <v>김정훈</v>
      </c>
      <c r="AG107" s="49">
        <v>0.3</v>
      </c>
      <c r="AH107" s="49">
        <v>0.3</v>
      </c>
      <c r="AI107" s="21" t="str">
        <f t="shared" si="9"/>
        <v>김정훈</v>
      </c>
      <c r="AJ107" s="49">
        <v>0.3</v>
      </c>
      <c r="AK107" s="49">
        <v>0.3</v>
      </c>
    </row>
    <row r="108" spans="1:37" ht="17.25" customHeight="1" x14ac:dyDescent="0.3">
      <c r="A108" s="72">
        <v>4</v>
      </c>
      <c r="B108" s="98" t="s">
        <v>65</v>
      </c>
      <c r="C108" s="99"/>
      <c r="D108" s="99"/>
      <c r="E108" s="99" t="s">
        <v>159</v>
      </c>
      <c r="F108" s="72" t="s">
        <v>72</v>
      </c>
      <c r="G108" s="136" t="s">
        <v>37</v>
      </c>
      <c r="H108" s="72"/>
      <c r="I108" s="75">
        <v>2</v>
      </c>
      <c r="J108" s="75">
        <v>2</v>
      </c>
      <c r="K108" s="72">
        <v>2</v>
      </c>
      <c r="L108" s="14">
        <f t="shared" si="7"/>
        <v>1</v>
      </c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  <c r="AA108" s="21"/>
      <c r="AB108" s="21"/>
      <c r="AC108" s="21"/>
      <c r="AD108" s="21"/>
      <c r="AE108" s="21"/>
      <c r="AF108" s="21" t="str">
        <f t="shared" si="8"/>
        <v>김정훈</v>
      </c>
      <c r="AG108" s="49">
        <v>0.3</v>
      </c>
      <c r="AH108" s="49">
        <v>0.3</v>
      </c>
      <c r="AI108" s="21" t="str">
        <f t="shared" si="9"/>
        <v>김정훈</v>
      </c>
      <c r="AJ108" s="49">
        <v>0.3</v>
      </c>
      <c r="AK108" s="49">
        <v>0.3</v>
      </c>
    </row>
    <row r="109" spans="1:37" ht="17.25" customHeight="1" x14ac:dyDescent="0.3">
      <c r="A109" s="72">
        <v>5</v>
      </c>
      <c r="B109" s="98" t="s">
        <v>65</v>
      </c>
      <c r="C109" s="99"/>
      <c r="D109" s="99"/>
      <c r="E109" s="99" t="s">
        <v>105</v>
      </c>
      <c r="F109" s="72" t="s">
        <v>72</v>
      </c>
      <c r="G109" s="136" t="s">
        <v>37</v>
      </c>
      <c r="H109" s="72"/>
      <c r="I109" s="72">
        <v>1</v>
      </c>
      <c r="J109" s="72">
        <v>1</v>
      </c>
      <c r="K109" s="75">
        <v>1</v>
      </c>
      <c r="L109" s="14">
        <f t="shared" si="7"/>
        <v>1</v>
      </c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  <c r="AA109" s="21"/>
      <c r="AB109" s="21"/>
      <c r="AC109" s="21"/>
      <c r="AD109" s="21"/>
      <c r="AE109" s="21"/>
      <c r="AF109" s="21" t="str">
        <f t="shared" si="8"/>
        <v>김정훈</v>
      </c>
      <c r="AG109" s="49">
        <v>0.3</v>
      </c>
      <c r="AH109" s="49">
        <v>0.3</v>
      </c>
      <c r="AI109" s="21" t="str">
        <f t="shared" si="9"/>
        <v>김정훈</v>
      </c>
      <c r="AJ109" s="49">
        <v>0.3</v>
      </c>
      <c r="AK109" s="49">
        <v>0.3</v>
      </c>
    </row>
    <row r="110" spans="1:37" ht="17.25" customHeight="1" x14ac:dyDescent="0.3">
      <c r="A110" s="72">
        <v>6</v>
      </c>
      <c r="B110" s="98" t="s">
        <v>65</v>
      </c>
      <c r="C110" s="99"/>
      <c r="D110" s="99"/>
      <c r="E110" s="99" t="s">
        <v>160</v>
      </c>
      <c r="F110" s="72" t="s">
        <v>72</v>
      </c>
      <c r="G110" s="136" t="s">
        <v>37</v>
      </c>
      <c r="H110" s="72"/>
      <c r="I110" s="75">
        <v>1</v>
      </c>
      <c r="J110" s="75">
        <v>1</v>
      </c>
      <c r="K110" s="75">
        <v>1</v>
      </c>
      <c r="L110" s="14">
        <f t="shared" si="7"/>
        <v>1</v>
      </c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  <c r="AA110" s="21"/>
      <c r="AB110" s="21"/>
      <c r="AC110" s="21"/>
      <c r="AD110" s="21"/>
      <c r="AE110" s="21"/>
      <c r="AF110" s="21" t="str">
        <f t="shared" si="8"/>
        <v>김정훈</v>
      </c>
      <c r="AG110" s="49">
        <v>0.3</v>
      </c>
      <c r="AH110" s="49">
        <v>0.3</v>
      </c>
      <c r="AI110" s="21" t="str">
        <f t="shared" si="9"/>
        <v>김정훈</v>
      </c>
      <c r="AJ110" s="49">
        <v>0.3</v>
      </c>
      <c r="AK110" s="49">
        <v>0.3</v>
      </c>
    </row>
    <row r="111" spans="1:37" ht="17.25" customHeight="1" x14ac:dyDescent="0.3">
      <c r="A111" s="72">
        <v>7</v>
      </c>
      <c r="B111" s="98" t="s">
        <v>65</v>
      </c>
      <c r="C111" s="99"/>
      <c r="D111" s="99"/>
      <c r="E111" s="99" t="s">
        <v>161</v>
      </c>
      <c r="F111" s="72" t="s">
        <v>72</v>
      </c>
      <c r="G111" s="136" t="s">
        <v>37</v>
      </c>
      <c r="H111" s="72"/>
      <c r="I111" s="72">
        <v>1</v>
      </c>
      <c r="J111" s="72">
        <v>1</v>
      </c>
      <c r="K111" s="75">
        <v>1</v>
      </c>
      <c r="L111" s="14">
        <f t="shared" si="7"/>
        <v>1</v>
      </c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  <c r="AA111" s="21"/>
      <c r="AB111" s="21"/>
      <c r="AC111" s="21"/>
      <c r="AD111" s="21"/>
      <c r="AE111" s="21"/>
      <c r="AF111" s="21" t="str">
        <f t="shared" si="8"/>
        <v>김정훈</v>
      </c>
      <c r="AG111" s="49">
        <v>0.3</v>
      </c>
      <c r="AH111" s="49">
        <v>0.3</v>
      </c>
      <c r="AI111" s="21" t="str">
        <f t="shared" si="9"/>
        <v>김정훈</v>
      </c>
      <c r="AJ111" s="49">
        <v>0.3</v>
      </c>
      <c r="AK111" s="49">
        <v>0.3</v>
      </c>
    </row>
    <row r="112" spans="1:37" ht="17.25" customHeight="1" x14ac:dyDescent="0.3">
      <c r="A112" s="72">
        <v>8</v>
      </c>
      <c r="B112" s="98" t="s">
        <v>65</v>
      </c>
      <c r="C112" s="99"/>
      <c r="D112" s="99"/>
      <c r="E112" s="99" t="s">
        <v>162</v>
      </c>
      <c r="F112" s="72" t="s">
        <v>72</v>
      </c>
      <c r="G112" s="136" t="s">
        <v>37</v>
      </c>
      <c r="H112" s="72"/>
      <c r="I112" s="72">
        <v>2</v>
      </c>
      <c r="J112" s="72">
        <v>2</v>
      </c>
      <c r="K112" s="72">
        <v>2</v>
      </c>
      <c r="L112" s="14">
        <f t="shared" si="7"/>
        <v>1</v>
      </c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  <c r="AA112" s="21"/>
      <c r="AB112" s="21"/>
      <c r="AC112" s="21"/>
      <c r="AD112" s="21"/>
      <c r="AE112" s="21"/>
      <c r="AF112" s="21" t="str">
        <f t="shared" si="8"/>
        <v>김정훈</v>
      </c>
      <c r="AG112" s="49">
        <v>0.3</v>
      </c>
      <c r="AH112" s="49">
        <v>0.3</v>
      </c>
      <c r="AI112" s="21" t="str">
        <f t="shared" si="9"/>
        <v>김정훈</v>
      </c>
      <c r="AJ112" s="49">
        <v>0.3</v>
      </c>
      <c r="AK112" s="49">
        <v>0.3</v>
      </c>
    </row>
    <row r="113" spans="1:37" ht="17.25" customHeight="1" x14ac:dyDescent="0.3">
      <c r="A113" s="72">
        <v>9</v>
      </c>
      <c r="B113" s="98" t="s">
        <v>65</v>
      </c>
      <c r="C113" s="99"/>
      <c r="D113" s="99" t="s">
        <v>163</v>
      </c>
      <c r="E113" s="99" t="s">
        <v>78</v>
      </c>
      <c r="F113" s="72" t="s">
        <v>7</v>
      </c>
      <c r="G113" s="100" t="s">
        <v>164</v>
      </c>
      <c r="H113" s="72"/>
      <c r="I113" s="72">
        <v>1</v>
      </c>
      <c r="J113" s="72">
        <v>1</v>
      </c>
      <c r="K113" s="72">
        <v>1</v>
      </c>
      <c r="L113" s="14">
        <f t="shared" si="7"/>
        <v>1</v>
      </c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  <c r="AA113" s="21"/>
      <c r="AB113" s="21"/>
      <c r="AC113" s="21"/>
      <c r="AD113" s="21"/>
      <c r="AE113" s="21"/>
      <c r="AF113" s="21" t="str">
        <f t="shared" si="8"/>
        <v>왕예빈</v>
      </c>
      <c r="AG113" s="49">
        <v>0.3</v>
      </c>
      <c r="AH113" s="49">
        <v>0.3</v>
      </c>
      <c r="AI113" s="21" t="str">
        <f t="shared" si="9"/>
        <v>왕예빈</v>
      </c>
      <c r="AJ113" s="49">
        <v>0.3</v>
      </c>
      <c r="AK113" s="49">
        <v>0.3</v>
      </c>
    </row>
    <row r="114" spans="1:37" ht="17.25" customHeight="1" x14ac:dyDescent="0.3">
      <c r="A114" s="72">
        <v>10</v>
      </c>
      <c r="B114" s="98" t="s">
        <v>65</v>
      </c>
      <c r="C114" s="99"/>
      <c r="D114" s="99"/>
      <c r="E114" s="99" t="s">
        <v>165</v>
      </c>
      <c r="F114" s="72" t="s">
        <v>72</v>
      </c>
      <c r="G114" s="100" t="s">
        <v>164</v>
      </c>
      <c r="H114" s="72"/>
      <c r="I114" s="72">
        <v>1</v>
      </c>
      <c r="J114" s="72">
        <v>1</v>
      </c>
      <c r="K114" s="72">
        <v>1</v>
      </c>
      <c r="L114" s="14">
        <f t="shared" si="7"/>
        <v>1</v>
      </c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  <c r="AA114" s="21"/>
      <c r="AB114" s="21"/>
      <c r="AC114" s="21"/>
      <c r="AD114" s="21"/>
      <c r="AE114" s="21"/>
      <c r="AF114" s="21" t="str">
        <f t="shared" si="8"/>
        <v>왕예빈</v>
      </c>
      <c r="AG114" s="49">
        <v>0.3</v>
      </c>
      <c r="AH114" s="49">
        <v>0.3</v>
      </c>
      <c r="AI114" s="21" t="str">
        <f t="shared" si="9"/>
        <v>왕예빈</v>
      </c>
      <c r="AJ114" s="49">
        <v>0.3</v>
      </c>
      <c r="AK114" s="49">
        <v>0.3</v>
      </c>
    </row>
    <row r="115" spans="1:37" ht="17.25" customHeight="1" x14ac:dyDescent="0.3">
      <c r="A115" s="72">
        <v>11</v>
      </c>
      <c r="B115" s="98" t="s">
        <v>65</v>
      </c>
      <c r="C115" s="99"/>
      <c r="D115" s="99"/>
      <c r="E115" s="99" t="s">
        <v>166</v>
      </c>
      <c r="F115" s="72" t="s">
        <v>72</v>
      </c>
      <c r="G115" s="100" t="s">
        <v>164</v>
      </c>
      <c r="H115" s="72"/>
      <c r="I115" s="72">
        <v>3</v>
      </c>
      <c r="J115" s="72">
        <v>3</v>
      </c>
      <c r="K115" s="72">
        <v>3</v>
      </c>
      <c r="L115" s="14">
        <f t="shared" si="7"/>
        <v>1</v>
      </c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  <c r="AA115" s="21"/>
      <c r="AB115" s="21"/>
      <c r="AC115" s="21"/>
      <c r="AD115" s="21"/>
      <c r="AE115" s="21"/>
      <c r="AF115" s="21" t="str">
        <f t="shared" si="8"/>
        <v>왕예빈</v>
      </c>
      <c r="AG115" s="49">
        <v>0.3</v>
      </c>
      <c r="AH115" s="49">
        <v>0.3</v>
      </c>
      <c r="AI115" s="21" t="str">
        <f t="shared" si="9"/>
        <v>왕예빈</v>
      </c>
      <c r="AJ115" s="49">
        <v>0.3</v>
      </c>
      <c r="AK115" s="49">
        <v>0.3</v>
      </c>
    </row>
    <row r="116" spans="1:37" ht="17.25" customHeight="1" x14ac:dyDescent="0.3">
      <c r="A116" s="72">
        <v>12</v>
      </c>
      <c r="B116" s="98" t="s">
        <v>65</v>
      </c>
      <c r="C116" s="99"/>
      <c r="D116" s="99"/>
      <c r="E116" s="99" t="s">
        <v>167</v>
      </c>
      <c r="F116" s="72" t="s">
        <v>72</v>
      </c>
      <c r="G116" s="100" t="s">
        <v>164</v>
      </c>
      <c r="H116" s="72"/>
      <c r="I116" s="72">
        <v>1</v>
      </c>
      <c r="J116" s="72">
        <v>1</v>
      </c>
      <c r="K116" s="72">
        <v>1</v>
      </c>
      <c r="L116" s="14">
        <f t="shared" si="7"/>
        <v>1</v>
      </c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  <c r="AA116" s="21"/>
      <c r="AB116" s="21"/>
      <c r="AC116" s="21"/>
      <c r="AD116" s="21"/>
      <c r="AE116" s="21"/>
      <c r="AF116" s="21" t="str">
        <f t="shared" si="8"/>
        <v>왕예빈</v>
      </c>
      <c r="AG116" s="49">
        <v>0.3</v>
      </c>
      <c r="AH116" s="49">
        <v>0.3</v>
      </c>
      <c r="AI116" s="21" t="str">
        <f t="shared" si="9"/>
        <v>왕예빈</v>
      </c>
      <c r="AJ116" s="49">
        <v>0.3</v>
      </c>
      <c r="AK116" s="49">
        <v>0.3</v>
      </c>
    </row>
    <row r="117" spans="1:37" ht="17.25" customHeight="1" x14ac:dyDescent="0.3">
      <c r="A117" s="72">
        <v>13</v>
      </c>
      <c r="B117" s="98" t="s">
        <v>65</v>
      </c>
      <c r="C117" s="99"/>
      <c r="D117" s="99"/>
      <c r="E117" s="99" t="s">
        <v>168</v>
      </c>
      <c r="F117" s="72" t="s">
        <v>72</v>
      </c>
      <c r="G117" s="100" t="s">
        <v>164</v>
      </c>
      <c r="H117" s="72"/>
      <c r="I117" s="72">
        <v>4</v>
      </c>
      <c r="J117" s="72">
        <v>4</v>
      </c>
      <c r="K117" s="72">
        <v>4</v>
      </c>
      <c r="L117" s="14">
        <f t="shared" ref="L117:L180" si="10">K117/J117</f>
        <v>1</v>
      </c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  <c r="AA117" s="21"/>
      <c r="AB117" s="21"/>
      <c r="AC117" s="21"/>
      <c r="AD117" s="21"/>
      <c r="AE117" s="21"/>
      <c r="AF117" s="21" t="str">
        <f t="shared" si="8"/>
        <v>왕예빈</v>
      </c>
      <c r="AG117" s="49">
        <v>0.3</v>
      </c>
      <c r="AH117" s="49">
        <v>0.3</v>
      </c>
      <c r="AI117" s="21" t="str">
        <f t="shared" si="9"/>
        <v>왕예빈</v>
      </c>
      <c r="AJ117" s="49">
        <v>0.3</v>
      </c>
      <c r="AK117" s="49">
        <v>0.3</v>
      </c>
    </row>
    <row r="118" spans="1:37" ht="17.25" customHeight="1" x14ac:dyDescent="0.3">
      <c r="A118" s="72">
        <v>14</v>
      </c>
      <c r="B118" s="98" t="s">
        <v>65</v>
      </c>
      <c r="C118" s="99"/>
      <c r="D118" s="99"/>
      <c r="E118" s="99" t="s">
        <v>169</v>
      </c>
      <c r="F118" s="72" t="s">
        <v>72</v>
      </c>
      <c r="G118" s="100" t="s">
        <v>164</v>
      </c>
      <c r="H118" s="72"/>
      <c r="I118" s="72">
        <v>4</v>
      </c>
      <c r="J118" s="72">
        <v>4</v>
      </c>
      <c r="K118" s="72">
        <v>4</v>
      </c>
      <c r="L118" s="14">
        <f t="shared" si="10"/>
        <v>1</v>
      </c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  <c r="AA118" s="21"/>
      <c r="AB118" s="21"/>
      <c r="AC118" s="21"/>
      <c r="AD118" s="21"/>
      <c r="AE118" s="21"/>
      <c r="AF118" s="21" t="str">
        <f t="shared" si="8"/>
        <v>왕예빈</v>
      </c>
      <c r="AG118" s="49">
        <v>0.3</v>
      </c>
      <c r="AH118" s="49">
        <v>0.3</v>
      </c>
      <c r="AI118" s="21" t="str">
        <f t="shared" si="9"/>
        <v>왕예빈</v>
      </c>
      <c r="AJ118" s="49">
        <v>0.3</v>
      </c>
      <c r="AK118" s="49">
        <v>0.3</v>
      </c>
    </row>
    <row r="119" spans="1:37" ht="17.25" customHeight="1" x14ac:dyDescent="0.3">
      <c r="A119" s="72">
        <v>15</v>
      </c>
      <c r="B119" s="98" t="s">
        <v>65</v>
      </c>
      <c r="C119" s="99"/>
      <c r="D119" s="99" t="s">
        <v>170</v>
      </c>
      <c r="E119" s="99" t="s">
        <v>78</v>
      </c>
      <c r="F119" s="72" t="s">
        <v>98</v>
      </c>
      <c r="G119" s="100" t="s">
        <v>164</v>
      </c>
      <c r="H119" s="72"/>
      <c r="I119" s="72">
        <v>1</v>
      </c>
      <c r="J119" s="72">
        <v>1</v>
      </c>
      <c r="K119" s="72">
        <v>1</v>
      </c>
      <c r="L119" s="14">
        <f t="shared" si="10"/>
        <v>1</v>
      </c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  <c r="AA119" s="21"/>
      <c r="AB119" s="21"/>
      <c r="AC119" s="21"/>
      <c r="AD119" s="21"/>
      <c r="AE119" s="21"/>
      <c r="AF119" s="21" t="str">
        <f t="shared" si="8"/>
        <v>왕예빈</v>
      </c>
      <c r="AG119" s="49">
        <v>0.3</v>
      </c>
      <c r="AH119" s="49">
        <v>0.3</v>
      </c>
      <c r="AI119" s="21" t="str">
        <f t="shared" si="9"/>
        <v>왕예빈</v>
      </c>
      <c r="AJ119" s="49">
        <v>0.3</v>
      </c>
      <c r="AK119" s="49">
        <v>0.3</v>
      </c>
    </row>
    <row r="120" spans="1:37" ht="17.25" customHeight="1" x14ac:dyDescent="0.3">
      <c r="A120" s="72">
        <v>16</v>
      </c>
      <c r="B120" s="98" t="s">
        <v>65</v>
      </c>
      <c r="C120" s="99"/>
      <c r="D120" s="99"/>
      <c r="E120" s="99" t="s">
        <v>171</v>
      </c>
      <c r="F120" s="72" t="s">
        <v>72</v>
      </c>
      <c r="G120" s="100" t="s">
        <v>164</v>
      </c>
      <c r="H120" s="72"/>
      <c r="I120" s="72">
        <v>1.5</v>
      </c>
      <c r="J120" s="72">
        <v>1.5</v>
      </c>
      <c r="K120" s="72">
        <v>1.5</v>
      </c>
      <c r="L120" s="14">
        <f t="shared" si="10"/>
        <v>1</v>
      </c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  <c r="AA120" s="21"/>
      <c r="AB120" s="21"/>
      <c r="AC120" s="21"/>
      <c r="AD120" s="21"/>
      <c r="AE120" s="21"/>
      <c r="AF120" s="21" t="str">
        <f t="shared" si="8"/>
        <v>왕예빈</v>
      </c>
      <c r="AG120" s="49">
        <v>0.3</v>
      </c>
      <c r="AH120" s="49">
        <v>0.3</v>
      </c>
      <c r="AI120" s="21" t="str">
        <f t="shared" si="9"/>
        <v>왕예빈</v>
      </c>
      <c r="AJ120" s="49">
        <v>0.3</v>
      </c>
      <c r="AK120" s="49">
        <v>0.3</v>
      </c>
    </row>
    <row r="121" spans="1:37" ht="17.25" customHeight="1" x14ac:dyDescent="0.3">
      <c r="A121" s="72">
        <v>17</v>
      </c>
      <c r="B121" s="98" t="s">
        <v>65</v>
      </c>
      <c r="C121" s="99"/>
      <c r="D121" s="99" t="s">
        <v>172</v>
      </c>
      <c r="E121" s="99" t="s">
        <v>78</v>
      </c>
      <c r="F121" s="72" t="s">
        <v>7</v>
      </c>
      <c r="G121" s="100" t="s">
        <v>164</v>
      </c>
      <c r="H121" s="72"/>
      <c r="I121" s="72">
        <v>1</v>
      </c>
      <c r="J121" s="72">
        <v>1</v>
      </c>
      <c r="K121" s="72">
        <v>1</v>
      </c>
      <c r="L121" s="14">
        <f t="shared" si="10"/>
        <v>1</v>
      </c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  <c r="AA121" s="21"/>
      <c r="AB121" s="21"/>
      <c r="AC121" s="21"/>
      <c r="AD121" s="21"/>
      <c r="AE121" s="21"/>
      <c r="AF121" s="21" t="str">
        <f t="shared" si="8"/>
        <v>왕예빈</v>
      </c>
      <c r="AG121" s="49">
        <v>0.3</v>
      </c>
      <c r="AH121" s="49">
        <v>0.3</v>
      </c>
      <c r="AI121" s="21" t="str">
        <f t="shared" si="9"/>
        <v>왕예빈</v>
      </c>
      <c r="AJ121" s="49">
        <v>0.3</v>
      </c>
      <c r="AK121" s="49">
        <v>0.3</v>
      </c>
    </row>
    <row r="122" spans="1:37" ht="17.25" customHeight="1" x14ac:dyDescent="0.3">
      <c r="A122" s="72">
        <v>18</v>
      </c>
      <c r="B122" s="98" t="s">
        <v>65</v>
      </c>
      <c r="C122" s="99"/>
      <c r="D122" s="99"/>
      <c r="E122" s="99" t="s">
        <v>171</v>
      </c>
      <c r="F122" s="72" t="s">
        <v>72</v>
      </c>
      <c r="G122" s="100" t="s">
        <v>164</v>
      </c>
      <c r="H122" s="72"/>
      <c r="I122" s="72">
        <v>2.5</v>
      </c>
      <c r="J122" s="72">
        <v>2.5</v>
      </c>
      <c r="K122" s="72">
        <v>2.5</v>
      </c>
      <c r="L122" s="14">
        <f t="shared" si="10"/>
        <v>1</v>
      </c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  <c r="AA122" s="21"/>
      <c r="AB122" s="21"/>
      <c r="AC122" s="21"/>
      <c r="AD122" s="21"/>
      <c r="AE122" s="21"/>
      <c r="AF122" s="21" t="str">
        <f t="shared" si="8"/>
        <v>왕예빈</v>
      </c>
      <c r="AG122" s="49">
        <v>0.3</v>
      </c>
      <c r="AH122" s="49">
        <v>0.3</v>
      </c>
      <c r="AI122" s="21" t="str">
        <f t="shared" si="9"/>
        <v>왕예빈</v>
      </c>
      <c r="AJ122" s="49">
        <v>0.3</v>
      </c>
      <c r="AK122" s="49">
        <v>0.3</v>
      </c>
    </row>
    <row r="123" spans="1:37" ht="17.25" customHeight="1" x14ac:dyDescent="0.3">
      <c r="A123" s="72">
        <v>19</v>
      </c>
      <c r="B123" s="98" t="s">
        <v>65</v>
      </c>
      <c r="C123" s="99"/>
      <c r="D123" s="99"/>
      <c r="E123" s="99" t="s">
        <v>99</v>
      </c>
      <c r="F123" s="72" t="s">
        <v>128</v>
      </c>
      <c r="G123" s="100" t="s">
        <v>164</v>
      </c>
      <c r="H123" s="72"/>
      <c r="I123" s="72">
        <v>2</v>
      </c>
      <c r="J123" s="72">
        <v>2</v>
      </c>
      <c r="K123" s="72">
        <v>2</v>
      </c>
      <c r="L123" s="14">
        <f t="shared" si="10"/>
        <v>1</v>
      </c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  <c r="AA123" s="21"/>
      <c r="AB123" s="21"/>
      <c r="AC123" s="21"/>
      <c r="AD123" s="21"/>
      <c r="AE123" s="21"/>
      <c r="AF123" s="21" t="str">
        <f t="shared" si="8"/>
        <v>왕예빈</v>
      </c>
      <c r="AG123" s="49">
        <v>0.3</v>
      </c>
      <c r="AH123" s="49">
        <v>0.3</v>
      </c>
      <c r="AI123" s="21" t="str">
        <f t="shared" si="9"/>
        <v>왕예빈</v>
      </c>
      <c r="AJ123" s="49">
        <v>0.3</v>
      </c>
      <c r="AK123" s="49">
        <v>0.3</v>
      </c>
    </row>
    <row r="124" spans="1:37" ht="17.25" customHeight="1" x14ac:dyDescent="0.3">
      <c r="A124" s="72">
        <v>20</v>
      </c>
      <c r="B124" s="98" t="s">
        <v>65</v>
      </c>
      <c r="C124" s="99"/>
      <c r="D124" s="99" t="s">
        <v>173</v>
      </c>
      <c r="E124" s="99" t="s">
        <v>78</v>
      </c>
      <c r="F124" s="72" t="s">
        <v>98</v>
      </c>
      <c r="G124" s="136" t="s">
        <v>37</v>
      </c>
      <c r="H124" s="72"/>
      <c r="I124" s="72">
        <v>1</v>
      </c>
      <c r="J124" s="72">
        <v>1</v>
      </c>
      <c r="K124" s="72">
        <v>1</v>
      </c>
      <c r="L124" s="14">
        <f t="shared" si="10"/>
        <v>1</v>
      </c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  <c r="AA124" s="21"/>
      <c r="AB124" s="21"/>
      <c r="AC124" s="21"/>
      <c r="AD124" s="21"/>
      <c r="AE124" s="21"/>
      <c r="AF124" s="21" t="str">
        <f t="shared" si="8"/>
        <v>김정훈</v>
      </c>
      <c r="AG124" s="49">
        <v>0.3</v>
      </c>
      <c r="AH124" s="49">
        <v>0.3</v>
      </c>
      <c r="AI124" s="21" t="str">
        <f t="shared" si="9"/>
        <v>김정훈</v>
      </c>
      <c r="AJ124" s="49">
        <v>0.3</v>
      </c>
      <c r="AK124" s="49">
        <v>0.3</v>
      </c>
    </row>
    <row r="125" spans="1:37" ht="17.25" customHeight="1" x14ac:dyDescent="0.3">
      <c r="A125" s="72">
        <v>21</v>
      </c>
      <c r="B125" s="98" t="s">
        <v>65</v>
      </c>
      <c r="C125" s="99"/>
      <c r="D125" s="99"/>
      <c r="E125" s="99" t="s">
        <v>171</v>
      </c>
      <c r="F125" s="72" t="s">
        <v>72</v>
      </c>
      <c r="G125" s="136" t="s">
        <v>37</v>
      </c>
      <c r="H125" s="72"/>
      <c r="I125" s="72">
        <v>2</v>
      </c>
      <c r="J125" s="72">
        <v>2</v>
      </c>
      <c r="K125" s="72">
        <v>2</v>
      </c>
      <c r="L125" s="14">
        <f t="shared" si="10"/>
        <v>1</v>
      </c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  <c r="AA125" s="21"/>
      <c r="AB125" s="21"/>
      <c r="AC125" s="21"/>
      <c r="AD125" s="21"/>
      <c r="AE125" s="21"/>
      <c r="AF125" s="21" t="str">
        <f t="shared" si="8"/>
        <v>김정훈</v>
      </c>
      <c r="AG125" s="49">
        <v>0.3</v>
      </c>
      <c r="AH125" s="49">
        <v>0.3</v>
      </c>
      <c r="AI125" s="21" t="str">
        <f t="shared" si="9"/>
        <v>김정훈</v>
      </c>
      <c r="AJ125" s="49">
        <v>0.3</v>
      </c>
      <c r="AK125" s="49">
        <v>0.3</v>
      </c>
    </row>
    <row r="126" spans="1:37" ht="17.25" customHeight="1" x14ac:dyDescent="0.3">
      <c r="A126" s="72">
        <v>22</v>
      </c>
      <c r="B126" s="98" t="s">
        <v>65</v>
      </c>
      <c r="C126" s="99"/>
      <c r="D126" s="99"/>
      <c r="E126" s="99" t="s">
        <v>99</v>
      </c>
      <c r="F126" s="72" t="s">
        <v>72</v>
      </c>
      <c r="G126" s="136" t="s">
        <v>37</v>
      </c>
      <c r="H126" s="72"/>
      <c r="I126" s="72">
        <v>2</v>
      </c>
      <c r="J126" s="72">
        <v>2</v>
      </c>
      <c r="K126" s="72">
        <v>2</v>
      </c>
      <c r="L126" s="14">
        <f t="shared" si="10"/>
        <v>1</v>
      </c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  <c r="AA126" s="21"/>
      <c r="AB126" s="21"/>
      <c r="AC126" s="21"/>
      <c r="AD126" s="21"/>
      <c r="AE126" s="21"/>
      <c r="AF126" s="21" t="str">
        <f t="shared" si="8"/>
        <v>김정훈</v>
      </c>
      <c r="AG126" s="49">
        <v>0.3</v>
      </c>
      <c r="AH126" s="49">
        <v>0.3</v>
      </c>
      <c r="AI126" s="21" t="str">
        <f t="shared" si="9"/>
        <v>김정훈</v>
      </c>
      <c r="AJ126" s="49">
        <v>0.3</v>
      </c>
      <c r="AK126" s="49">
        <v>0.3</v>
      </c>
    </row>
    <row r="127" spans="1:37" ht="17.25" customHeight="1" x14ac:dyDescent="0.3">
      <c r="A127" s="72">
        <v>23</v>
      </c>
      <c r="B127" s="98" t="s">
        <v>65</v>
      </c>
      <c r="C127" s="99"/>
      <c r="D127" s="99"/>
      <c r="E127" s="99" t="s">
        <v>93</v>
      </c>
      <c r="F127" s="72" t="s">
        <v>72</v>
      </c>
      <c r="G127" s="136" t="s">
        <v>37</v>
      </c>
      <c r="H127" s="72"/>
      <c r="I127" s="72">
        <v>1</v>
      </c>
      <c r="J127" s="72">
        <v>1</v>
      </c>
      <c r="K127" s="72">
        <v>1</v>
      </c>
      <c r="L127" s="14">
        <f t="shared" si="10"/>
        <v>1</v>
      </c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  <c r="AA127" s="21"/>
      <c r="AB127" s="21"/>
      <c r="AC127" s="21"/>
      <c r="AD127" s="21"/>
      <c r="AE127" s="21"/>
      <c r="AF127" s="21" t="str">
        <f t="shared" si="8"/>
        <v>김정훈</v>
      </c>
      <c r="AG127" s="49">
        <v>0.3</v>
      </c>
      <c r="AH127" s="49">
        <v>0.3</v>
      </c>
      <c r="AI127" s="21" t="str">
        <f t="shared" si="9"/>
        <v>김정훈</v>
      </c>
      <c r="AJ127" s="49">
        <v>0.3</v>
      </c>
      <c r="AK127" s="49">
        <v>0.3</v>
      </c>
    </row>
    <row r="128" spans="1:37" ht="17.25" customHeight="1" x14ac:dyDescent="0.3">
      <c r="A128" s="72">
        <v>24</v>
      </c>
      <c r="B128" s="98" t="s">
        <v>65</v>
      </c>
      <c r="C128" s="99"/>
      <c r="D128" s="99" t="s">
        <v>174</v>
      </c>
      <c r="E128" s="99" t="s">
        <v>78</v>
      </c>
      <c r="F128" s="72" t="s">
        <v>98</v>
      </c>
      <c r="G128" s="136" t="s">
        <v>37</v>
      </c>
      <c r="H128" s="72"/>
      <c r="I128" s="72">
        <v>1</v>
      </c>
      <c r="J128" s="72">
        <v>1</v>
      </c>
      <c r="K128" s="72">
        <v>1</v>
      </c>
      <c r="L128" s="14">
        <f t="shared" si="10"/>
        <v>1</v>
      </c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  <c r="AA128" s="21"/>
      <c r="AB128" s="21"/>
      <c r="AC128" s="21"/>
      <c r="AD128" s="21"/>
      <c r="AE128" s="21"/>
      <c r="AF128" s="21" t="str">
        <f t="shared" si="8"/>
        <v>김정훈</v>
      </c>
      <c r="AG128" s="49">
        <v>0.3</v>
      </c>
      <c r="AH128" s="49">
        <v>0.3</v>
      </c>
      <c r="AI128" s="21" t="str">
        <f t="shared" si="9"/>
        <v>김정훈</v>
      </c>
      <c r="AJ128" s="49">
        <v>0.3</v>
      </c>
      <c r="AK128" s="49">
        <v>0.3</v>
      </c>
    </row>
    <row r="129" spans="1:37" ht="17.25" customHeight="1" x14ac:dyDescent="0.3">
      <c r="A129" s="72">
        <v>25</v>
      </c>
      <c r="B129" s="98" t="s">
        <v>65</v>
      </c>
      <c r="C129" s="99"/>
      <c r="D129" s="99"/>
      <c r="E129" s="99" t="s">
        <v>175</v>
      </c>
      <c r="F129" s="72" t="s">
        <v>72</v>
      </c>
      <c r="G129" s="136" t="s">
        <v>37</v>
      </c>
      <c r="H129" s="72"/>
      <c r="I129" s="72">
        <v>1</v>
      </c>
      <c r="J129" s="72">
        <v>1</v>
      </c>
      <c r="K129" s="72">
        <v>1</v>
      </c>
      <c r="L129" s="14">
        <f t="shared" si="10"/>
        <v>1</v>
      </c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  <c r="AA129" s="21"/>
      <c r="AB129" s="21"/>
      <c r="AC129" s="21"/>
      <c r="AD129" s="21"/>
      <c r="AE129" s="21"/>
      <c r="AF129" s="21" t="str">
        <f t="shared" si="8"/>
        <v>김정훈</v>
      </c>
      <c r="AG129" s="49">
        <v>0.3</v>
      </c>
      <c r="AH129" s="49">
        <v>0.3</v>
      </c>
      <c r="AI129" s="21" t="str">
        <f t="shared" si="9"/>
        <v>김정훈</v>
      </c>
      <c r="AJ129" s="49">
        <v>0.3</v>
      </c>
      <c r="AK129" s="49">
        <v>0.3</v>
      </c>
    </row>
    <row r="130" spans="1:37" ht="17.25" customHeight="1" x14ac:dyDescent="0.3">
      <c r="A130" s="72">
        <v>26</v>
      </c>
      <c r="B130" s="98" t="s">
        <v>65</v>
      </c>
      <c r="C130" s="99"/>
      <c r="D130" s="99" t="s">
        <v>176</v>
      </c>
      <c r="E130" s="99" t="s">
        <v>78</v>
      </c>
      <c r="F130" s="72" t="s">
        <v>98</v>
      </c>
      <c r="G130" s="136" t="s">
        <v>37</v>
      </c>
      <c r="H130" s="72"/>
      <c r="I130" s="72">
        <v>1</v>
      </c>
      <c r="J130" s="72">
        <v>1</v>
      </c>
      <c r="K130" s="72">
        <v>1</v>
      </c>
      <c r="L130" s="14">
        <f t="shared" si="10"/>
        <v>1</v>
      </c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  <c r="AA130" s="21"/>
      <c r="AB130" s="21"/>
      <c r="AC130" s="21"/>
      <c r="AD130" s="21"/>
      <c r="AE130" s="21"/>
      <c r="AF130" s="21" t="str">
        <f t="shared" si="8"/>
        <v>김정훈</v>
      </c>
      <c r="AG130" s="49">
        <v>0.3</v>
      </c>
      <c r="AH130" s="49">
        <v>0.3</v>
      </c>
      <c r="AI130" s="21" t="str">
        <f t="shared" si="9"/>
        <v>김정훈</v>
      </c>
      <c r="AJ130" s="49">
        <v>0.3</v>
      </c>
      <c r="AK130" s="49">
        <v>0.3</v>
      </c>
    </row>
    <row r="131" spans="1:37" ht="17.25" customHeight="1" x14ac:dyDescent="0.3">
      <c r="A131" s="72">
        <v>27</v>
      </c>
      <c r="B131" s="98" t="s">
        <v>65</v>
      </c>
      <c r="C131" s="99"/>
      <c r="D131" s="99" t="s">
        <v>177</v>
      </c>
      <c r="E131" s="99" t="s">
        <v>78</v>
      </c>
      <c r="F131" s="72" t="s">
        <v>98</v>
      </c>
      <c r="G131" s="136" t="s">
        <v>37</v>
      </c>
      <c r="H131" s="72"/>
      <c r="I131" s="72">
        <v>1</v>
      </c>
      <c r="J131" s="72">
        <v>1</v>
      </c>
      <c r="K131" s="72">
        <v>1</v>
      </c>
      <c r="L131" s="14">
        <f t="shared" si="10"/>
        <v>1</v>
      </c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  <c r="AA131" s="21"/>
      <c r="AB131" s="21"/>
      <c r="AC131" s="21"/>
      <c r="AD131" s="21"/>
      <c r="AE131" s="21"/>
      <c r="AF131" s="21" t="str">
        <f t="shared" si="8"/>
        <v>김정훈</v>
      </c>
      <c r="AG131" s="49">
        <v>0.3</v>
      </c>
      <c r="AH131" s="49">
        <v>0.3</v>
      </c>
      <c r="AI131" s="21" t="str">
        <f t="shared" si="9"/>
        <v>김정훈</v>
      </c>
      <c r="AJ131" s="49">
        <v>0.3</v>
      </c>
      <c r="AK131" s="49">
        <v>0.3</v>
      </c>
    </row>
    <row r="132" spans="1:37" ht="17.25" customHeight="1" x14ac:dyDescent="0.3">
      <c r="A132" s="72">
        <v>28</v>
      </c>
      <c r="B132" s="98" t="s">
        <v>65</v>
      </c>
      <c r="C132" s="99"/>
      <c r="D132" s="99"/>
      <c r="E132" s="99" t="s">
        <v>178</v>
      </c>
      <c r="F132" s="72" t="s">
        <v>72</v>
      </c>
      <c r="G132" s="136" t="s">
        <v>37</v>
      </c>
      <c r="H132" s="72"/>
      <c r="I132" s="72">
        <v>2</v>
      </c>
      <c r="J132" s="72">
        <v>2</v>
      </c>
      <c r="K132" s="72">
        <v>2</v>
      </c>
      <c r="L132" s="14">
        <f t="shared" si="10"/>
        <v>1</v>
      </c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  <c r="AA132" s="21"/>
      <c r="AB132" s="21"/>
      <c r="AC132" s="21"/>
      <c r="AD132" s="21"/>
      <c r="AE132" s="21"/>
      <c r="AF132" s="21" t="str">
        <f t="shared" si="8"/>
        <v>김정훈</v>
      </c>
      <c r="AG132" s="49">
        <v>0.3</v>
      </c>
      <c r="AH132" s="49">
        <v>0.3</v>
      </c>
      <c r="AI132" s="21" t="str">
        <f t="shared" si="9"/>
        <v>김정훈</v>
      </c>
      <c r="AJ132" s="49">
        <v>0.3</v>
      </c>
      <c r="AK132" s="49">
        <v>0.3</v>
      </c>
    </row>
    <row r="133" spans="1:37" ht="17.25" customHeight="1" x14ac:dyDescent="0.3">
      <c r="A133" s="72">
        <v>29</v>
      </c>
      <c r="B133" s="98" t="s">
        <v>65</v>
      </c>
      <c r="C133" s="99"/>
      <c r="D133" s="99"/>
      <c r="E133" s="99" t="s">
        <v>179</v>
      </c>
      <c r="F133" s="72" t="s">
        <v>72</v>
      </c>
      <c r="G133" s="136" t="s">
        <v>37</v>
      </c>
      <c r="H133" s="72"/>
      <c r="I133" s="72">
        <v>3</v>
      </c>
      <c r="J133" s="72">
        <v>3</v>
      </c>
      <c r="K133" s="72">
        <v>3</v>
      </c>
      <c r="L133" s="14">
        <f t="shared" si="10"/>
        <v>1</v>
      </c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  <c r="AA133" s="21"/>
      <c r="AB133" s="21"/>
      <c r="AC133" s="21"/>
      <c r="AD133" s="21"/>
      <c r="AE133" s="21"/>
      <c r="AF133" s="21" t="str">
        <f t="shared" si="8"/>
        <v>김정훈</v>
      </c>
      <c r="AG133" s="49">
        <v>0.3</v>
      </c>
      <c r="AH133" s="49">
        <v>0.3</v>
      </c>
      <c r="AI133" s="21" t="str">
        <f t="shared" si="9"/>
        <v>김정훈</v>
      </c>
      <c r="AJ133" s="49">
        <v>0.3</v>
      </c>
      <c r="AK133" s="49">
        <v>0.3</v>
      </c>
    </row>
    <row r="134" spans="1:37" ht="17.25" customHeight="1" x14ac:dyDescent="0.3">
      <c r="A134" s="148" t="s">
        <v>65</v>
      </c>
      <c r="B134" s="149"/>
      <c r="C134" s="101" t="s">
        <v>180</v>
      </c>
      <c r="D134" s="102"/>
      <c r="E134" s="103"/>
      <c r="F134" s="104"/>
      <c r="G134" s="105"/>
      <c r="H134" s="106"/>
      <c r="I134" s="71">
        <f>SUM(I135:I145)</f>
        <v>6</v>
      </c>
      <c r="J134" s="71">
        <f>SUM(J135:J145)</f>
        <v>6</v>
      </c>
      <c r="K134" s="71">
        <f>SUM(K135:K145)</f>
        <v>6</v>
      </c>
      <c r="L134" s="105"/>
      <c r="M134" s="118"/>
      <c r="N134" s="118"/>
      <c r="O134" s="118"/>
      <c r="P134" s="118"/>
      <c r="Q134" s="118"/>
      <c r="R134" s="118"/>
      <c r="S134" s="118"/>
      <c r="T134" s="118"/>
      <c r="U134" s="118"/>
      <c r="V134" s="118"/>
      <c r="W134" s="118"/>
      <c r="X134" s="118"/>
      <c r="Y134" s="118"/>
      <c r="Z134" s="118"/>
      <c r="AA134" s="118"/>
      <c r="AB134" s="118"/>
      <c r="AC134" s="118"/>
      <c r="AD134" s="118"/>
      <c r="AE134" s="118"/>
      <c r="AF134" s="118"/>
      <c r="AG134" s="38">
        <f>SUM(AG135:AG145)</f>
        <v>3.2999999999999994</v>
      </c>
      <c r="AH134" s="38">
        <f>SUM(AH135:AH145)</f>
        <v>3.2999999999999994</v>
      </c>
      <c r="AI134" s="118"/>
      <c r="AJ134" s="38">
        <f>SUM(AJ135:AJ145)</f>
        <v>3.2999999999999994</v>
      </c>
      <c r="AK134" s="38">
        <f>SUM(AK135:AK145)</f>
        <v>3.2999999999999994</v>
      </c>
    </row>
    <row r="135" spans="1:37" ht="17.25" customHeight="1" x14ac:dyDescent="0.25">
      <c r="A135" s="41" t="s">
        <v>18</v>
      </c>
      <c r="B135" s="41" t="s">
        <v>65</v>
      </c>
      <c r="C135" s="57"/>
      <c r="D135" s="82" t="s">
        <v>181</v>
      </c>
      <c r="E135" s="107" t="s">
        <v>67</v>
      </c>
      <c r="F135" s="52" t="s">
        <v>7</v>
      </c>
      <c r="G135" s="137" t="s">
        <v>182</v>
      </c>
      <c r="H135" s="72"/>
      <c r="I135" s="72">
        <v>0.5</v>
      </c>
      <c r="J135" s="72">
        <v>0.5</v>
      </c>
      <c r="K135" s="72">
        <v>0.5</v>
      </c>
      <c r="L135" s="14">
        <f t="shared" si="10"/>
        <v>1</v>
      </c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  <c r="AA135" s="21"/>
      <c r="AB135" s="21"/>
      <c r="AC135" s="21"/>
      <c r="AD135" s="21"/>
      <c r="AE135" s="21"/>
      <c r="AF135" s="21" t="str">
        <f t="shared" ref="AF135:AF197" si="11">G135</f>
        <v>이은복</v>
      </c>
      <c r="AG135" s="49">
        <v>0.3</v>
      </c>
      <c r="AH135" s="49">
        <v>0.3</v>
      </c>
      <c r="AI135" s="21" t="str">
        <f t="shared" ref="AI135:AI197" si="12">G135</f>
        <v>이은복</v>
      </c>
      <c r="AJ135" s="49">
        <v>0.3</v>
      </c>
      <c r="AK135" s="49">
        <v>0.3</v>
      </c>
    </row>
    <row r="136" spans="1:37" ht="17.25" customHeight="1" x14ac:dyDescent="0.25">
      <c r="A136" s="108" t="s">
        <v>45</v>
      </c>
      <c r="B136" s="41" t="s">
        <v>65</v>
      </c>
      <c r="C136" s="57"/>
      <c r="D136" s="77"/>
      <c r="E136" s="57" t="s">
        <v>159</v>
      </c>
      <c r="F136" s="50" t="s">
        <v>72</v>
      </c>
      <c r="G136" s="137" t="s">
        <v>182</v>
      </c>
      <c r="H136" s="72"/>
      <c r="I136" s="72">
        <v>0.5</v>
      </c>
      <c r="J136" s="72">
        <v>0.5</v>
      </c>
      <c r="K136" s="72">
        <v>0.5</v>
      </c>
      <c r="L136" s="14">
        <f t="shared" si="10"/>
        <v>1</v>
      </c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  <c r="AA136" s="21"/>
      <c r="AB136" s="21"/>
      <c r="AC136" s="21"/>
      <c r="AD136" s="21"/>
      <c r="AE136" s="21"/>
      <c r="AF136" s="21" t="str">
        <f t="shared" si="11"/>
        <v>이은복</v>
      </c>
      <c r="AG136" s="49">
        <v>0.3</v>
      </c>
      <c r="AH136" s="49">
        <v>0.3</v>
      </c>
      <c r="AI136" s="21" t="str">
        <f t="shared" si="12"/>
        <v>이은복</v>
      </c>
      <c r="AJ136" s="49">
        <v>0.3</v>
      </c>
      <c r="AK136" s="49">
        <v>0.3</v>
      </c>
    </row>
    <row r="137" spans="1:37" ht="17.25" customHeight="1" x14ac:dyDescent="0.25">
      <c r="A137" s="41" t="s">
        <v>9</v>
      </c>
      <c r="B137" s="41" t="s">
        <v>65</v>
      </c>
      <c r="C137" s="57"/>
      <c r="D137" s="82" t="s">
        <v>183</v>
      </c>
      <c r="E137" s="107" t="s">
        <v>67</v>
      </c>
      <c r="F137" s="52" t="s">
        <v>7</v>
      </c>
      <c r="G137" s="137" t="s">
        <v>182</v>
      </c>
      <c r="H137" s="72"/>
      <c r="I137" s="72">
        <v>0.5</v>
      </c>
      <c r="J137" s="72">
        <v>0.5</v>
      </c>
      <c r="K137" s="72">
        <v>0.5</v>
      </c>
      <c r="L137" s="14">
        <f t="shared" si="10"/>
        <v>1</v>
      </c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  <c r="AA137" s="21"/>
      <c r="AB137" s="21"/>
      <c r="AC137" s="21"/>
      <c r="AD137" s="21"/>
      <c r="AE137" s="21"/>
      <c r="AF137" s="21" t="str">
        <f t="shared" si="11"/>
        <v>이은복</v>
      </c>
      <c r="AG137" s="49">
        <v>0.3</v>
      </c>
      <c r="AH137" s="49">
        <v>0.3</v>
      </c>
      <c r="AI137" s="21" t="str">
        <f t="shared" si="12"/>
        <v>이은복</v>
      </c>
      <c r="AJ137" s="49">
        <v>0.3</v>
      </c>
      <c r="AK137" s="49">
        <v>0.3</v>
      </c>
    </row>
    <row r="138" spans="1:37" ht="17.25" customHeight="1" x14ac:dyDescent="0.25">
      <c r="A138" s="108" t="s">
        <v>10</v>
      </c>
      <c r="B138" s="41" t="s">
        <v>65</v>
      </c>
      <c r="C138" s="57"/>
      <c r="D138" s="77"/>
      <c r="E138" s="57" t="s">
        <v>184</v>
      </c>
      <c r="F138" s="50" t="s">
        <v>72</v>
      </c>
      <c r="G138" s="137" t="s">
        <v>182</v>
      </c>
      <c r="H138" s="72"/>
      <c r="I138" s="72">
        <v>0.5</v>
      </c>
      <c r="J138" s="72">
        <v>0.5</v>
      </c>
      <c r="K138" s="72">
        <v>0.5</v>
      </c>
      <c r="L138" s="14">
        <f t="shared" si="10"/>
        <v>1</v>
      </c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  <c r="AA138" s="21"/>
      <c r="AB138" s="21"/>
      <c r="AC138" s="21"/>
      <c r="AD138" s="21"/>
      <c r="AE138" s="21"/>
      <c r="AF138" s="21" t="str">
        <f t="shared" si="11"/>
        <v>이은복</v>
      </c>
      <c r="AG138" s="49">
        <v>0.3</v>
      </c>
      <c r="AH138" s="49">
        <v>0.3</v>
      </c>
      <c r="AI138" s="21" t="str">
        <f t="shared" si="12"/>
        <v>이은복</v>
      </c>
      <c r="AJ138" s="49">
        <v>0.3</v>
      </c>
      <c r="AK138" s="49">
        <v>0.3</v>
      </c>
    </row>
    <row r="139" spans="1:37" ht="17.25" customHeight="1" x14ac:dyDescent="0.25">
      <c r="A139" s="41" t="s">
        <v>11</v>
      </c>
      <c r="B139" s="41" t="s">
        <v>65</v>
      </c>
      <c r="C139" s="57"/>
      <c r="D139" s="82" t="s">
        <v>185</v>
      </c>
      <c r="E139" s="107" t="s">
        <v>67</v>
      </c>
      <c r="F139" s="52" t="s">
        <v>7</v>
      </c>
      <c r="G139" s="137" t="s">
        <v>182</v>
      </c>
      <c r="H139" s="72"/>
      <c r="I139" s="72">
        <v>0.5</v>
      </c>
      <c r="J139" s="72">
        <v>0.5</v>
      </c>
      <c r="K139" s="72">
        <v>0.5</v>
      </c>
      <c r="L139" s="14">
        <f t="shared" si="10"/>
        <v>1</v>
      </c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  <c r="AA139" s="21"/>
      <c r="AB139" s="21"/>
      <c r="AC139" s="21"/>
      <c r="AD139" s="21"/>
      <c r="AE139" s="21"/>
      <c r="AF139" s="21" t="str">
        <f t="shared" si="11"/>
        <v>이은복</v>
      </c>
      <c r="AG139" s="49">
        <v>0.3</v>
      </c>
      <c r="AH139" s="49">
        <v>0.3</v>
      </c>
      <c r="AI139" s="21" t="str">
        <f t="shared" si="12"/>
        <v>이은복</v>
      </c>
      <c r="AJ139" s="49">
        <v>0.3</v>
      </c>
      <c r="AK139" s="49">
        <v>0.3</v>
      </c>
    </row>
    <row r="140" spans="1:37" ht="17.25" customHeight="1" x14ac:dyDescent="0.25">
      <c r="A140" s="108" t="s">
        <v>12</v>
      </c>
      <c r="B140" s="41" t="s">
        <v>65</v>
      </c>
      <c r="C140" s="57"/>
      <c r="D140" s="77"/>
      <c r="E140" s="57" t="s">
        <v>186</v>
      </c>
      <c r="F140" s="50" t="s">
        <v>72</v>
      </c>
      <c r="G140" s="137" t="s">
        <v>182</v>
      </c>
      <c r="H140" s="72"/>
      <c r="I140" s="72">
        <v>0.5</v>
      </c>
      <c r="J140" s="72">
        <v>0.5</v>
      </c>
      <c r="K140" s="72">
        <v>0.5</v>
      </c>
      <c r="L140" s="14">
        <f t="shared" si="10"/>
        <v>1</v>
      </c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  <c r="AA140" s="21"/>
      <c r="AB140" s="21"/>
      <c r="AC140" s="21"/>
      <c r="AD140" s="21"/>
      <c r="AE140" s="21"/>
      <c r="AF140" s="21" t="str">
        <f t="shared" si="11"/>
        <v>이은복</v>
      </c>
      <c r="AG140" s="49">
        <v>0.3</v>
      </c>
      <c r="AH140" s="49">
        <v>0.3</v>
      </c>
      <c r="AI140" s="21" t="str">
        <f t="shared" si="12"/>
        <v>이은복</v>
      </c>
      <c r="AJ140" s="49">
        <v>0.3</v>
      </c>
      <c r="AK140" s="49">
        <v>0.3</v>
      </c>
    </row>
    <row r="141" spans="1:37" ht="17.25" customHeight="1" x14ac:dyDescent="0.25">
      <c r="A141" s="41" t="s">
        <v>13</v>
      </c>
      <c r="B141" s="41" t="s">
        <v>65</v>
      </c>
      <c r="C141" s="57"/>
      <c r="D141" s="77"/>
      <c r="E141" s="57" t="s">
        <v>187</v>
      </c>
      <c r="F141" s="50" t="s">
        <v>72</v>
      </c>
      <c r="G141" s="137" t="s">
        <v>182</v>
      </c>
      <c r="H141" s="72"/>
      <c r="I141" s="72">
        <v>1</v>
      </c>
      <c r="J141" s="72">
        <v>1</v>
      </c>
      <c r="K141" s="72">
        <v>1</v>
      </c>
      <c r="L141" s="14">
        <f t="shared" si="10"/>
        <v>1</v>
      </c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  <c r="AA141" s="21"/>
      <c r="AB141" s="21"/>
      <c r="AC141" s="21"/>
      <c r="AD141" s="21"/>
      <c r="AE141" s="21"/>
      <c r="AF141" s="21" t="str">
        <f t="shared" si="11"/>
        <v>이은복</v>
      </c>
      <c r="AG141" s="49">
        <v>0.3</v>
      </c>
      <c r="AH141" s="49">
        <v>0.3</v>
      </c>
      <c r="AI141" s="21" t="str">
        <f t="shared" si="12"/>
        <v>이은복</v>
      </c>
      <c r="AJ141" s="49">
        <v>0.3</v>
      </c>
      <c r="AK141" s="49">
        <v>0.3</v>
      </c>
    </row>
    <row r="142" spans="1:37" ht="17.25" customHeight="1" x14ac:dyDescent="0.25">
      <c r="A142" s="108" t="s">
        <v>33</v>
      </c>
      <c r="B142" s="41" t="s">
        <v>65</v>
      </c>
      <c r="C142" s="57"/>
      <c r="D142" s="82" t="s">
        <v>188</v>
      </c>
      <c r="E142" s="107" t="s">
        <v>67</v>
      </c>
      <c r="F142" s="52" t="s">
        <v>7</v>
      </c>
      <c r="G142" s="137" t="s">
        <v>182</v>
      </c>
      <c r="H142" s="72"/>
      <c r="I142" s="72">
        <v>0.5</v>
      </c>
      <c r="J142" s="72">
        <v>0.5</v>
      </c>
      <c r="K142" s="72">
        <v>0.5</v>
      </c>
      <c r="L142" s="14">
        <f t="shared" si="10"/>
        <v>1</v>
      </c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  <c r="AA142" s="21"/>
      <c r="AB142" s="21"/>
      <c r="AC142" s="21"/>
      <c r="AD142" s="21"/>
      <c r="AE142" s="21"/>
      <c r="AF142" s="21" t="str">
        <f t="shared" si="11"/>
        <v>이은복</v>
      </c>
      <c r="AG142" s="49">
        <v>0.3</v>
      </c>
      <c r="AH142" s="49">
        <v>0.3</v>
      </c>
      <c r="AI142" s="21" t="str">
        <f t="shared" si="12"/>
        <v>이은복</v>
      </c>
      <c r="AJ142" s="49">
        <v>0.3</v>
      </c>
      <c r="AK142" s="49">
        <v>0.3</v>
      </c>
    </row>
    <row r="143" spans="1:37" ht="17.25" customHeight="1" x14ac:dyDescent="0.25">
      <c r="A143" s="41" t="s">
        <v>14</v>
      </c>
      <c r="B143" s="41" t="s">
        <v>65</v>
      </c>
      <c r="C143" s="57"/>
      <c r="D143" s="77"/>
      <c r="E143" s="57" t="s">
        <v>189</v>
      </c>
      <c r="F143" s="50" t="s">
        <v>72</v>
      </c>
      <c r="G143" s="137" t="s">
        <v>182</v>
      </c>
      <c r="H143" s="72"/>
      <c r="I143" s="72">
        <v>0.5</v>
      </c>
      <c r="J143" s="72">
        <v>0.5</v>
      </c>
      <c r="K143" s="72">
        <v>0.5</v>
      </c>
      <c r="L143" s="14">
        <f t="shared" si="10"/>
        <v>1</v>
      </c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  <c r="AA143" s="21"/>
      <c r="AB143" s="21"/>
      <c r="AC143" s="21"/>
      <c r="AD143" s="21"/>
      <c r="AE143" s="21"/>
      <c r="AF143" s="21" t="str">
        <f t="shared" si="11"/>
        <v>이은복</v>
      </c>
      <c r="AG143" s="49">
        <v>0.3</v>
      </c>
      <c r="AH143" s="49">
        <v>0.3</v>
      </c>
      <c r="AI143" s="21" t="str">
        <f t="shared" si="12"/>
        <v>이은복</v>
      </c>
      <c r="AJ143" s="49">
        <v>0.3</v>
      </c>
      <c r="AK143" s="49">
        <v>0.3</v>
      </c>
    </row>
    <row r="144" spans="1:37" ht="17.25" customHeight="1" x14ac:dyDescent="0.25">
      <c r="A144" s="108" t="s">
        <v>15</v>
      </c>
      <c r="B144" s="41" t="s">
        <v>65</v>
      </c>
      <c r="C144" s="57"/>
      <c r="D144" s="82" t="s">
        <v>190</v>
      </c>
      <c r="E144" s="107" t="s">
        <v>67</v>
      </c>
      <c r="F144" s="52" t="s">
        <v>7</v>
      </c>
      <c r="G144" s="137" t="s">
        <v>182</v>
      </c>
      <c r="H144" s="72"/>
      <c r="I144" s="72">
        <v>0.5</v>
      </c>
      <c r="J144" s="72">
        <v>0.5</v>
      </c>
      <c r="K144" s="72">
        <v>0.5</v>
      </c>
      <c r="L144" s="14">
        <f t="shared" si="10"/>
        <v>1</v>
      </c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  <c r="AA144" s="21"/>
      <c r="AB144" s="21"/>
      <c r="AC144" s="21"/>
      <c r="AD144" s="21"/>
      <c r="AE144" s="21"/>
      <c r="AF144" s="21" t="str">
        <f t="shared" si="11"/>
        <v>이은복</v>
      </c>
      <c r="AG144" s="49">
        <v>0.3</v>
      </c>
      <c r="AH144" s="49">
        <v>0.3</v>
      </c>
      <c r="AI144" s="21" t="str">
        <f t="shared" si="12"/>
        <v>이은복</v>
      </c>
      <c r="AJ144" s="49">
        <v>0.3</v>
      </c>
      <c r="AK144" s="49">
        <v>0.3</v>
      </c>
    </row>
    <row r="145" spans="1:37" ht="17.25" customHeight="1" x14ac:dyDescent="0.25">
      <c r="A145" s="41" t="s">
        <v>16</v>
      </c>
      <c r="B145" s="41" t="s">
        <v>65</v>
      </c>
      <c r="C145" s="57"/>
      <c r="D145" s="77"/>
      <c r="E145" s="57" t="s">
        <v>159</v>
      </c>
      <c r="F145" s="50" t="s">
        <v>72</v>
      </c>
      <c r="G145" s="137" t="s">
        <v>182</v>
      </c>
      <c r="H145" s="72"/>
      <c r="I145" s="72">
        <v>0.5</v>
      </c>
      <c r="J145" s="72">
        <v>0.5</v>
      </c>
      <c r="K145" s="72">
        <v>0.5</v>
      </c>
      <c r="L145" s="14">
        <f t="shared" si="10"/>
        <v>1</v>
      </c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  <c r="AA145" s="21"/>
      <c r="AB145" s="21"/>
      <c r="AC145" s="21"/>
      <c r="AD145" s="21"/>
      <c r="AE145" s="21"/>
      <c r="AF145" s="21" t="str">
        <f t="shared" si="11"/>
        <v>이은복</v>
      </c>
      <c r="AG145" s="49">
        <v>0.3</v>
      </c>
      <c r="AH145" s="49">
        <v>0.3</v>
      </c>
      <c r="AI145" s="21" t="str">
        <f t="shared" si="12"/>
        <v>이은복</v>
      </c>
      <c r="AJ145" s="49">
        <v>0.3</v>
      </c>
      <c r="AK145" s="49">
        <v>0.3</v>
      </c>
    </row>
    <row r="146" spans="1:37" ht="17.25" customHeight="1" x14ac:dyDescent="0.3">
      <c r="A146" s="148" t="s">
        <v>65</v>
      </c>
      <c r="B146" s="149"/>
      <c r="C146" s="101" t="s">
        <v>191</v>
      </c>
      <c r="D146" s="102"/>
      <c r="E146" s="103"/>
      <c r="F146" s="104"/>
      <c r="G146" s="118"/>
      <c r="H146" s="106"/>
      <c r="I146" s="71">
        <f>SUM(I147:I149)</f>
        <v>1.5</v>
      </c>
      <c r="J146" s="71">
        <f>SUM(J147:J149)</f>
        <v>1.5</v>
      </c>
      <c r="K146" s="71">
        <f>SUM(K147:K149)</f>
        <v>1.5</v>
      </c>
      <c r="L146" s="105"/>
      <c r="M146" s="118"/>
      <c r="N146" s="118"/>
      <c r="O146" s="118"/>
      <c r="P146" s="118"/>
      <c r="Q146" s="118"/>
      <c r="R146" s="118"/>
      <c r="S146" s="118"/>
      <c r="T146" s="118"/>
      <c r="U146" s="118"/>
      <c r="V146" s="118"/>
      <c r="W146" s="118"/>
      <c r="X146" s="118"/>
      <c r="Y146" s="118"/>
      <c r="Z146" s="118"/>
      <c r="AA146" s="118"/>
      <c r="AB146" s="118"/>
      <c r="AC146" s="118"/>
      <c r="AD146" s="118"/>
      <c r="AE146" s="118"/>
      <c r="AF146" s="118"/>
      <c r="AG146" s="38">
        <f>SUM(AG147:AG149)</f>
        <v>0.89999999999999991</v>
      </c>
      <c r="AH146" s="38">
        <f>SUM(AH147:AH149)</f>
        <v>0.89999999999999991</v>
      </c>
      <c r="AI146" s="118"/>
      <c r="AJ146" s="38">
        <f>SUM(AJ147:AJ149)</f>
        <v>0.89999999999999991</v>
      </c>
      <c r="AK146" s="38">
        <f>SUM(AK147:AK149)</f>
        <v>0.89999999999999991</v>
      </c>
    </row>
    <row r="147" spans="1:37" ht="17.25" customHeight="1" x14ac:dyDescent="0.25">
      <c r="A147" s="41" t="s">
        <v>17</v>
      </c>
      <c r="B147" s="41" t="s">
        <v>65</v>
      </c>
      <c r="C147" s="57"/>
      <c r="D147" s="77" t="s">
        <v>192</v>
      </c>
      <c r="E147" s="57" t="s">
        <v>78</v>
      </c>
      <c r="F147" s="50" t="s">
        <v>7</v>
      </c>
      <c r="G147" s="137" t="s">
        <v>182</v>
      </c>
      <c r="H147" s="72"/>
      <c r="I147" s="72">
        <v>0.5</v>
      </c>
      <c r="J147" s="72">
        <v>0.5</v>
      </c>
      <c r="K147" s="72">
        <v>0.5</v>
      </c>
      <c r="L147" s="14">
        <f t="shared" si="10"/>
        <v>1</v>
      </c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  <c r="AA147" s="21"/>
      <c r="AB147" s="21"/>
      <c r="AC147" s="21"/>
      <c r="AD147" s="21"/>
      <c r="AE147" s="21"/>
      <c r="AF147" s="21" t="str">
        <f t="shared" si="11"/>
        <v>이은복</v>
      </c>
      <c r="AG147" s="49">
        <v>0.3</v>
      </c>
      <c r="AH147" s="49">
        <v>0.3</v>
      </c>
      <c r="AI147" s="21" t="str">
        <f t="shared" si="12"/>
        <v>이은복</v>
      </c>
      <c r="AJ147" s="49">
        <v>0.3</v>
      </c>
      <c r="AK147" s="49">
        <v>0.3</v>
      </c>
    </row>
    <row r="148" spans="1:37" ht="17.25" customHeight="1" x14ac:dyDescent="0.25">
      <c r="A148" s="108" t="s">
        <v>45</v>
      </c>
      <c r="B148" s="41" t="s">
        <v>65</v>
      </c>
      <c r="C148" s="57"/>
      <c r="D148" s="77" t="s">
        <v>193</v>
      </c>
      <c r="E148" s="57" t="s">
        <v>78</v>
      </c>
      <c r="F148" s="50" t="s">
        <v>7</v>
      </c>
      <c r="G148" s="137" t="s">
        <v>182</v>
      </c>
      <c r="H148" s="72"/>
      <c r="I148" s="72">
        <v>0.5</v>
      </c>
      <c r="J148" s="72">
        <v>0.5</v>
      </c>
      <c r="K148" s="72">
        <v>0.5</v>
      </c>
      <c r="L148" s="14">
        <f t="shared" si="10"/>
        <v>1</v>
      </c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  <c r="AA148" s="21"/>
      <c r="AB148" s="21"/>
      <c r="AC148" s="21"/>
      <c r="AD148" s="21"/>
      <c r="AE148" s="21"/>
      <c r="AF148" s="21" t="str">
        <f t="shared" si="11"/>
        <v>이은복</v>
      </c>
      <c r="AG148" s="49">
        <v>0.3</v>
      </c>
      <c r="AH148" s="49">
        <v>0.3</v>
      </c>
      <c r="AI148" s="21" t="str">
        <f t="shared" si="12"/>
        <v>이은복</v>
      </c>
      <c r="AJ148" s="49">
        <v>0.3</v>
      </c>
      <c r="AK148" s="49">
        <v>0.3</v>
      </c>
    </row>
    <row r="149" spans="1:37" ht="17.25" customHeight="1" x14ac:dyDescent="0.25">
      <c r="A149" s="41" t="s">
        <v>194</v>
      </c>
      <c r="B149" s="41" t="s">
        <v>65</v>
      </c>
      <c r="C149" s="57"/>
      <c r="D149" s="77" t="s">
        <v>195</v>
      </c>
      <c r="E149" s="57" t="s">
        <v>78</v>
      </c>
      <c r="F149" s="50" t="s">
        <v>7</v>
      </c>
      <c r="G149" s="137" t="s">
        <v>182</v>
      </c>
      <c r="H149" s="72"/>
      <c r="I149" s="72">
        <v>0.5</v>
      </c>
      <c r="J149" s="72">
        <v>0.5</v>
      </c>
      <c r="K149" s="72">
        <v>0.5</v>
      </c>
      <c r="L149" s="14">
        <f t="shared" si="10"/>
        <v>1</v>
      </c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  <c r="AA149" s="21"/>
      <c r="AB149" s="21"/>
      <c r="AC149" s="21"/>
      <c r="AD149" s="21"/>
      <c r="AE149" s="21"/>
      <c r="AF149" s="21" t="str">
        <f t="shared" si="11"/>
        <v>이은복</v>
      </c>
      <c r="AG149" s="49">
        <v>0.3</v>
      </c>
      <c r="AH149" s="49">
        <v>0.3</v>
      </c>
      <c r="AI149" s="21" t="str">
        <f t="shared" si="12"/>
        <v>이은복</v>
      </c>
      <c r="AJ149" s="49">
        <v>0.3</v>
      </c>
      <c r="AK149" s="49">
        <v>0.3</v>
      </c>
    </row>
    <row r="150" spans="1:37" ht="17.25" customHeight="1" x14ac:dyDescent="0.3">
      <c r="A150" s="144" t="s">
        <v>28</v>
      </c>
      <c r="B150" s="145"/>
      <c r="C150" s="34" t="s">
        <v>196</v>
      </c>
      <c r="D150" s="109"/>
      <c r="E150" s="110"/>
      <c r="F150" s="111"/>
      <c r="G150" s="38"/>
      <c r="H150" s="112"/>
      <c r="I150" s="113">
        <f>SUM(I151:I158)</f>
        <v>5</v>
      </c>
      <c r="J150" s="113">
        <f>SUM(J151:J158)</f>
        <v>5</v>
      </c>
      <c r="K150" s="113">
        <f>SUM(K151:K158)</f>
        <v>5</v>
      </c>
      <c r="L150" s="134"/>
      <c r="M150" s="118"/>
      <c r="N150" s="118"/>
      <c r="O150" s="118"/>
      <c r="P150" s="118"/>
      <c r="Q150" s="118"/>
      <c r="R150" s="118"/>
      <c r="S150" s="118"/>
      <c r="T150" s="118"/>
      <c r="U150" s="118"/>
      <c r="V150" s="118"/>
      <c r="W150" s="118"/>
      <c r="X150" s="118"/>
      <c r="Y150" s="118"/>
      <c r="Z150" s="118"/>
      <c r="AA150" s="118"/>
      <c r="AB150" s="118"/>
      <c r="AC150" s="118"/>
      <c r="AD150" s="118"/>
      <c r="AE150" s="118"/>
      <c r="AF150" s="118"/>
      <c r="AG150" s="38">
        <f>SUM(AG151:AG158)</f>
        <v>2.4</v>
      </c>
      <c r="AH150" s="38">
        <f>SUM(AH151:AH158)</f>
        <v>2.4</v>
      </c>
      <c r="AI150" s="118"/>
      <c r="AJ150" s="38">
        <f>SUM(AJ151:AJ158)</f>
        <v>2.4</v>
      </c>
      <c r="AK150" s="38">
        <f>SUM(AK151:AK158)</f>
        <v>2.4</v>
      </c>
    </row>
    <row r="151" spans="1:37" ht="17.25" customHeight="1" x14ac:dyDescent="0.3">
      <c r="A151" s="41" t="s">
        <v>18</v>
      </c>
      <c r="B151" s="41" t="s">
        <v>28</v>
      </c>
      <c r="C151" s="57"/>
      <c r="D151" s="82" t="s">
        <v>197</v>
      </c>
      <c r="E151" s="114" t="s">
        <v>198</v>
      </c>
      <c r="F151" s="46" t="s">
        <v>7</v>
      </c>
      <c r="G151" s="115" t="s">
        <v>41</v>
      </c>
      <c r="H151" s="51"/>
      <c r="I151" s="89">
        <v>0.5</v>
      </c>
      <c r="J151" s="89">
        <v>0.5</v>
      </c>
      <c r="K151" s="72">
        <v>0.5</v>
      </c>
      <c r="L151" s="14">
        <f t="shared" si="10"/>
        <v>1</v>
      </c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  <c r="AA151" s="21"/>
      <c r="AB151" s="21"/>
      <c r="AC151" s="21"/>
      <c r="AD151" s="21"/>
      <c r="AE151" s="21"/>
      <c r="AF151" s="21" t="str">
        <f t="shared" si="11"/>
        <v>전민주</v>
      </c>
      <c r="AG151" s="49">
        <v>0.3</v>
      </c>
      <c r="AH151" s="49">
        <v>0.3</v>
      </c>
      <c r="AI151" s="21" t="str">
        <f t="shared" si="12"/>
        <v>전민주</v>
      </c>
      <c r="AJ151" s="49">
        <v>0.3</v>
      </c>
      <c r="AK151" s="49">
        <v>0.3</v>
      </c>
    </row>
    <row r="152" spans="1:37" ht="17.25" customHeight="1" x14ac:dyDescent="0.3">
      <c r="A152" s="41" t="s">
        <v>199</v>
      </c>
      <c r="B152" s="41" t="s">
        <v>28</v>
      </c>
      <c r="C152" s="57"/>
      <c r="D152" s="77" t="s">
        <v>200</v>
      </c>
      <c r="E152" s="99" t="s">
        <v>200</v>
      </c>
      <c r="F152" s="73" t="s">
        <v>72</v>
      </c>
      <c r="G152" s="115" t="s">
        <v>41</v>
      </c>
      <c r="H152" s="72"/>
      <c r="I152" s="72">
        <v>0.5</v>
      </c>
      <c r="J152" s="72">
        <v>0.5</v>
      </c>
      <c r="K152" s="72">
        <v>0.5</v>
      </c>
      <c r="L152" s="14">
        <f t="shared" si="10"/>
        <v>1</v>
      </c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  <c r="AA152" s="21"/>
      <c r="AB152" s="21"/>
      <c r="AC152" s="21"/>
      <c r="AD152" s="21"/>
      <c r="AE152" s="21"/>
      <c r="AF152" s="21" t="str">
        <f t="shared" si="11"/>
        <v>전민주</v>
      </c>
      <c r="AG152" s="49">
        <v>0.3</v>
      </c>
      <c r="AH152" s="49">
        <v>0.3</v>
      </c>
      <c r="AI152" s="21" t="str">
        <f t="shared" si="12"/>
        <v>전민주</v>
      </c>
      <c r="AJ152" s="49">
        <v>0.3</v>
      </c>
      <c r="AK152" s="49">
        <v>0.3</v>
      </c>
    </row>
    <row r="153" spans="1:37" ht="17.25" customHeight="1" x14ac:dyDescent="0.3">
      <c r="A153" s="41" t="s">
        <v>9</v>
      </c>
      <c r="B153" s="41" t="s">
        <v>28</v>
      </c>
      <c r="C153" s="57"/>
      <c r="D153" s="77" t="s">
        <v>201</v>
      </c>
      <c r="E153" s="99" t="s">
        <v>201</v>
      </c>
      <c r="F153" s="73" t="s">
        <v>72</v>
      </c>
      <c r="G153" s="115" t="s">
        <v>41</v>
      </c>
      <c r="H153" s="72"/>
      <c r="I153" s="72">
        <v>1.5</v>
      </c>
      <c r="J153" s="72">
        <v>1.5</v>
      </c>
      <c r="K153" s="62">
        <v>1.5</v>
      </c>
      <c r="L153" s="14">
        <f t="shared" si="10"/>
        <v>1</v>
      </c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  <c r="AA153" s="21"/>
      <c r="AB153" s="21"/>
      <c r="AC153" s="21"/>
      <c r="AD153" s="21"/>
      <c r="AE153" s="21"/>
      <c r="AF153" s="21" t="str">
        <f t="shared" si="11"/>
        <v>전민주</v>
      </c>
      <c r="AG153" s="49">
        <v>0.3</v>
      </c>
      <c r="AH153" s="49">
        <v>0.3</v>
      </c>
      <c r="AI153" s="21" t="str">
        <f t="shared" si="12"/>
        <v>전민주</v>
      </c>
      <c r="AJ153" s="49">
        <v>0.3</v>
      </c>
      <c r="AK153" s="49">
        <v>0.3</v>
      </c>
    </row>
    <row r="154" spans="1:37" ht="17.25" customHeight="1" x14ac:dyDescent="0.3">
      <c r="A154" s="41" t="s">
        <v>10</v>
      </c>
      <c r="B154" s="41" t="s">
        <v>28</v>
      </c>
      <c r="C154" s="57"/>
      <c r="D154" s="77" t="s">
        <v>202</v>
      </c>
      <c r="E154" s="99" t="s">
        <v>203</v>
      </c>
      <c r="F154" s="73" t="s">
        <v>7</v>
      </c>
      <c r="G154" s="60" t="s">
        <v>40</v>
      </c>
      <c r="H154" s="72"/>
      <c r="I154" s="72">
        <v>0.5</v>
      </c>
      <c r="J154" s="72">
        <v>0.5</v>
      </c>
      <c r="K154" s="72">
        <v>0.5</v>
      </c>
      <c r="L154" s="14">
        <f t="shared" si="10"/>
        <v>1</v>
      </c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  <c r="AA154" s="21"/>
      <c r="AB154" s="21"/>
      <c r="AC154" s="21"/>
      <c r="AD154" s="21"/>
      <c r="AE154" s="21"/>
      <c r="AF154" s="21" t="str">
        <f t="shared" si="11"/>
        <v>김연수</v>
      </c>
      <c r="AG154" s="49">
        <v>0.3</v>
      </c>
      <c r="AH154" s="49">
        <v>0.3</v>
      </c>
      <c r="AI154" s="21" t="str">
        <f t="shared" si="12"/>
        <v>김연수</v>
      </c>
      <c r="AJ154" s="49">
        <v>0.3</v>
      </c>
      <c r="AK154" s="49">
        <v>0.3</v>
      </c>
    </row>
    <row r="155" spans="1:37" ht="17.25" customHeight="1" x14ac:dyDescent="0.3">
      <c r="A155" s="41" t="s">
        <v>11</v>
      </c>
      <c r="B155" s="41" t="s">
        <v>28</v>
      </c>
      <c r="C155" s="57"/>
      <c r="D155" s="77" t="s">
        <v>204</v>
      </c>
      <c r="E155" s="99" t="s">
        <v>203</v>
      </c>
      <c r="F155" s="73" t="s">
        <v>7</v>
      </c>
      <c r="G155" s="60" t="s">
        <v>40</v>
      </c>
      <c r="H155" s="72"/>
      <c r="I155" s="72">
        <v>0.5</v>
      </c>
      <c r="J155" s="72">
        <v>0.5</v>
      </c>
      <c r="K155" s="72">
        <v>0.5</v>
      </c>
      <c r="L155" s="14">
        <f t="shared" si="10"/>
        <v>1</v>
      </c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  <c r="AA155" s="21"/>
      <c r="AB155" s="21"/>
      <c r="AC155" s="21"/>
      <c r="AD155" s="21"/>
      <c r="AE155" s="21"/>
      <c r="AF155" s="21" t="str">
        <f t="shared" si="11"/>
        <v>김연수</v>
      </c>
      <c r="AG155" s="49">
        <v>0.3</v>
      </c>
      <c r="AH155" s="49">
        <v>0.3</v>
      </c>
      <c r="AI155" s="21" t="str">
        <f t="shared" si="12"/>
        <v>김연수</v>
      </c>
      <c r="AJ155" s="49">
        <v>0.3</v>
      </c>
      <c r="AK155" s="49">
        <v>0.3</v>
      </c>
    </row>
    <row r="156" spans="1:37" ht="17.25" customHeight="1" x14ac:dyDescent="0.3">
      <c r="A156" s="41" t="s">
        <v>12</v>
      </c>
      <c r="B156" s="41" t="s">
        <v>28</v>
      </c>
      <c r="C156" s="57"/>
      <c r="D156" s="77" t="s">
        <v>205</v>
      </c>
      <c r="E156" s="99" t="s">
        <v>203</v>
      </c>
      <c r="F156" s="73" t="s">
        <v>7</v>
      </c>
      <c r="G156" s="60" t="s">
        <v>40</v>
      </c>
      <c r="H156" s="72"/>
      <c r="I156" s="72">
        <v>0.5</v>
      </c>
      <c r="J156" s="72">
        <v>0.5</v>
      </c>
      <c r="K156" s="72">
        <v>0.5</v>
      </c>
      <c r="L156" s="14">
        <f t="shared" si="10"/>
        <v>1</v>
      </c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  <c r="AA156" s="21"/>
      <c r="AB156" s="21"/>
      <c r="AC156" s="21"/>
      <c r="AD156" s="21"/>
      <c r="AE156" s="21"/>
      <c r="AF156" s="21" t="str">
        <f t="shared" si="11"/>
        <v>김연수</v>
      </c>
      <c r="AG156" s="49">
        <v>0.3</v>
      </c>
      <c r="AH156" s="49">
        <v>0.3</v>
      </c>
      <c r="AI156" s="21" t="str">
        <f t="shared" si="12"/>
        <v>김연수</v>
      </c>
      <c r="AJ156" s="49">
        <v>0.3</v>
      </c>
      <c r="AK156" s="49">
        <v>0.3</v>
      </c>
    </row>
    <row r="157" spans="1:37" ht="17.25" customHeight="1" x14ac:dyDescent="0.3">
      <c r="A157" s="41" t="s">
        <v>13</v>
      </c>
      <c r="B157" s="41" t="s">
        <v>28</v>
      </c>
      <c r="C157" s="57"/>
      <c r="D157" s="77" t="s">
        <v>3</v>
      </c>
      <c r="E157" s="99" t="s">
        <v>78</v>
      </c>
      <c r="F157" s="73" t="s">
        <v>7</v>
      </c>
      <c r="G157" s="60" t="s">
        <v>40</v>
      </c>
      <c r="H157" s="72"/>
      <c r="I157" s="72">
        <v>0.5</v>
      </c>
      <c r="J157" s="72">
        <v>0.5</v>
      </c>
      <c r="K157" s="72">
        <v>0.5</v>
      </c>
      <c r="L157" s="14">
        <f t="shared" si="10"/>
        <v>1</v>
      </c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  <c r="AA157" s="21"/>
      <c r="AB157" s="21"/>
      <c r="AC157" s="21"/>
      <c r="AD157" s="21"/>
      <c r="AE157" s="21"/>
      <c r="AF157" s="21" t="str">
        <f t="shared" si="11"/>
        <v>김연수</v>
      </c>
      <c r="AG157" s="49">
        <v>0.3</v>
      </c>
      <c r="AH157" s="49">
        <v>0.3</v>
      </c>
      <c r="AI157" s="21" t="str">
        <f t="shared" si="12"/>
        <v>김연수</v>
      </c>
      <c r="AJ157" s="49">
        <v>0.3</v>
      </c>
      <c r="AK157" s="49">
        <v>0.3</v>
      </c>
    </row>
    <row r="158" spans="1:37" ht="17.25" customHeight="1" x14ac:dyDescent="0.3">
      <c r="A158" s="41" t="s">
        <v>33</v>
      </c>
      <c r="B158" s="41" t="s">
        <v>28</v>
      </c>
      <c r="C158" s="57"/>
      <c r="D158" s="77" t="s">
        <v>206</v>
      </c>
      <c r="E158" s="99" t="s">
        <v>78</v>
      </c>
      <c r="F158" s="73" t="s">
        <v>7</v>
      </c>
      <c r="G158" s="60" t="s">
        <v>40</v>
      </c>
      <c r="H158" s="72"/>
      <c r="I158" s="72">
        <v>0.5</v>
      </c>
      <c r="J158" s="72">
        <v>0.5</v>
      </c>
      <c r="K158" s="72">
        <v>0.5</v>
      </c>
      <c r="L158" s="14">
        <f t="shared" si="10"/>
        <v>1</v>
      </c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  <c r="AA158" s="21"/>
      <c r="AB158" s="21"/>
      <c r="AC158" s="21"/>
      <c r="AD158" s="21"/>
      <c r="AE158" s="21"/>
      <c r="AF158" s="21" t="str">
        <f t="shared" si="11"/>
        <v>김연수</v>
      </c>
      <c r="AG158" s="49">
        <v>0.3</v>
      </c>
      <c r="AH158" s="49">
        <v>0.3</v>
      </c>
      <c r="AI158" s="21" t="str">
        <f t="shared" si="12"/>
        <v>김연수</v>
      </c>
      <c r="AJ158" s="49">
        <v>0.3</v>
      </c>
      <c r="AK158" s="49">
        <v>0.3</v>
      </c>
    </row>
    <row r="159" spans="1:37" ht="17.25" customHeight="1" x14ac:dyDescent="0.3">
      <c r="A159" s="144" t="s">
        <v>28</v>
      </c>
      <c r="B159" s="145"/>
      <c r="C159" s="34" t="s">
        <v>207</v>
      </c>
      <c r="D159" s="109"/>
      <c r="E159" s="110"/>
      <c r="F159" s="111"/>
      <c r="G159" s="38"/>
      <c r="H159" s="112"/>
      <c r="I159" s="113">
        <f>SUM(I160:I167)</f>
        <v>7.5</v>
      </c>
      <c r="J159" s="113">
        <f>SUM(J160:J167)</f>
        <v>7.5</v>
      </c>
      <c r="K159" s="113">
        <f>SUM(K160:K167)</f>
        <v>7.5</v>
      </c>
      <c r="L159" s="134"/>
      <c r="M159" s="118"/>
      <c r="N159" s="118"/>
      <c r="O159" s="118"/>
      <c r="P159" s="118"/>
      <c r="Q159" s="118"/>
      <c r="R159" s="118"/>
      <c r="S159" s="118"/>
      <c r="T159" s="118"/>
      <c r="U159" s="118"/>
      <c r="V159" s="118"/>
      <c r="W159" s="118"/>
      <c r="X159" s="118"/>
      <c r="Y159" s="118"/>
      <c r="Z159" s="118"/>
      <c r="AA159" s="118"/>
      <c r="AB159" s="118"/>
      <c r="AC159" s="118"/>
      <c r="AD159" s="118"/>
      <c r="AE159" s="118"/>
      <c r="AF159" s="118"/>
      <c r="AG159" s="38">
        <f>SUM(AG160:AG167)</f>
        <v>2.4</v>
      </c>
      <c r="AH159" s="38">
        <f>SUM(AH160:AH167)</f>
        <v>2.4</v>
      </c>
      <c r="AI159" s="118"/>
      <c r="AJ159" s="38">
        <f>SUM(AJ160:AJ167)</f>
        <v>2.4</v>
      </c>
      <c r="AK159" s="38">
        <f>SUM(AK160:AK167)</f>
        <v>2.4</v>
      </c>
    </row>
    <row r="160" spans="1:37" ht="17.25" customHeight="1" x14ac:dyDescent="0.3">
      <c r="A160" s="41" t="s">
        <v>18</v>
      </c>
      <c r="B160" s="41" t="s">
        <v>28</v>
      </c>
      <c r="C160" s="57"/>
      <c r="D160" s="82" t="s">
        <v>208</v>
      </c>
      <c r="E160" s="82" t="s">
        <v>67</v>
      </c>
      <c r="F160" s="117" t="s">
        <v>7</v>
      </c>
      <c r="G160" s="133" t="s">
        <v>38</v>
      </c>
      <c r="H160" s="74"/>
      <c r="I160" s="90">
        <v>0.5</v>
      </c>
      <c r="J160" s="90">
        <v>0.5</v>
      </c>
      <c r="K160" s="72">
        <v>0.5</v>
      </c>
      <c r="L160" s="14">
        <f t="shared" si="10"/>
        <v>1</v>
      </c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  <c r="AA160" s="21"/>
      <c r="AB160" s="21"/>
      <c r="AC160" s="21"/>
      <c r="AD160" s="21"/>
      <c r="AE160" s="21"/>
      <c r="AF160" s="21" t="str">
        <f t="shared" si="11"/>
        <v>백현주</v>
      </c>
      <c r="AG160" s="49">
        <v>0.3</v>
      </c>
      <c r="AH160" s="49">
        <v>0.3</v>
      </c>
      <c r="AI160" s="21" t="str">
        <f t="shared" si="12"/>
        <v>백현주</v>
      </c>
      <c r="AJ160" s="49">
        <v>0.3</v>
      </c>
      <c r="AK160" s="49">
        <v>0.3</v>
      </c>
    </row>
    <row r="161" spans="1:37" ht="17.25" customHeight="1" x14ac:dyDescent="0.3">
      <c r="A161" s="41" t="s">
        <v>45</v>
      </c>
      <c r="B161" s="41" t="s">
        <v>28</v>
      </c>
      <c r="C161" s="57"/>
      <c r="D161" s="82" t="s">
        <v>209</v>
      </c>
      <c r="E161" s="82" t="s">
        <v>78</v>
      </c>
      <c r="F161" s="117" t="s">
        <v>7</v>
      </c>
      <c r="G161" s="133" t="s">
        <v>38</v>
      </c>
      <c r="H161" s="74"/>
      <c r="I161" s="90">
        <v>0.5</v>
      </c>
      <c r="J161" s="90">
        <v>0.5</v>
      </c>
      <c r="K161" s="72">
        <v>0.5</v>
      </c>
      <c r="L161" s="14">
        <f t="shared" si="10"/>
        <v>1</v>
      </c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  <c r="AA161" s="21"/>
      <c r="AB161" s="21"/>
      <c r="AC161" s="21"/>
      <c r="AD161" s="21"/>
      <c r="AE161" s="21"/>
      <c r="AF161" s="21" t="str">
        <f t="shared" si="11"/>
        <v>백현주</v>
      </c>
      <c r="AG161" s="49">
        <v>0.3</v>
      </c>
      <c r="AH161" s="49">
        <v>0.3</v>
      </c>
      <c r="AI161" s="21" t="str">
        <f t="shared" si="12"/>
        <v>백현주</v>
      </c>
      <c r="AJ161" s="49">
        <v>0.3</v>
      </c>
      <c r="AK161" s="49">
        <v>0.3</v>
      </c>
    </row>
    <row r="162" spans="1:37" ht="17.25" customHeight="1" x14ac:dyDescent="0.3">
      <c r="A162" s="41" t="s">
        <v>9</v>
      </c>
      <c r="B162" s="41" t="s">
        <v>28</v>
      </c>
      <c r="C162" s="57"/>
      <c r="D162" s="82"/>
      <c r="E162" s="82" t="s">
        <v>210</v>
      </c>
      <c r="F162" s="117" t="s">
        <v>72</v>
      </c>
      <c r="G162" s="133" t="s">
        <v>38</v>
      </c>
      <c r="H162" s="74"/>
      <c r="I162" s="90">
        <v>1</v>
      </c>
      <c r="J162" s="90">
        <v>1</v>
      </c>
      <c r="K162" s="72">
        <v>1</v>
      </c>
      <c r="L162" s="14">
        <f t="shared" si="10"/>
        <v>1</v>
      </c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  <c r="AA162" s="21"/>
      <c r="AB162" s="21"/>
      <c r="AC162" s="21"/>
      <c r="AD162" s="21"/>
      <c r="AE162" s="21"/>
      <c r="AF162" s="21" t="str">
        <f t="shared" si="11"/>
        <v>백현주</v>
      </c>
      <c r="AG162" s="49">
        <v>0.3</v>
      </c>
      <c r="AH162" s="49">
        <v>0.3</v>
      </c>
      <c r="AI162" s="21" t="str">
        <f t="shared" si="12"/>
        <v>백현주</v>
      </c>
      <c r="AJ162" s="49">
        <v>0.3</v>
      </c>
      <c r="AK162" s="49">
        <v>0.3</v>
      </c>
    </row>
    <row r="163" spans="1:37" ht="17.25" customHeight="1" x14ac:dyDescent="0.3">
      <c r="A163" s="41" t="s">
        <v>10</v>
      </c>
      <c r="B163" s="41" t="s">
        <v>28</v>
      </c>
      <c r="C163" s="57"/>
      <c r="D163" s="82"/>
      <c r="E163" s="82" t="s">
        <v>211</v>
      </c>
      <c r="F163" s="117" t="s">
        <v>72</v>
      </c>
      <c r="G163" s="133" t="s">
        <v>38</v>
      </c>
      <c r="H163" s="74"/>
      <c r="I163" s="90">
        <v>0.5</v>
      </c>
      <c r="J163" s="90">
        <v>0.5</v>
      </c>
      <c r="K163" s="72">
        <v>0.5</v>
      </c>
      <c r="L163" s="14">
        <f t="shared" si="10"/>
        <v>1</v>
      </c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  <c r="AA163" s="21"/>
      <c r="AB163" s="21"/>
      <c r="AC163" s="21"/>
      <c r="AD163" s="21"/>
      <c r="AE163" s="21"/>
      <c r="AF163" s="21" t="str">
        <f t="shared" si="11"/>
        <v>백현주</v>
      </c>
      <c r="AG163" s="49">
        <v>0.3</v>
      </c>
      <c r="AH163" s="49">
        <v>0.3</v>
      </c>
      <c r="AI163" s="21" t="str">
        <f t="shared" si="12"/>
        <v>백현주</v>
      </c>
      <c r="AJ163" s="49">
        <v>0.3</v>
      </c>
      <c r="AK163" s="49">
        <v>0.3</v>
      </c>
    </row>
    <row r="164" spans="1:37" ht="17.25" customHeight="1" x14ac:dyDescent="0.3">
      <c r="A164" s="41" t="s">
        <v>11</v>
      </c>
      <c r="B164" s="41" t="s">
        <v>28</v>
      </c>
      <c r="C164" s="57"/>
      <c r="D164" s="82"/>
      <c r="E164" s="82" t="s">
        <v>212</v>
      </c>
      <c r="F164" s="117" t="s">
        <v>72</v>
      </c>
      <c r="G164" s="133" t="s">
        <v>38</v>
      </c>
      <c r="H164" s="74"/>
      <c r="I164" s="90">
        <v>2</v>
      </c>
      <c r="J164" s="90">
        <v>2</v>
      </c>
      <c r="K164" s="72">
        <v>2</v>
      </c>
      <c r="L164" s="14">
        <f t="shared" si="10"/>
        <v>1</v>
      </c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  <c r="AA164" s="21"/>
      <c r="AB164" s="21"/>
      <c r="AC164" s="21"/>
      <c r="AD164" s="21"/>
      <c r="AE164" s="21"/>
      <c r="AF164" s="21" t="str">
        <f t="shared" si="11"/>
        <v>백현주</v>
      </c>
      <c r="AG164" s="49">
        <v>0.3</v>
      </c>
      <c r="AH164" s="49">
        <v>0.3</v>
      </c>
      <c r="AI164" s="21" t="str">
        <f t="shared" si="12"/>
        <v>백현주</v>
      </c>
      <c r="AJ164" s="49">
        <v>0.3</v>
      </c>
      <c r="AK164" s="49">
        <v>0.3</v>
      </c>
    </row>
    <row r="165" spans="1:37" ht="17.25" customHeight="1" x14ac:dyDescent="0.3">
      <c r="A165" s="41" t="s">
        <v>12</v>
      </c>
      <c r="B165" s="41" t="s">
        <v>28</v>
      </c>
      <c r="C165" s="57"/>
      <c r="D165" s="82"/>
      <c r="E165" s="82" t="s">
        <v>213</v>
      </c>
      <c r="F165" s="117" t="s">
        <v>72</v>
      </c>
      <c r="G165" s="133" t="s">
        <v>38</v>
      </c>
      <c r="H165" s="74"/>
      <c r="I165" s="90">
        <v>2</v>
      </c>
      <c r="J165" s="90">
        <v>2</v>
      </c>
      <c r="K165" s="72">
        <v>2</v>
      </c>
      <c r="L165" s="14">
        <f t="shared" si="10"/>
        <v>1</v>
      </c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  <c r="AA165" s="21"/>
      <c r="AB165" s="21"/>
      <c r="AC165" s="21"/>
      <c r="AD165" s="21"/>
      <c r="AE165" s="21"/>
      <c r="AF165" s="21" t="str">
        <f t="shared" si="11"/>
        <v>백현주</v>
      </c>
      <c r="AG165" s="49">
        <v>0.3</v>
      </c>
      <c r="AH165" s="49">
        <v>0.3</v>
      </c>
      <c r="AI165" s="21" t="str">
        <f t="shared" si="12"/>
        <v>백현주</v>
      </c>
      <c r="AJ165" s="49">
        <v>0.3</v>
      </c>
      <c r="AK165" s="49">
        <v>0.3</v>
      </c>
    </row>
    <row r="166" spans="1:37" ht="17.25" customHeight="1" x14ac:dyDescent="0.3">
      <c r="A166" s="41" t="s">
        <v>13</v>
      </c>
      <c r="B166" s="41" t="s">
        <v>28</v>
      </c>
      <c r="C166" s="57"/>
      <c r="D166" s="82"/>
      <c r="E166" s="82" t="s">
        <v>214</v>
      </c>
      <c r="F166" s="117" t="s">
        <v>72</v>
      </c>
      <c r="G166" s="133" t="s">
        <v>38</v>
      </c>
      <c r="H166" s="74"/>
      <c r="I166" s="90">
        <v>0.5</v>
      </c>
      <c r="J166" s="90">
        <v>0.5</v>
      </c>
      <c r="K166" s="72">
        <v>0.5</v>
      </c>
      <c r="L166" s="14">
        <f t="shared" si="10"/>
        <v>1</v>
      </c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  <c r="AA166" s="21"/>
      <c r="AB166" s="21"/>
      <c r="AC166" s="21"/>
      <c r="AD166" s="21"/>
      <c r="AE166" s="21"/>
      <c r="AF166" s="21" t="str">
        <f t="shared" si="11"/>
        <v>백현주</v>
      </c>
      <c r="AG166" s="49">
        <v>0.3</v>
      </c>
      <c r="AH166" s="49">
        <v>0.3</v>
      </c>
      <c r="AI166" s="21" t="str">
        <f t="shared" si="12"/>
        <v>백현주</v>
      </c>
      <c r="AJ166" s="49">
        <v>0.3</v>
      </c>
      <c r="AK166" s="49">
        <v>0.3</v>
      </c>
    </row>
    <row r="167" spans="1:37" ht="17.25" customHeight="1" x14ac:dyDescent="0.3">
      <c r="A167" s="41" t="s">
        <v>33</v>
      </c>
      <c r="B167" s="41" t="s">
        <v>28</v>
      </c>
      <c r="C167" s="57"/>
      <c r="D167" s="82"/>
      <c r="E167" s="82" t="s">
        <v>215</v>
      </c>
      <c r="F167" s="117" t="s">
        <v>72</v>
      </c>
      <c r="G167" s="133" t="s">
        <v>38</v>
      </c>
      <c r="H167" s="74"/>
      <c r="I167" s="90">
        <v>0.5</v>
      </c>
      <c r="J167" s="90">
        <v>0.5</v>
      </c>
      <c r="K167" s="72">
        <v>0.5</v>
      </c>
      <c r="L167" s="14">
        <f t="shared" si="10"/>
        <v>1</v>
      </c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  <c r="AA167" s="21"/>
      <c r="AB167" s="21"/>
      <c r="AC167" s="21"/>
      <c r="AD167" s="21"/>
      <c r="AE167" s="21"/>
      <c r="AF167" s="21" t="str">
        <f t="shared" si="11"/>
        <v>백현주</v>
      </c>
      <c r="AG167" s="49">
        <v>0.3</v>
      </c>
      <c r="AH167" s="49">
        <v>0.3</v>
      </c>
      <c r="AI167" s="21" t="str">
        <f t="shared" si="12"/>
        <v>백현주</v>
      </c>
      <c r="AJ167" s="49">
        <v>0.3</v>
      </c>
      <c r="AK167" s="49">
        <v>0.3</v>
      </c>
    </row>
    <row r="168" spans="1:37" ht="17.25" customHeight="1" x14ac:dyDescent="0.3">
      <c r="A168" s="148" t="s">
        <v>28</v>
      </c>
      <c r="B168" s="149"/>
      <c r="C168" s="124" t="s">
        <v>155</v>
      </c>
      <c r="D168" s="66"/>
      <c r="E168" s="67"/>
      <c r="F168" s="68"/>
      <c r="G168" s="125"/>
      <c r="H168" s="70"/>
      <c r="I168" s="71">
        <f>SUM(I169:I171)</f>
        <v>7</v>
      </c>
      <c r="J168" s="71">
        <f>SUM(J169:J171)</f>
        <v>7</v>
      </c>
      <c r="K168" s="71">
        <f>SUM(K169:K171)</f>
        <v>7</v>
      </c>
      <c r="L168" s="95"/>
      <c r="M168" s="118"/>
      <c r="N168" s="118"/>
      <c r="O168" s="118"/>
      <c r="P168" s="118"/>
      <c r="Q168" s="118"/>
      <c r="R168" s="118"/>
      <c r="S168" s="118"/>
      <c r="T168" s="118"/>
      <c r="U168" s="118"/>
      <c r="V168" s="118"/>
      <c r="W168" s="118"/>
      <c r="X168" s="118"/>
      <c r="Y168" s="118"/>
      <c r="Z168" s="118"/>
      <c r="AA168" s="118"/>
      <c r="AB168" s="118"/>
      <c r="AC168" s="118"/>
      <c r="AD168" s="118"/>
      <c r="AE168" s="118"/>
      <c r="AF168" s="118"/>
      <c r="AG168" s="38">
        <f>SUM(AG169:AG171)</f>
        <v>0.89999999999999991</v>
      </c>
      <c r="AH168" s="38">
        <f>SUM(AH169:AH171)</f>
        <v>0.89999999999999991</v>
      </c>
      <c r="AI168" s="118"/>
      <c r="AJ168" s="38">
        <f>SUM(AJ169:AJ171)</f>
        <v>0.89999999999999991</v>
      </c>
      <c r="AK168" s="38">
        <f>SUM(AK169:AK171)</f>
        <v>0.89999999999999991</v>
      </c>
    </row>
    <row r="169" spans="1:37" ht="17.25" customHeight="1" x14ac:dyDescent="0.3">
      <c r="A169" s="41" t="s">
        <v>17</v>
      </c>
      <c r="B169" s="41" t="s">
        <v>28</v>
      </c>
      <c r="C169" s="57"/>
      <c r="D169" s="47" t="s">
        <v>216</v>
      </c>
      <c r="E169" s="57" t="s">
        <v>217</v>
      </c>
      <c r="F169" s="49" t="s">
        <v>7</v>
      </c>
      <c r="G169" s="100" t="s">
        <v>164</v>
      </c>
      <c r="H169" s="72"/>
      <c r="I169" s="72">
        <v>1</v>
      </c>
      <c r="J169" s="72">
        <v>1</v>
      </c>
      <c r="K169" s="72">
        <v>1</v>
      </c>
      <c r="L169" s="14">
        <f t="shared" si="10"/>
        <v>1</v>
      </c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  <c r="AA169" s="21"/>
      <c r="AB169" s="21"/>
      <c r="AC169" s="21"/>
      <c r="AD169" s="21"/>
      <c r="AE169" s="21"/>
      <c r="AF169" s="21" t="str">
        <f t="shared" si="11"/>
        <v>왕예빈</v>
      </c>
      <c r="AG169" s="49">
        <v>0.3</v>
      </c>
      <c r="AH169" s="49">
        <v>0.3</v>
      </c>
      <c r="AI169" s="21" t="str">
        <f t="shared" si="12"/>
        <v>왕예빈</v>
      </c>
      <c r="AJ169" s="49">
        <v>0.3</v>
      </c>
      <c r="AK169" s="49">
        <v>0.3</v>
      </c>
    </row>
    <row r="170" spans="1:37" ht="17.25" customHeight="1" x14ac:dyDescent="0.3">
      <c r="A170" s="41" t="s">
        <v>45</v>
      </c>
      <c r="B170" s="41" t="s">
        <v>28</v>
      </c>
      <c r="C170" s="57"/>
      <c r="D170" s="47"/>
      <c r="E170" s="57" t="s">
        <v>218</v>
      </c>
      <c r="F170" s="49" t="s">
        <v>7</v>
      </c>
      <c r="G170" s="100" t="s">
        <v>164</v>
      </c>
      <c r="H170" s="72"/>
      <c r="I170" s="72">
        <v>2</v>
      </c>
      <c r="J170" s="72">
        <v>2</v>
      </c>
      <c r="K170" s="72">
        <v>2</v>
      </c>
      <c r="L170" s="14">
        <f t="shared" si="10"/>
        <v>1</v>
      </c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  <c r="AA170" s="21"/>
      <c r="AB170" s="21"/>
      <c r="AC170" s="21"/>
      <c r="AD170" s="21"/>
      <c r="AE170" s="21"/>
      <c r="AF170" s="21" t="str">
        <f t="shared" si="11"/>
        <v>왕예빈</v>
      </c>
      <c r="AG170" s="49">
        <v>0.3</v>
      </c>
      <c r="AH170" s="49">
        <v>0.3</v>
      </c>
      <c r="AI170" s="21" t="str">
        <f t="shared" si="12"/>
        <v>왕예빈</v>
      </c>
      <c r="AJ170" s="49">
        <v>0.3</v>
      </c>
      <c r="AK170" s="49">
        <v>0.3</v>
      </c>
    </row>
    <row r="171" spans="1:37" ht="17.25" customHeight="1" x14ac:dyDescent="0.3">
      <c r="A171" s="41" t="s">
        <v>194</v>
      </c>
      <c r="B171" s="41" t="s">
        <v>28</v>
      </c>
      <c r="C171" s="57"/>
      <c r="D171" s="47"/>
      <c r="E171" s="57" t="s">
        <v>219</v>
      </c>
      <c r="F171" s="49" t="s">
        <v>72</v>
      </c>
      <c r="G171" s="100" t="s">
        <v>164</v>
      </c>
      <c r="H171" s="72"/>
      <c r="I171" s="72">
        <v>4</v>
      </c>
      <c r="J171" s="72">
        <v>4</v>
      </c>
      <c r="K171" s="72">
        <v>4</v>
      </c>
      <c r="L171" s="14">
        <f t="shared" si="10"/>
        <v>1</v>
      </c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  <c r="AA171" s="21"/>
      <c r="AB171" s="21"/>
      <c r="AC171" s="21"/>
      <c r="AD171" s="21"/>
      <c r="AE171" s="21"/>
      <c r="AF171" s="21" t="str">
        <f t="shared" si="11"/>
        <v>왕예빈</v>
      </c>
      <c r="AG171" s="49">
        <v>0.3</v>
      </c>
      <c r="AH171" s="49">
        <v>0.3</v>
      </c>
      <c r="AI171" s="21" t="str">
        <f t="shared" si="12"/>
        <v>왕예빈</v>
      </c>
      <c r="AJ171" s="49">
        <v>0.3</v>
      </c>
      <c r="AK171" s="49">
        <v>0.3</v>
      </c>
    </row>
    <row r="172" spans="1:37" ht="17.25" customHeight="1" x14ac:dyDescent="0.3">
      <c r="A172" s="146" t="s">
        <v>28</v>
      </c>
      <c r="B172" s="147"/>
      <c r="C172" s="119" t="s">
        <v>220</v>
      </c>
      <c r="D172" s="120"/>
      <c r="E172" s="120"/>
      <c r="F172" s="121"/>
      <c r="G172" s="122"/>
      <c r="H172" s="123"/>
      <c r="I172" s="71">
        <f>SUM(I173:I181)</f>
        <v>6</v>
      </c>
      <c r="J172" s="71">
        <f>SUM(J173:J181)</f>
        <v>6</v>
      </c>
      <c r="K172" s="71">
        <f>SUM(K173:K181)</f>
        <v>6</v>
      </c>
      <c r="L172" s="118"/>
      <c r="M172" s="118"/>
      <c r="N172" s="118"/>
      <c r="O172" s="118"/>
      <c r="P172" s="118"/>
      <c r="Q172" s="118"/>
      <c r="R172" s="118"/>
      <c r="S172" s="118"/>
      <c r="T172" s="118"/>
      <c r="U172" s="118"/>
      <c r="V172" s="118"/>
      <c r="W172" s="118"/>
      <c r="X172" s="118"/>
      <c r="Y172" s="118"/>
      <c r="Z172" s="118"/>
      <c r="AA172" s="118"/>
      <c r="AB172" s="118"/>
      <c r="AC172" s="118"/>
      <c r="AD172" s="118"/>
      <c r="AE172" s="118"/>
      <c r="AF172" s="118"/>
      <c r="AG172" s="38">
        <f>SUM(AG173:AG181)</f>
        <v>2.6999999999999997</v>
      </c>
      <c r="AH172" s="38">
        <f>SUM(AH173:AH181)</f>
        <v>2.6999999999999997</v>
      </c>
      <c r="AI172" s="118"/>
      <c r="AJ172" s="38">
        <f>SUM(AJ173:AJ181)</f>
        <v>2.6999999999999997</v>
      </c>
      <c r="AK172" s="38">
        <f>SUM(AK173:AK181)</f>
        <v>2.6999999999999997</v>
      </c>
    </row>
    <row r="173" spans="1:37" ht="17.25" customHeight="1" x14ac:dyDescent="0.3">
      <c r="A173" s="41" t="s">
        <v>18</v>
      </c>
      <c r="B173" s="41" t="s">
        <v>28</v>
      </c>
      <c r="C173" s="57"/>
      <c r="D173" s="47" t="s">
        <v>221</v>
      </c>
      <c r="E173" s="57" t="s">
        <v>67</v>
      </c>
      <c r="F173" s="49" t="s">
        <v>7</v>
      </c>
      <c r="G173" s="60" t="s">
        <v>40</v>
      </c>
      <c r="H173" s="72"/>
      <c r="I173" s="72">
        <v>0.5</v>
      </c>
      <c r="J173" s="72">
        <v>0.5</v>
      </c>
      <c r="K173" s="72">
        <v>0.5</v>
      </c>
      <c r="L173" s="14">
        <f t="shared" si="10"/>
        <v>1</v>
      </c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  <c r="AA173" s="21"/>
      <c r="AB173" s="21"/>
      <c r="AC173" s="21"/>
      <c r="AD173" s="21"/>
      <c r="AE173" s="21"/>
      <c r="AF173" s="21" t="str">
        <f t="shared" si="11"/>
        <v>김연수</v>
      </c>
      <c r="AG173" s="49">
        <v>0.3</v>
      </c>
      <c r="AH173" s="49">
        <v>0.3</v>
      </c>
      <c r="AI173" s="21" t="str">
        <f t="shared" si="12"/>
        <v>김연수</v>
      </c>
      <c r="AJ173" s="49">
        <v>0.3</v>
      </c>
      <c r="AK173" s="49">
        <v>0.3</v>
      </c>
    </row>
    <row r="174" spans="1:37" ht="17.25" customHeight="1" x14ac:dyDescent="0.3">
      <c r="A174" s="41" t="s">
        <v>199</v>
      </c>
      <c r="B174" s="41" t="s">
        <v>28</v>
      </c>
      <c r="C174" s="57"/>
      <c r="D174" s="47" t="s">
        <v>222</v>
      </c>
      <c r="E174" s="57" t="s">
        <v>67</v>
      </c>
      <c r="F174" s="49" t="s">
        <v>7</v>
      </c>
      <c r="G174" s="60" t="s">
        <v>40</v>
      </c>
      <c r="H174" s="72"/>
      <c r="I174" s="72">
        <v>0.5</v>
      </c>
      <c r="J174" s="72">
        <v>0.5</v>
      </c>
      <c r="K174" s="72">
        <v>0.5</v>
      </c>
      <c r="L174" s="14">
        <f t="shared" si="10"/>
        <v>1</v>
      </c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  <c r="AA174" s="21"/>
      <c r="AB174" s="21"/>
      <c r="AC174" s="21"/>
      <c r="AD174" s="21"/>
      <c r="AE174" s="21"/>
      <c r="AF174" s="21" t="str">
        <f t="shared" si="11"/>
        <v>김연수</v>
      </c>
      <c r="AG174" s="49">
        <v>0.3</v>
      </c>
      <c r="AH174" s="49">
        <v>0.3</v>
      </c>
      <c r="AI174" s="21" t="str">
        <f t="shared" si="12"/>
        <v>김연수</v>
      </c>
      <c r="AJ174" s="49">
        <v>0.3</v>
      </c>
      <c r="AK174" s="49">
        <v>0.3</v>
      </c>
    </row>
    <row r="175" spans="1:37" ht="17.25" customHeight="1" x14ac:dyDescent="0.3">
      <c r="A175" s="41" t="s">
        <v>9</v>
      </c>
      <c r="B175" s="41" t="s">
        <v>28</v>
      </c>
      <c r="C175" s="57"/>
      <c r="D175" s="47" t="s">
        <v>223</v>
      </c>
      <c r="E175" s="57" t="s">
        <v>67</v>
      </c>
      <c r="F175" s="49" t="s">
        <v>7</v>
      </c>
      <c r="G175" s="60" t="s">
        <v>40</v>
      </c>
      <c r="H175" s="72"/>
      <c r="I175" s="72">
        <v>0.5</v>
      </c>
      <c r="J175" s="72">
        <v>0.5</v>
      </c>
      <c r="K175" s="72">
        <v>0.5</v>
      </c>
      <c r="L175" s="14">
        <f t="shared" si="10"/>
        <v>1</v>
      </c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  <c r="AA175" s="21"/>
      <c r="AB175" s="21"/>
      <c r="AC175" s="21"/>
      <c r="AD175" s="21"/>
      <c r="AE175" s="21"/>
      <c r="AF175" s="21" t="str">
        <f t="shared" si="11"/>
        <v>김연수</v>
      </c>
      <c r="AG175" s="49">
        <v>0.3</v>
      </c>
      <c r="AH175" s="49">
        <v>0.3</v>
      </c>
      <c r="AI175" s="21" t="str">
        <f t="shared" si="12"/>
        <v>김연수</v>
      </c>
      <c r="AJ175" s="49">
        <v>0.3</v>
      </c>
      <c r="AK175" s="49">
        <v>0.3</v>
      </c>
    </row>
    <row r="176" spans="1:37" ht="17.25" customHeight="1" x14ac:dyDescent="0.3">
      <c r="A176" s="41" t="s">
        <v>10</v>
      </c>
      <c r="B176" s="41" t="s">
        <v>28</v>
      </c>
      <c r="C176" s="57"/>
      <c r="D176" s="47"/>
      <c r="E176" s="57" t="s">
        <v>224</v>
      </c>
      <c r="F176" s="49" t="s">
        <v>72</v>
      </c>
      <c r="G176" s="60" t="s">
        <v>40</v>
      </c>
      <c r="H176" s="72"/>
      <c r="I176" s="72">
        <v>1</v>
      </c>
      <c r="J176" s="72">
        <v>1</v>
      </c>
      <c r="K176" s="72">
        <v>1</v>
      </c>
      <c r="L176" s="14">
        <f t="shared" si="10"/>
        <v>1</v>
      </c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  <c r="AA176" s="21"/>
      <c r="AB176" s="21"/>
      <c r="AC176" s="21"/>
      <c r="AD176" s="21"/>
      <c r="AE176" s="21"/>
      <c r="AF176" s="21" t="str">
        <f t="shared" si="11"/>
        <v>김연수</v>
      </c>
      <c r="AG176" s="49">
        <v>0.3</v>
      </c>
      <c r="AH176" s="49">
        <v>0.3</v>
      </c>
      <c r="AI176" s="21" t="str">
        <f t="shared" si="12"/>
        <v>김연수</v>
      </c>
      <c r="AJ176" s="49">
        <v>0.3</v>
      </c>
      <c r="AK176" s="49">
        <v>0.3</v>
      </c>
    </row>
    <row r="177" spans="1:37" ht="17.25" customHeight="1" x14ac:dyDescent="0.3">
      <c r="A177" s="41" t="s">
        <v>11</v>
      </c>
      <c r="B177" s="41" t="s">
        <v>28</v>
      </c>
      <c r="C177" s="57"/>
      <c r="D177" s="47" t="s">
        <v>225</v>
      </c>
      <c r="E177" s="57" t="s">
        <v>67</v>
      </c>
      <c r="F177" s="49" t="s">
        <v>7</v>
      </c>
      <c r="G177" s="60" t="s">
        <v>40</v>
      </c>
      <c r="H177" s="72"/>
      <c r="I177" s="72">
        <v>0.5</v>
      </c>
      <c r="J177" s="72">
        <v>0.5</v>
      </c>
      <c r="K177" s="72">
        <v>0.5</v>
      </c>
      <c r="L177" s="14">
        <f t="shared" si="10"/>
        <v>1</v>
      </c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  <c r="AA177" s="21"/>
      <c r="AB177" s="21"/>
      <c r="AC177" s="21"/>
      <c r="AD177" s="21"/>
      <c r="AE177" s="21"/>
      <c r="AF177" s="21" t="str">
        <f t="shared" si="11"/>
        <v>김연수</v>
      </c>
      <c r="AG177" s="49">
        <v>0.3</v>
      </c>
      <c r="AH177" s="49">
        <v>0.3</v>
      </c>
      <c r="AI177" s="21" t="str">
        <f t="shared" si="12"/>
        <v>김연수</v>
      </c>
      <c r="AJ177" s="49">
        <v>0.3</v>
      </c>
      <c r="AK177" s="49">
        <v>0.3</v>
      </c>
    </row>
    <row r="178" spans="1:37" ht="17.25" customHeight="1" x14ac:dyDescent="0.3">
      <c r="A178" s="41" t="s">
        <v>12</v>
      </c>
      <c r="B178" s="41" t="s">
        <v>28</v>
      </c>
      <c r="C178" s="57"/>
      <c r="D178" s="47"/>
      <c r="E178" s="57" t="s">
        <v>224</v>
      </c>
      <c r="F178" s="49" t="s">
        <v>72</v>
      </c>
      <c r="G178" s="60" t="s">
        <v>40</v>
      </c>
      <c r="H178" s="72"/>
      <c r="I178" s="72">
        <v>1</v>
      </c>
      <c r="J178" s="72">
        <v>1</v>
      </c>
      <c r="K178" s="72">
        <v>1</v>
      </c>
      <c r="L178" s="14">
        <f t="shared" si="10"/>
        <v>1</v>
      </c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  <c r="AA178" s="21"/>
      <c r="AB178" s="21"/>
      <c r="AC178" s="21"/>
      <c r="AD178" s="21"/>
      <c r="AE178" s="21"/>
      <c r="AF178" s="21" t="str">
        <f t="shared" si="11"/>
        <v>김연수</v>
      </c>
      <c r="AG178" s="49">
        <v>0.3</v>
      </c>
      <c r="AH178" s="49">
        <v>0.3</v>
      </c>
      <c r="AI178" s="21" t="str">
        <f t="shared" si="12"/>
        <v>김연수</v>
      </c>
      <c r="AJ178" s="49">
        <v>0.3</v>
      </c>
      <c r="AK178" s="49">
        <v>0.3</v>
      </c>
    </row>
    <row r="179" spans="1:37" ht="17.25" customHeight="1" x14ac:dyDescent="0.3">
      <c r="A179" s="41" t="s">
        <v>13</v>
      </c>
      <c r="B179" s="41" t="s">
        <v>28</v>
      </c>
      <c r="C179" s="57"/>
      <c r="D179" s="47" t="s">
        <v>226</v>
      </c>
      <c r="E179" s="57" t="s">
        <v>227</v>
      </c>
      <c r="F179" s="49" t="s">
        <v>7</v>
      </c>
      <c r="G179" s="60" t="s">
        <v>40</v>
      </c>
      <c r="H179" s="72"/>
      <c r="I179" s="72">
        <v>0.5</v>
      </c>
      <c r="J179" s="72">
        <v>0.5</v>
      </c>
      <c r="K179" s="72">
        <v>0.5</v>
      </c>
      <c r="L179" s="14">
        <f t="shared" si="10"/>
        <v>1</v>
      </c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  <c r="AA179" s="21"/>
      <c r="AB179" s="21"/>
      <c r="AC179" s="21"/>
      <c r="AD179" s="21"/>
      <c r="AE179" s="21"/>
      <c r="AF179" s="21" t="str">
        <f t="shared" si="11"/>
        <v>김연수</v>
      </c>
      <c r="AG179" s="49">
        <v>0.3</v>
      </c>
      <c r="AH179" s="49">
        <v>0.3</v>
      </c>
      <c r="AI179" s="21" t="str">
        <f t="shared" si="12"/>
        <v>김연수</v>
      </c>
      <c r="AJ179" s="49">
        <v>0.3</v>
      </c>
      <c r="AK179" s="49">
        <v>0.3</v>
      </c>
    </row>
    <row r="180" spans="1:37" ht="17.25" customHeight="1" x14ac:dyDescent="0.3">
      <c r="A180" s="41" t="s">
        <v>33</v>
      </c>
      <c r="B180" s="41" t="s">
        <v>28</v>
      </c>
      <c r="C180" s="57"/>
      <c r="D180" s="47"/>
      <c r="E180" s="57" t="s">
        <v>228</v>
      </c>
      <c r="F180" s="49" t="s">
        <v>7</v>
      </c>
      <c r="G180" s="60" t="s">
        <v>40</v>
      </c>
      <c r="H180" s="72"/>
      <c r="I180" s="72">
        <v>0.5</v>
      </c>
      <c r="J180" s="72">
        <v>0.5</v>
      </c>
      <c r="K180" s="72">
        <v>0.5</v>
      </c>
      <c r="L180" s="14">
        <f t="shared" si="10"/>
        <v>1</v>
      </c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  <c r="AA180" s="21"/>
      <c r="AB180" s="21"/>
      <c r="AC180" s="21"/>
      <c r="AD180" s="21"/>
      <c r="AE180" s="21"/>
      <c r="AF180" s="21" t="str">
        <f t="shared" si="11"/>
        <v>김연수</v>
      </c>
      <c r="AG180" s="49">
        <v>0.3</v>
      </c>
      <c r="AH180" s="49">
        <v>0.3</v>
      </c>
      <c r="AI180" s="21" t="str">
        <f t="shared" si="12"/>
        <v>김연수</v>
      </c>
      <c r="AJ180" s="49">
        <v>0.3</v>
      </c>
      <c r="AK180" s="49">
        <v>0.3</v>
      </c>
    </row>
    <row r="181" spans="1:37" ht="17.25" customHeight="1" x14ac:dyDescent="0.3">
      <c r="A181" s="41" t="s">
        <v>14</v>
      </c>
      <c r="B181" s="41" t="s">
        <v>28</v>
      </c>
      <c r="C181" s="57"/>
      <c r="D181" s="47"/>
      <c r="E181" s="57" t="s">
        <v>229</v>
      </c>
      <c r="F181" s="49" t="s">
        <v>72</v>
      </c>
      <c r="G181" s="60" t="s">
        <v>40</v>
      </c>
      <c r="H181" s="72"/>
      <c r="I181" s="72">
        <v>1</v>
      </c>
      <c r="J181" s="72">
        <v>1</v>
      </c>
      <c r="K181" s="72">
        <v>1</v>
      </c>
      <c r="L181" s="14">
        <f t="shared" ref="L181:L235" si="13">K181/J181</f>
        <v>1</v>
      </c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  <c r="AA181" s="21"/>
      <c r="AB181" s="21"/>
      <c r="AC181" s="21"/>
      <c r="AD181" s="21"/>
      <c r="AE181" s="21"/>
      <c r="AF181" s="21" t="str">
        <f t="shared" si="11"/>
        <v>김연수</v>
      </c>
      <c r="AG181" s="49">
        <v>0.3</v>
      </c>
      <c r="AH181" s="49">
        <v>0.3</v>
      </c>
      <c r="AI181" s="21" t="str">
        <f t="shared" si="12"/>
        <v>김연수</v>
      </c>
      <c r="AJ181" s="49">
        <v>0.3</v>
      </c>
      <c r="AK181" s="49">
        <v>0.3</v>
      </c>
    </row>
    <row r="182" spans="1:37" ht="17.25" customHeight="1" x14ac:dyDescent="0.3">
      <c r="A182" s="144" t="s">
        <v>28</v>
      </c>
      <c r="B182" s="145"/>
      <c r="C182" s="34" t="s">
        <v>147</v>
      </c>
      <c r="D182" s="126"/>
      <c r="E182" s="110"/>
      <c r="F182" s="111"/>
      <c r="G182" s="116"/>
      <c r="H182" s="112"/>
      <c r="I182" s="113">
        <f>SUM(I183:I188)</f>
        <v>5</v>
      </c>
      <c r="J182" s="113">
        <f>SUM(J183:J188)</f>
        <v>5</v>
      </c>
      <c r="K182" s="113">
        <f>SUM(K183:K188)</f>
        <v>5</v>
      </c>
      <c r="L182" s="134"/>
      <c r="M182" s="118"/>
      <c r="N182" s="118"/>
      <c r="O182" s="118"/>
      <c r="P182" s="118"/>
      <c r="Q182" s="118"/>
      <c r="R182" s="118"/>
      <c r="S182" s="118"/>
      <c r="T182" s="118"/>
      <c r="U182" s="118"/>
      <c r="V182" s="118"/>
      <c r="W182" s="118"/>
      <c r="X182" s="118"/>
      <c r="Y182" s="118"/>
      <c r="Z182" s="118"/>
      <c r="AA182" s="118"/>
      <c r="AB182" s="118"/>
      <c r="AC182" s="118"/>
      <c r="AD182" s="118"/>
      <c r="AE182" s="118"/>
      <c r="AF182" s="118"/>
      <c r="AG182" s="38">
        <f>SUM(AG183:AG188)</f>
        <v>1.8</v>
      </c>
      <c r="AH182" s="38">
        <f>SUM(AH183:AH188)</f>
        <v>1.8</v>
      </c>
      <c r="AI182" s="118"/>
      <c r="AJ182" s="38">
        <f>SUM(AJ183:AJ188)</f>
        <v>1.8</v>
      </c>
      <c r="AK182" s="38">
        <f>SUM(AK183:AK188)</f>
        <v>1.8</v>
      </c>
    </row>
    <row r="183" spans="1:37" ht="17.25" customHeight="1" x14ac:dyDescent="0.3">
      <c r="A183" s="41" t="s">
        <v>17</v>
      </c>
      <c r="B183" s="41" t="s">
        <v>28</v>
      </c>
      <c r="C183" s="57"/>
      <c r="D183" s="127" t="s">
        <v>230</v>
      </c>
      <c r="E183" s="86" t="s">
        <v>231</v>
      </c>
      <c r="F183" s="117" t="s">
        <v>7</v>
      </c>
      <c r="G183" s="60" t="s">
        <v>40</v>
      </c>
      <c r="H183" s="74"/>
      <c r="I183" s="90">
        <v>0.5</v>
      </c>
      <c r="J183" s="90">
        <v>0.5</v>
      </c>
      <c r="K183" s="90">
        <v>0.5</v>
      </c>
      <c r="L183" s="14">
        <f t="shared" si="13"/>
        <v>1</v>
      </c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  <c r="AA183" s="21"/>
      <c r="AB183" s="21"/>
      <c r="AC183" s="21"/>
      <c r="AD183" s="21"/>
      <c r="AE183" s="21"/>
      <c r="AF183" s="21" t="str">
        <f t="shared" si="11"/>
        <v>김연수</v>
      </c>
      <c r="AG183" s="49">
        <v>0.3</v>
      </c>
      <c r="AH183" s="49">
        <v>0.3</v>
      </c>
      <c r="AI183" s="21" t="str">
        <f t="shared" si="12"/>
        <v>김연수</v>
      </c>
      <c r="AJ183" s="49">
        <v>0.3</v>
      </c>
      <c r="AK183" s="49">
        <v>0.3</v>
      </c>
    </row>
    <row r="184" spans="1:37" ht="17.25" customHeight="1" x14ac:dyDescent="0.3">
      <c r="A184" s="41" t="s">
        <v>45</v>
      </c>
      <c r="B184" s="41" t="s">
        <v>28</v>
      </c>
      <c r="C184" s="57"/>
      <c r="D184" s="127"/>
      <c r="E184" s="86" t="s">
        <v>232</v>
      </c>
      <c r="F184" s="117" t="s">
        <v>72</v>
      </c>
      <c r="G184" s="60" t="s">
        <v>40</v>
      </c>
      <c r="H184" s="74"/>
      <c r="I184" s="90">
        <v>0.5</v>
      </c>
      <c r="J184" s="90">
        <v>0.5</v>
      </c>
      <c r="K184" s="90">
        <v>0.5</v>
      </c>
      <c r="L184" s="14">
        <f t="shared" si="13"/>
        <v>1</v>
      </c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  <c r="AA184" s="21"/>
      <c r="AB184" s="21"/>
      <c r="AC184" s="21"/>
      <c r="AD184" s="21"/>
      <c r="AE184" s="21"/>
      <c r="AF184" s="21" t="str">
        <f t="shared" si="11"/>
        <v>김연수</v>
      </c>
      <c r="AG184" s="49">
        <v>0.3</v>
      </c>
      <c r="AH184" s="49">
        <v>0.3</v>
      </c>
      <c r="AI184" s="21" t="str">
        <f t="shared" si="12"/>
        <v>김연수</v>
      </c>
      <c r="AJ184" s="49">
        <v>0.3</v>
      </c>
      <c r="AK184" s="49">
        <v>0.3</v>
      </c>
    </row>
    <row r="185" spans="1:37" ht="17.25" customHeight="1" x14ac:dyDescent="0.3">
      <c r="A185" s="41" t="s">
        <v>9</v>
      </c>
      <c r="B185" s="41" t="s">
        <v>28</v>
      </c>
      <c r="C185" s="57"/>
      <c r="D185" s="127"/>
      <c r="E185" s="86" t="s">
        <v>233</v>
      </c>
      <c r="F185" s="117" t="s">
        <v>72</v>
      </c>
      <c r="G185" s="60" t="s">
        <v>40</v>
      </c>
      <c r="H185" s="74"/>
      <c r="I185" s="90">
        <v>1</v>
      </c>
      <c r="J185" s="90">
        <v>1</v>
      </c>
      <c r="K185" s="90">
        <v>1</v>
      </c>
      <c r="L185" s="14">
        <f t="shared" si="13"/>
        <v>1</v>
      </c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  <c r="AA185" s="21"/>
      <c r="AB185" s="21"/>
      <c r="AC185" s="21"/>
      <c r="AD185" s="21"/>
      <c r="AE185" s="21"/>
      <c r="AF185" s="21" t="str">
        <f t="shared" si="11"/>
        <v>김연수</v>
      </c>
      <c r="AG185" s="49">
        <v>0.3</v>
      </c>
      <c r="AH185" s="49">
        <v>0.3</v>
      </c>
      <c r="AI185" s="21" t="str">
        <f t="shared" si="12"/>
        <v>김연수</v>
      </c>
      <c r="AJ185" s="49">
        <v>0.3</v>
      </c>
      <c r="AK185" s="49">
        <v>0.3</v>
      </c>
    </row>
    <row r="186" spans="1:37" ht="17.25" customHeight="1" x14ac:dyDescent="0.3">
      <c r="A186" s="41" t="s">
        <v>10</v>
      </c>
      <c r="B186" s="41" t="s">
        <v>28</v>
      </c>
      <c r="C186" s="57"/>
      <c r="D186" s="82"/>
      <c r="E186" s="82" t="s">
        <v>234</v>
      </c>
      <c r="F186" s="117" t="s">
        <v>72</v>
      </c>
      <c r="G186" s="60" t="s">
        <v>40</v>
      </c>
      <c r="H186" s="74"/>
      <c r="I186" s="90">
        <v>1</v>
      </c>
      <c r="J186" s="90">
        <v>1</v>
      </c>
      <c r="K186" s="90">
        <v>1</v>
      </c>
      <c r="L186" s="14">
        <f t="shared" si="13"/>
        <v>1</v>
      </c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  <c r="AA186" s="21"/>
      <c r="AB186" s="21"/>
      <c r="AC186" s="21"/>
      <c r="AD186" s="21"/>
      <c r="AE186" s="21"/>
      <c r="AF186" s="21" t="str">
        <f t="shared" si="11"/>
        <v>김연수</v>
      </c>
      <c r="AG186" s="49">
        <v>0.3</v>
      </c>
      <c r="AH186" s="49">
        <v>0.3</v>
      </c>
      <c r="AI186" s="21" t="str">
        <f t="shared" si="12"/>
        <v>김연수</v>
      </c>
      <c r="AJ186" s="49">
        <v>0.3</v>
      </c>
      <c r="AK186" s="49">
        <v>0.3</v>
      </c>
    </row>
    <row r="187" spans="1:37" ht="17.25" customHeight="1" x14ac:dyDescent="0.3">
      <c r="A187" s="41" t="s">
        <v>11</v>
      </c>
      <c r="B187" s="41" t="s">
        <v>28</v>
      </c>
      <c r="C187" s="57"/>
      <c r="D187" s="127"/>
      <c r="E187" s="86" t="s">
        <v>235</v>
      </c>
      <c r="F187" s="117" t="s">
        <v>72</v>
      </c>
      <c r="G187" s="60" t="s">
        <v>40</v>
      </c>
      <c r="H187" s="74"/>
      <c r="I187" s="90">
        <v>1</v>
      </c>
      <c r="J187" s="90">
        <v>1</v>
      </c>
      <c r="K187" s="90">
        <v>1</v>
      </c>
      <c r="L187" s="14">
        <f t="shared" si="13"/>
        <v>1</v>
      </c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  <c r="AA187" s="21"/>
      <c r="AB187" s="21"/>
      <c r="AC187" s="21"/>
      <c r="AD187" s="21"/>
      <c r="AE187" s="21"/>
      <c r="AF187" s="21" t="str">
        <f t="shared" si="11"/>
        <v>김연수</v>
      </c>
      <c r="AG187" s="49">
        <v>0.3</v>
      </c>
      <c r="AH187" s="49">
        <v>0.3</v>
      </c>
      <c r="AI187" s="21" t="str">
        <f t="shared" si="12"/>
        <v>김연수</v>
      </c>
      <c r="AJ187" s="49">
        <v>0.3</v>
      </c>
      <c r="AK187" s="49">
        <v>0.3</v>
      </c>
    </row>
    <row r="188" spans="1:37" ht="17.25" customHeight="1" x14ac:dyDescent="0.3">
      <c r="A188" s="41" t="s">
        <v>12</v>
      </c>
      <c r="B188" s="41" t="s">
        <v>28</v>
      </c>
      <c r="C188" s="57"/>
      <c r="D188" s="82"/>
      <c r="E188" s="82" t="s">
        <v>236</v>
      </c>
      <c r="F188" s="117" t="s">
        <v>72</v>
      </c>
      <c r="G188" s="60" t="s">
        <v>40</v>
      </c>
      <c r="H188" s="74"/>
      <c r="I188" s="90">
        <v>1</v>
      </c>
      <c r="J188" s="90">
        <v>1</v>
      </c>
      <c r="K188" s="90">
        <v>1</v>
      </c>
      <c r="L188" s="14">
        <f t="shared" si="13"/>
        <v>1</v>
      </c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  <c r="AA188" s="21"/>
      <c r="AB188" s="21"/>
      <c r="AC188" s="21"/>
      <c r="AD188" s="21"/>
      <c r="AE188" s="21"/>
      <c r="AF188" s="21" t="str">
        <f t="shared" si="11"/>
        <v>김연수</v>
      </c>
      <c r="AG188" s="49">
        <v>0.3</v>
      </c>
      <c r="AH188" s="49">
        <v>0.3</v>
      </c>
      <c r="AI188" s="21" t="str">
        <f t="shared" si="12"/>
        <v>김연수</v>
      </c>
      <c r="AJ188" s="49">
        <v>0.3</v>
      </c>
      <c r="AK188" s="49">
        <v>0.3</v>
      </c>
    </row>
    <row r="189" spans="1:37" ht="17.25" customHeight="1" x14ac:dyDescent="0.3">
      <c r="A189" s="150" t="s">
        <v>19</v>
      </c>
      <c r="B189" s="151"/>
      <c r="C189" s="128" t="s">
        <v>237</v>
      </c>
      <c r="D189" s="40"/>
      <c r="E189" s="39"/>
      <c r="F189" s="56"/>
      <c r="G189" s="118"/>
      <c r="H189" s="55"/>
      <c r="I189" s="118">
        <f>SUM(I190:I200)</f>
        <v>13.5</v>
      </c>
      <c r="J189" s="118">
        <f>SUM(J190:J200)</f>
        <v>13.5</v>
      </c>
      <c r="K189" s="118">
        <f>SUM(K190:K200)</f>
        <v>13.5</v>
      </c>
      <c r="L189" s="118"/>
      <c r="M189" s="118"/>
      <c r="N189" s="118"/>
      <c r="O189" s="118"/>
      <c r="P189" s="118"/>
      <c r="Q189" s="118"/>
      <c r="R189" s="118"/>
      <c r="S189" s="118"/>
      <c r="T189" s="118"/>
      <c r="U189" s="118"/>
      <c r="V189" s="118"/>
      <c r="W189" s="118"/>
      <c r="X189" s="118"/>
      <c r="Y189" s="118"/>
      <c r="Z189" s="118"/>
      <c r="AA189" s="118"/>
      <c r="AB189" s="118"/>
      <c r="AC189" s="118"/>
      <c r="AD189" s="118"/>
      <c r="AE189" s="118"/>
      <c r="AF189" s="118"/>
      <c r="AG189" s="118">
        <f>SUM(AG190:AG200)</f>
        <v>0</v>
      </c>
      <c r="AH189" s="118">
        <f>SUM(AH190:AH200)</f>
        <v>0</v>
      </c>
      <c r="AI189" s="118"/>
      <c r="AJ189" s="118">
        <f>SUM(AJ190:AJ200)</f>
        <v>0</v>
      </c>
      <c r="AK189" s="118">
        <f>SUM(AK190:AK200)</f>
        <v>0</v>
      </c>
    </row>
    <row r="190" spans="1:37" ht="17.25" customHeight="1" x14ac:dyDescent="0.3">
      <c r="A190" s="49">
        <v>1</v>
      </c>
      <c r="B190" s="49" t="s">
        <v>19</v>
      </c>
      <c r="C190" s="47"/>
      <c r="D190" s="129" t="s">
        <v>238</v>
      </c>
      <c r="E190" s="47" t="s">
        <v>239</v>
      </c>
      <c r="F190" s="59" t="s">
        <v>72</v>
      </c>
      <c r="G190" s="136" t="s">
        <v>37</v>
      </c>
      <c r="H190" s="130"/>
      <c r="I190" s="73">
        <v>0.5</v>
      </c>
      <c r="J190" s="73">
        <v>0.5</v>
      </c>
      <c r="K190" s="61">
        <v>0.5</v>
      </c>
      <c r="L190" s="14">
        <f t="shared" si="13"/>
        <v>1</v>
      </c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  <c r="AA190" s="21"/>
      <c r="AB190" s="21"/>
      <c r="AC190" s="21"/>
      <c r="AD190" s="21"/>
      <c r="AE190" s="21"/>
      <c r="AF190" s="21" t="str">
        <f t="shared" si="11"/>
        <v>김정훈</v>
      </c>
      <c r="AG190" s="73"/>
      <c r="AH190" s="73"/>
      <c r="AI190" s="21" t="str">
        <f t="shared" si="12"/>
        <v>김정훈</v>
      </c>
      <c r="AJ190" s="73"/>
      <c r="AK190" s="73"/>
    </row>
    <row r="191" spans="1:37" ht="17.25" customHeight="1" x14ac:dyDescent="0.3">
      <c r="A191" s="49">
        <v>2</v>
      </c>
      <c r="B191" s="49" t="s">
        <v>19</v>
      </c>
      <c r="C191" s="47"/>
      <c r="D191" s="129" t="s">
        <v>240</v>
      </c>
      <c r="E191" s="47" t="s">
        <v>239</v>
      </c>
      <c r="F191" s="59" t="s">
        <v>72</v>
      </c>
      <c r="G191" s="60" t="s">
        <v>40</v>
      </c>
      <c r="H191" s="130"/>
      <c r="I191" s="73">
        <v>2</v>
      </c>
      <c r="J191" s="73">
        <v>2</v>
      </c>
      <c r="K191" s="62">
        <v>2</v>
      </c>
      <c r="L191" s="14">
        <f t="shared" si="13"/>
        <v>1</v>
      </c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  <c r="AA191" s="21"/>
      <c r="AB191" s="21"/>
      <c r="AC191" s="21"/>
      <c r="AD191" s="21"/>
      <c r="AE191" s="21"/>
      <c r="AF191" s="21" t="str">
        <f t="shared" si="11"/>
        <v>김연수</v>
      </c>
      <c r="AG191" s="73"/>
      <c r="AH191" s="73"/>
      <c r="AI191" s="21" t="str">
        <f t="shared" si="12"/>
        <v>김연수</v>
      </c>
      <c r="AJ191" s="73"/>
      <c r="AK191" s="73"/>
    </row>
    <row r="192" spans="1:37" ht="17.25" customHeight="1" x14ac:dyDescent="0.3">
      <c r="A192" s="49">
        <v>3</v>
      </c>
      <c r="B192" s="49" t="s">
        <v>19</v>
      </c>
      <c r="C192" s="47"/>
      <c r="D192" s="129" t="s">
        <v>241</v>
      </c>
      <c r="E192" s="47" t="s">
        <v>239</v>
      </c>
      <c r="F192" s="59" t="s">
        <v>72</v>
      </c>
      <c r="G192" s="60" t="s">
        <v>40</v>
      </c>
      <c r="H192" s="130"/>
      <c r="I192" s="73">
        <v>2</v>
      </c>
      <c r="J192" s="73">
        <v>2</v>
      </c>
      <c r="K192" s="62">
        <v>2</v>
      </c>
      <c r="L192" s="14">
        <f t="shared" si="13"/>
        <v>1</v>
      </c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  <c r="AA192" s="21"/>
      <c r="AB192" s="21"/>
      <c r="AC192" s="21"/>
      <c r="AD192" s="21"/>
      <c r="AE192" s="21"/>
      <c r="AF192" s="21" t="str">
        <f t="shared" si="11"/>
        <v>김연수</v>
      </c>
      <c r="AG192" s="73"/>
      <c r="AH192" s="73"/>
      <c r="AI192" s="21" t="str">
        <f t="shared" si="12"/>
        <v>김연수</v>
      </c>
      <c r="AJ192" s="73"/>
      <c r="AK192" s="73"/>
    </row>
    <row r="193" spans="1:37" ht="17.25" customHeight="1" x14ac:dyDescent="0.3">
      <c r="A193" s="49">
        <v>4</v>
      </c>
      <c r="B193" s="49" t="s">
        <v>19</v>
      </c>
      <c r="C193" s="47"/>
      <c r="D193" s="129" t="s">
        <v>242</v>
      </c>
      <c r="E193" s="47" t="s">
        <v>239</v>
      </c>
      <c r="F193" s="59" t="s">
        <v>72</v>
      </c>
      <c r="G193" s="133" t="s">
        <v>38</v>
      </c>
      <c r="H193" s="130"/>
      <c r="I193" s="73">
        <v>2</v>
      </c>
      <c r="J193" s="73">
        <v>2</v>
      </c>
      <c r="K193" s="62">
        <v>2</v>
      </c>
      <c r="L193" s="14">
        <f t="shared" si="13"/>
        <v>1</v>
      </c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  <c r="AA193" s="21"/>
      <c r="AB193" s="21"/>
      <c r="AC193" s="21"/>
      <c r="AD193" s="21"/>
      <c r="AE193" s="21"/>
      <c r="AF193" s="21" t="str">
        <f t="shared" si="11"/>
        <v>백현주</v>
      </c>
      <c r="AG193" s="73"/>
      <c r="AH193" s="73"/>
      <c r="AI193" s="21" t="str">
        <f t="shared" si="12"/>
        <v>백현주</v>
      </c>
      <c r="AJ193" s="73"/>
      <c r="AK193" s="73"/>
    </row>
    <row r="194" spans="1:37" ht="17.25" customHeight="1" x14ac:dyDescent="0.3">
      <c r="A194" s="49">
        <v>5</v>
      </c>
      <c r="B194" s="49" t="s">
        <v>19</v>
      </c>
      <c r="C194" s="47"/>
      <c r="D194" s="129" t="s">
        <v>243</v>
      </c>
      <c r="E194" s="47" t="s">
        <v>239</v>
      </c>
      <c r="F194" s="59" t="s">
        <v>72</v>
      </c>
      <c r="G194" s="133" t="s">
        <v>38</v>
      </c>
      <c r="H194" s="130"/>
      <c r="I194" s="73">
        <v>1</v>
      </c>
      <c r="J194" s="73">
        <v>1</v>
      </c>
      <c r="K194" s="62">
        <v>1</v>
      </c>
      <c r="L194" s="14">
        <f t="shared" si="13"/>
        <v>1</v>
      </c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  <c r="AA194" s="21"/>
      <c r="AB194" s="21"/>
      <c r="AC194" s="21"/>
      <c r="AD194" s="21"/>
      <c r="AE194" s="21"/>
      <c r="AF194" s="21" t="str">
        <f t="shared" si="11"/>
        <v>백현주</v>
      </c>
      <c r="AG194" s="73"/>
      <c r="AH194" s="73"/>
      <c r="AI194" s="21" t="str">
        <f t="shared" si="12"/>
        <v>백현주</v>
      </c>
      <c r="AJ194" s="73"/>
      <c r="AK194" s="73"/>
    </row>
    <row r="195" spans="1:37" ht="17.25" customHeight="1" x14ac:dyDescent="0.3">
      <c r="A195" s="49">
        <v>6</v>
      </c>
      <c r="B195" s="49" t="s">
        <v>19</v>
      </c>
      <c r="C195" s="47"/>
      <c r="D195" s="129" t="s">
        <v>244</v>
      </c>
      <c r="E195" s="47" t="s">
        <v>239</v>
      </c>
      <c r="F195" s="59" t="s">
        <v>72</v>
      </c>
      <c r="G195" s="60" t="s">
        <v>40</v>
      </c>
      <c r="H195" s="130"/>
      <c r="I195" s="73">
        <v>1</v>
      </c>
      <c r="J195" s="73">
        <v>1</v>
      </c>
      <c r="K195" s="62">
        <v>1</v>
      </c>
      <c r="L195" s="14">
        <f t="shared" si="13"/>
        <v>1</v>
      </c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  <c r="AA195" s="21"/>
      <c r="AB195" s="21"/>
      <c r="AC195" s="21"/>
      <c r="AD195" s="21"/>
      <c r="AE195" s="21"/>
      <c r="AF195" s="21" t="str">
        <f t="shared" si="11"/>
        <v>김연수</v>
      </c>
      <c r="AG195" s="73"/>
      <c r="AH195" s="73"/>
      <c r="AI195" s="21" t="str">
        <f t="shared" si="12"/>
        <v>김연수</v>
      </c>
      <c r="AJ195" s="73"/>
      <c r="AK195" s="73"/>
    </row>
    <row r="196" spans="1:37" ht="17.25" customHeight="1" x14ac:dyDescent="0.3">
      <c r="A196" s="49">
        <v>7</v>
      </c>
      <c r="B196" s="49" t="s">
        <v>19</v>
      </c>
      <c r="C196" s="47"/>
      <c r="D196" s="129" t="s">
        <v>245</v>
      </c>
      <c r="E196" s="47" t="s">
        <v>239</v>
      </c>
      <c r="F196" s="59" t="s">
        <v>72</v>
      </c>
      <c r="G196" s="60" t="s">
        <v>40</v>
      </c>
      <c r="H196" s="130"/>
      <c r="I196" s="73">
        <v>1</v>
      </c>
      <c r="J196" s="73">
        <v>1</v>
      </c>
      <c r="K196" s="62">
        <v>1</v>
      </c>
      <c r="L196" s="14">
        <f t="shared" si="13"/>
        <v>1</v>
      </c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  <c r="AA196" s="21"/>
      <c r="AB196" s="21"/>
      <c r="AC196" s="21"/>
      <c r="AD196" s="21"/>
      <c r="AE196" s="21"/>
      <c r="AF196" s="21" t="str">
        <f t="shared" si="11"/>
        <v>김연수</v>
      </c>
      <c r="AG196" s="73"/>
      <c r="AH196" s="73"/>
      <c r="AI196" s="21" t="str">
        <f t="shared" si="12"/>
        <v>김연수</v>
      </c>
      <c r="AJ196" s="73"/>
      <c r="AK196" s="73"/>
    </row>
    <row r="197" spans="1:37" ht="17.25" customHeight="1" x14ac:dyDescent="0.3">
      <c r="A197" s="49">
        <v>8</v>
      </c>
      <c r="B197" s="49" t="s">
        <v>19</v>
      </c>
      <c r="C197" s="47"/>
      <c r="D197" s="129" t="s">
        <v>246</v>
      </c>
      <c r="E197" s="47" t="s">
        <v>239</v>
      </c>
      <c r="F197" s="59" t="s">
        <v>72</v>
      </c>
      <c r="G197" s="60" t="s">
        <v>40</v>
      </c>
      <c r="H197" s="130"/>
      <c r="I197" s="73">
        <v>1</v>
      </c>
      <c r="J197" s="73">
        <v>1</v>
      </c>
      <c r="K197" s="62">
        <v>1</v>
      </c>
      <c r="L197" s="14">
        <f t="shared" si="13"/>
        <v>1</v>
      </c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  <c r="AA197" s="21"/>
      <c r="AB197" s="21"/>
      <c r="AC197" s="21"/>
      <c r="AD197" s="21"/>
      <c r="AE197" s="21"/>
      <c r="AF197" s="21" t="str">
        <f t="shared" si="11"/>
        <v>김연수</v>
      </c>
      <c r="AG197" s="73"/>
      <c r="AH197" s="73"/>
      <c r="AI197" s="21" t="str">
        <f t="shared" si="12"/>
        <v>김연수</v>
      </c>
      <c r="AJ197" s="73"/>
      <c r="AK197" s="73"/>
    </row>
    <row r="198" spans="1:37" ht="17.25" customHeight="1" x14ac:dyDescent="0.3">
      <c r="A198" s="49">
        <v>9</v>
      </c>
      <c r="B198" s="49" t="s">
        <v>19</v>
      </c>
      <c r="C198" s="47"/>
      <c r="D198" s="129" t="s">
        <v>247</v>
      </c>
      <c r="E198" s="47" t="s">
        <v>239</v>
      </c>
      <c r="F198" s="59" t="s">
        <v>72</v>
      </c>
      <c r="G198" s="60" t="s">
        <v>40</v>
      </c>
      <c r="H198" s="130"/>
      <c r="I198" s="73">
        <v>1</v>
      </c>
      <c r="J198" s="73">
        <v>1</v>
      </c>
      <c r="K198" s="62">
        <v>1</v>
      </c>
      <c r="L198" s="14">
        <f t="shared" si="13"/>
        <v>1</v>
      </c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  <c r="AA198" s="21"/>
      <c r="AB198" s="21"/>
      <c r="AC198" s="21"/>
      <c r="AD198" s="21"/>
      <c r="AE198" s="21"/>
      <c r="AF198" s="21" t="str">
        <f t="shared" ref="AF198:AF235" si="14">G198</f>
        <v>김연수</v>
      </c>
      <c r="AG198" s="73"/>
      <c r="AH198" s="73"/>
      <c r="AI198" s="21" t="str">
        <f t="shared" ref="AI198:AI235" si="15">G198</f>
        <v>김연수</v>
      </c>
      <c r="AJ198" s="73"/>
      <c r="AK198" s="73"/>
    </row>
    <row r="199" spans="1:37" ht="17.25" customHeight="1" x14ac:dyDescent="0.3">
      <c r="A199" s="49">
        <v>10</v>
      </c>
      <c r="B199" s="49" t="s">
        <v>19</v>
      </c>
      <c r="C199" s="47"/>
      <c r="D199" s="129" t="s">
        <v>248</v>
      </c>
      <c r="E199" s="47" t="s">
        <v>239</v>
      </c>
      <c r="F199" s="59" t="s">
        <v>72</v>
      </c>
      <c r="G199" s="60" t="s">
        <v>40</v>
      </c>
      <c r="H199" s="130"/>
      <c r="I199" s="73">
        <v>1</v>
      </c>
      <c r="J199" s="73">
        <v>1</v>
      </c>
      <c r="K199" s="62">
        <v>1</v>
      </c>
      <c r="L199" s="14">
        <f t="shared" si="13"/>
        <v>1</v>
      </c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  <c r="AA199" s="21"/>
      <c r="AB199" s="21"/>
      <c r="AC199" s="21"/>
      <c r="AD199" s="21"/>
      <c r="AE199" s="21"/>
      <c r="AF199" s="21" t="str">
        <f t="shared" si="14"/>
        <v>김연수</v>
      </c>
      <c r="AG199" s="73"/>
      <c r="AH199" s="73"/>
      <c r="AI199" s="21" t="str">
        <f t="shared" si="15"/>
        <v>김연수</v>
      </c>
      <c r="AJ199" s="73"/>
      <c r="AK199" s="73"/>
    </row>
    <row r="200" spans="1:37" ht="17.25" customHeight="1" x14ac:dyDescent="0.3">
      <c r="A200" s="49">
        <v>11</v>
      </c>
      <c r="B200" s="49" t="s">
        <v>19</v>
      </c>
      <c r="C200" s="47"/>
      <c r="D200" s="129" t="s">
        <v>249</v>
      </c>
      <c r="E200" s="47" t="s">
        <v>239</v>
      </c>
      <c r="F200" s="59" t="s">
        <v>72</v>
      </c>
      <c r="G200" s="60" t="s">
        <v>40</v>
      </c>
      <c r="H200" s="130"/>
      <c r="I200" s="73">
        <v>1</v>
      </c>
      <c r="J200" s="73">
        <v>1</v>
      </c>
      <c r="K200" s="62">
        <v>1</v>
      </c>
      <c r="L200" s="14">
        <f t="shared" si="13"/>
        <v>1</v>
      </c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  <c r="AA200" s="21"/>
      <c r="AB200" s="21"/>
      <c r="AC200" s="21"/>
      <c r="AD200" s="21"/>
      <c r="AE200" s="21"/>
      <c r="AF200" s="21" t="str">
        <f t="shared" si="14"/>
        <v>김연수</v>
      </c>
      <c r="AG200" s="73"/>
      <c r="AH200" s="73"/>
      <c r="AI200" s="21" t="str">
        <f t="shared" si="15"/>
        <v>김연수</v>
      </c>
      <c r="AJ200" s="73"/>
      <c r="AK200" s="73"/>
    </row>
    <row r="201" spans="1:37" ht="17.25" customHeight="1" x14ac:dyDescent="0.3">
      <c r="A201" s="152" t="s">
        <v>19</v>
      </c>
      <c r="B201" s="153"/>
      <c r="C201" s="39" t="s">
        <v>250</v>
      </c>
      <c r="D201" s="40"/>
      <c r="E201" s="39"/>
      <c r="F201" s="56"/>
      <c r="G201" s="118"/>
      <c r="H201" s="131"/>
      <c r="I201" s="118">
        <f>SUM(I202:I205)</f>
        <v>11</v>
      </c>
      <c r="J201" s="118">
        <f>SUM(J202:J205)</f>
        <v>11</v>
      </c>
      <c r="K201" s="118">
        <f>SUM(K202:K205)</f>
        <v>11</v>
      </c>
      <c r="L201" s="118"/>
      <c r="M201" s="118"/>
      <c r="N201" s="118"/>
      <c r="O201" s="118"/>
      <c r="P201" s="118"/>
      <c r="Q201" s="118"/>
      <c r="R201" s="118"/>
      <c r="S201" s="118"/>
      <c r="T201" s="118"/>
      <c r="U201" s="118"/>
      <c r="V201" s="118"/>
      <c r="W201" s="118"/>
      <c r="X201" s="118"/>
      <c r="Y201" s="118"/>
      <c r="Z201" s="118"/>
      <c r="AA201" s="118"/>
      <c r="AB201" s="118"/>
      <c r="AC201" s="118"/>
      <c r="AD201" s="118"/>
      <c r="AE201" s="118"/>
      <c r="AF201" s="118"/>
      <c r="AG201" s="118">
        <f>SUM(AG202:AG205)</f>
        <v>0</v>
      </c>
      <c r="AH201" s="118">
        <f>SUM(AH202:AH205)</f>
        <v>0</v>
      </c>
      <c r="AI201" s="118"/>
      <c r="AJ201" s="118">
        <f>SUM(AJ202:AJ205)</f>
        <v>0</v>
      </c>
      <c r="AK201" s="118">
        <f>SUM(AK202:AK205)</f>
        <v>0</v>
      </c>
    </row>
    <row r="202" spans="1:37" ht="17.25" customHeight="1" x14ac:dyDescent="0.25">
      <c r="A202" s="49">
        <v>1</v>
      </c>
      <c r="B202" s="49" t="s">
        <v>19</v>
      </c>
      <c r="C202" s="47"/>
      <c r="D202" s="132" t="s">
        <v>251</v>
      </c>
      <c r="E202" s="47" t="s">
        <v>239</v>
      </c>
      <c r="F202" s="59" t="s">
        <v>72</v>
      </c>
      <c r="G202" s="138" t="s">
        <v>39</v>
      </c>
      <c r="H202" s="130"/>
      <c r="I202" s="73">
        <v>2</v>
      </c>
      <c r="J202" s="73">
        <v>2</v>
      </c>
      <c r="K202" s="72">
        <v>2</v>
      </c>
      <c r="L202" s="14">
        <f t="shared" si="13"/>
        <v>1</v>
      </c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  <c r="AA202" s="21"/>
      <c r="AB202" s="21"/>
      <c r="AC202" s="21"/>
      <c r="AD202" s="21"/>
      <c r="AE202" s="21"/>
      <c r="AF202" s="21" t="str">
        <f t="shared" si="14"/>
        <v>이영진</v>
      </c>
      <c r="AG202" s="73"/>
      <c r="AH202" s="73"/>
      <c r="AI202" s="21" t="str">
        <f t="shared" si="15"/>
        <v>이영진</v>
      </c>
      <c r="AJ202" s="73"/>
      <c r="AK202" s="73"/>
    </row>
    <row r="203" spans="1:37" ht="17.25" customHeight="1" x14ac:dyDescent="0.25">
      <c r="A203" s="49">
        <v>2</v>
      </c>
      <c r="B203" s="49" t="s">
        <v>19</v>
      </c>
      <c r="C203" s="47"/>
      <c r="D203" s="132" t="s">
        <v>252</v>
      </c>
      <c r="E203" s="47" t="s">
        <v>239</v>
      </c>
      <c r="F203" s="59" t="s">
        <v>72</v>
      </c>
      <c r="G203" s="138" t="s">
        <v>39</v>
      </c>
      <c r="H203" s="130"/>
      <c r="I203" s="73">
        <v>1</v>
      </c>
      <c r="J203" s="73">
        <v>1</v>
      </c>
      <c r="K203" s="72">
        <v>1</v>
      </c>
      <c r="L203" s="14">
        <f t="shared" si="13"/>
        <v>1</v>
      </c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  <c r="AA203" s="21"/>
      <c r="AB203" s="21"/>
      <c r="AC203" s="21"/>
      <c r="AD203" s="21"/>
      <c r="AE203" s="21"/>
      <c r="AF203" s="21" t="str">
        <f t="shared" si="14"/>
        <v>이영진</v>
      </c>
      <c r="AG203" s="73"/>
      <c r="AH203" s="73"/>
      <c r="AI203" s="21" t="str">
        <f t="shared" si="15"/>
        <v>이영진</v>
      </c>
      <c r="AJ203" s="73"/>
      <c r="AK203" s="73"/>
    </row>
    <row r="204" spans="1:37" ht="17.25" customHeight="1" x14ac:dyDescent="0.3">
      <c r="A204" s="49">
        <v>3</v>
      </c>
      <c r="B204" s="49" t="s">
        <v>19</v>
      </c>
      <c r="C204" s="47"/>
      <c r="D204" s="132" t="s">
        <v>253</v>
      </c>
      <c r="E204" s="47" t="s">
        <v>239</v>
      </c>
      <c r="F204" s="59" t="s">
        <v>72</v>
      </c>
      <c r="G204" s="136" t="s">
        <v>37</v>
      </c>
      <c r="H204" s="130"/>
      <c r="I204" s="73">
        <v>5</v>
      </c>
      <c r="J204" s="73">
        <v>5</v>
      </c>
      <c r="K204" s="72">
        <v>5</v>
      </c>
      <c r="L204" s="14">
        <f t="shared" si="13"/>
        <v>1</v>
      </c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  <c r="AA204" s="21"/>
      <c r="AB204" s="21"/>
      <c r="AC204" s="21"/>
      <c r="AD204" s="21"/>
      <c r="AE204" s="21"/>
      <c r="AF204" s="21" t="str">
        <f t="shared" si="14"/>
        <v>김정훈</v>
      </c>
      <c r="AG204" s="73"/>
      <c r="AH204" s="73"/>
      <c r="AI204" s="21" t="str">
        <f t="shared" si="15"/>
        <v>김정훈</v>
      </c>
      <c r="AJ204" s="73"/>
      <c r="AK204" s="73"/>
    </row>
    <row r="205" spans="1:37" ht="17.25" customHeight="1" x14ac:dyDescent="0.3">
      <c r="A205" s="49">
        <v>4</v>
      </c>
      <c r="B205" s="49" t="s">
        <v>19</v>
      </c>
      <c r="C205" s="47"/>
      <c r="D205" s="132" t="s">
        <v>254</v>
      </c>
      <c r="E205" s="47" t="s">
        <v>239</v>
      </c>
      <c r="F205" s="59" t="s">
        <v>72</v>
      </c>
      <c r="G205" s="136" t="s">
        <v>37</v>
      </c>
      <c r="H205" s="130"/>
      <c r="I205" s="73">
        <v>3</v>
      </c>
      <c r="J205" s="73">
        <v>3</v>
      </c>
      <c r="K205" s="72">
        <v>3</v>
      </c>
      <c r="L205" s="14">
        <f t="shared" si="13"/>
        <v>1</v>
      </c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  <c r="AA205" s="21"/>
      <c r="AB205" s="21"/>
      <c r="AC205" s="21"/>
      <c r="AD205" s="21"/>
      <c r="AE205" s="21"/>
      <c r="AF205" s="21" t="str">
        <f t="shared" si="14"/>
        <v>김정훈</v>
      </c>
      <c r="AG205" s="73"/>
      <c r="AH205" s="73"/>
      <c r="AI205" s="21" t="str">
        <f t="shared" si="15"/>
        <v>김정훈</v>
      </c>
      <c r="AJ205" s="73"/>
      <c r="AK205" s="73"/>
    </row>
    <row r="206" spans="1:37" ht="17.25" customHeight="1" x14ac:dyDescent="0.3">
      <c r="A206" s="152" t="s">
        <v>19</v>
      </c>
      <c r="B206" s="153"/>
      <c r="C206" s="39" t="s">
        <v>255</v>
      </c>
      <c r="D206" s="40"/>
      <c r="E206" s="39"/>
      <c r="F206" s="56"/>
      <c r="G206" s="118"/>
      <c r="H206" s="131"/>
      <c r="I206" s="118">
        <f>SUM(I207:I213)</f>
        <v>9</v>
      </c>
      <c r="J206" s="118">
        <f>SUM(J207:J213)</f>
        <v>9</v>
      </c>
      <c r="K206" s="118">
        <f>SUM(K207:K213)</f>
        <v>9</v>
      </c>
      <c r="L206" s="118"/>
      <c r="M206" s="118"/>
      <c r="N206" s="118"/>
      <c r="O206" s="118"/>
      <c r="P206" s="118"/>
      <c r="Q206" s="118"/>
      <c r="R206" s="118"/>
      <c r="S206" s="118"/>
      <c r="T206" s="118"/>
      <c r="U206" s="118"/>
      <c r="V206" s="118"/>
      <c r="W206" s="118"/>
      <c r="X206" s="118"/>
      <c r="Y206" s="118"/>
      <c r="Z206" s="118"/>
      <c r="AA206" s="118"/>
      <c r="AB206" s="118"/>
      <c r="AC206" s="118"/>
      <c r="AD206" s="118"/>
      <c r="AE206" s="118"/>
      <c r="AF206" s="118"/>
      <c r="AG206" s="118">
        <f>SUM(AG207:AG213)</f>
        <v>0</v>
      </c>
      <c r="AH206" s="118">
        <f>SUM(AH207:AH213)</f>
        <v>0</v>
      </c>
      <c r="AI206" s="118"/>
      <c r="AJ206" s="118">
        <f>SUM(AJ207:AJ213)</f>
        <v>0</v>
      </c>
      <c r="AK206" s="118">
        <f>SUM(AK207:AK213)</f>
        <v>0</v>
      </c>
    </row>
    <row r="207" spans="1:37" ht="17.25" customHeight="1" x14ac:dyDescent="0.3">
      <c r="A207" s="49">
        <v>1</v>
      </c>
      <c r="B207" s="49" t="s">
        <v>19</v>
      </c>
      <c r="C207" s="47"/>
      <c r="D207" s="132" t="s">
        <v>42</v>
      </c>
      <c r="E207" s="47" t="s">
        <v>239</v>
      </c>
      <c r="F207" s="59" t="s">
        <v>72</v>
      </c>
      <c r="G207" s="133" t="s">
        <v>38</v>
      </c>
      <c r="H207" s="130"/>
      <c r="I207" s="73">
        <v>1</v>
      </c>
      <c r="J207" s="73">
        <v>1</v>
      </c>
      <c r="K207" s="62">
        <v>1</v>
      </c>
      <c r="L207" s="14">
        <f t="shared" si="13"/>
        <v>1</v>
      </c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  <c r="AA207" s="21"/>
      <c r="AB207" s="21"/>
      <c r="AC207" s="21"/>
      <c r="AD207" s="21"/>
      <c r="AE207" s="21"/>
      <c r="AF207" s="21" t="str">
        <f t="shared" si="14"/>
        <v>백현주</v>
      </c>
      <c r="AG207" s="73"/>
      <c r="AH207" s="73"/>
      <c r="AI207" s="21" t="str">
        <f t="shared" si="15"/>
        <v>백현주</v>
      </c>
      <c r="AJ207" s="73"/>
      <c r="AK207" s="73"/>
    </row>
    <row r="208" spans="1:37" ht="17.25" customHeight="1" x14ac:dyDescent="0.25">
      <c r="A208" s="49">
        <v>2</v>
      </c>
      <c r="B208" s="49" t="s">
        <v>19</v>
      </c>
      <c r="C208" s="47"/>
      <c r="D208" s="132" t="s">
        <v>256</v>
      </c>
      <c r="E208" s="47" t="s">
        <v>239</v>
      </c>
      <c r="F208" s="59" t="s">
        <v>72</v>
      </c>
      <c r="G208" s="138" t="s">
        <v>39</v>
      </c>
      <c r="H208" s="130"/>
      <c r="I208" s="73">
        <v>2</v>
      </c>
      <c r="J208" s="73">
        <v>2</v>
      </c>
      <c r="K208" s="62">
        <v>2</v>
      </c>
      <c r="L208" s="14">
        <f t="shared" si="13"/>
        <v>1</v>
      </c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  <c r="AA208" s="21"/>
      <c r="AB208" s="21"/>
      <c r="AC208" s="21"/>
      <c r="AD208" s="21"/>
      <c r="AE208" s="21"/>
      <c r="AF208" s="21" t="str">
        <f t="shared" si="14"/>
        <v>이영진</v>
      </c>
      <c r="AG208" s="73"/>
      <c r="AH208" s="73"/>
      <c r="AI208" s="21" t="str">
        <f t="shared" si="15"/>
        <v>이영진</v>
      </c>
      <c r="AJ208" s="73"/>
      <c r="AK208" s="73"/>
    </row>
    <row r="209" spans="1:37" ht="17.25" customHeight="1" x14ac:dyDescent="0.25">
      <c r="A209" s="49">
        <v>3</v>
      </c>
      <c r="B209" s="49" t="s">
        <v>19</v>
      </c>
      <c r="C209" s="47"/>
      <c r="D209" s="132" t="s">
        <v>257</v>
      </c>
      <c r="E209" s="47" t="s">
        <v>239</v>
      </c>
      <c r="F209" s="59" t="s">
        <v>72</v>
      </c>
      <c r="G209" s="138" t="s">
        <v>39</v>
      </c>
      <c r="H209" s="130"/>
      <c r="I209" s="73">
        <v>1</v>
      </c>
      <c r="J209" s="73">
        <v>1</v>
      </c>
      <c r="K209" s="62">
        <v>1</v>
      </c>
      <c r="L209" s="14">
        <f t="shared" si="13"/>
        <v>1</v>
      </c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  <c r="AA209" s="21"/>
      <c r="AB209" s="21"/>
      <c r="AC209" s="21"/>
      <c r="AD209" s="21"/>
      <c r="AE209" s="21"/>
      <c r="AF209" s="21" t="str">
        <f t="shared" si="14"/>
        <v>이영진</v>
      </c>
      <c r="AG209" s="73"/>
      <c r="AH209" s="73"/>
      <c r="AI209" s="21" t="str">
        <f t="shared" si="15"/>
        <v>이영진</v>
      </c>
      <c r="AJ209" s="73"/>
      <c r="AK209" s="73"/>
    </row>
    <row r="210" spans="1:37" ht="17.25" customHeight="1" x14ac:dyDescent="0.3">
      <c r="A210" s="49">
        <v>4</v>
      </c>
      <c r="B210" s="49" t="s">
        <v>19</v>
      </c>
      <c r="C210" s="49"/>
      <c r="D210" s="48" t="s">
        <v>258</v>
      </c>
      <c r="E210" s="47" t="s">
        <v>239</v>
      </c>
      <c r="F210" s="59" t="s">
        <v>72</v>
      </c>
      <c r="G210" s="60" t="s">
        <v>40</v>
      </c>
      <c r="H210" s="74"/>
      <c r="I210" s="73">
        <v>1</v>
      </c>
      <c r="J210" s="73">
        <v>1</v>
      </c>
      <c r="K210" s="62">
        <v>1</v>
      </c>
      <c r="L210" s="14">
        <f t="shared" si="13"/>
        <v>1</v>
      </c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  <c r="AA210" s="21"/>
      <c r="AB210" s="21"/>
      <c r="AC210" s="21"/>
      <c r="AD210" s="21"/>
      <c r="AE210" s="21"/>
      <c r="AF210" s="21" t="str">
        <f t="shared" si="14"/>
        <v>김연수</v>
      </c>
      <c r="AG210" s="73"/>
      <c r="AH210" s="73"/>
      <c r="AI210" s="21" t="str">
        <f t="shared" si="15"/>
        <v>김연수</v>
      </c>
      <c r="AJ210" s="73"/>
      <c r="AK210" s="73"/>
    </row>
    <row r="211" spans="1:37" ht="17.25" customHeight="1" x14ac:dyDescent="0.3">
      <c r="A211" s="49">
        <v>5</v>
      </c>
      <c r="B211" s="49" t="s">
        <v>19</v>
      </c>
      <c r="C211" s="49"/>
      <c r="D211" s="48" t="s">
        <v>259</v>
      </c>
      <c r="E211" s="47" t="s">
        <v>239</v>
      </c>
      <c r="F211" s="59" t="s">
        <v>72</v>
      </c>
      <c r="G211" s="60" t="s">
        <v>40</v>
      </c>
      <c r="H211" s="74"/>
      <c r="I211" s="73">
        <v>1</v>
      </c>
      <c r="J211" s="73">
        <v>1</v>
      </c>
      <c r="K211" s="62">
        <v>1</v>
      </c>
      <c r="L211" s="14">
        <f t="shared" si="13"/>
        <v>1</v>
      </c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  <c r="AA211" s="21"/>
      <c r="AB211" s="21"/>
      <c r="AC211" s="21"/>
      <c r="AD211" s="21"/>
      <c r="AE211" s="21"/>
      <c r="AF211" s="21" t="str">
        <f t="shared" si="14"/>
        <v>김연수</v>
      </c>
      <c r="AG211" s="73"/>
      <c r="AH211" s="73"/>
      <c r="AI211" s="21" t="str">
        <f t="shared" si="15"/>
        <v>김연수</v>
      </c>
      <c r="AJ211" s="73"/>
      <c r="AK211" s="73"/>
    </row>
    <row r="212" spans="1:37" ht="17.25" customHeight="1" x14ac:dyDescent="0.3">
      <c r="A212" s="49">
        <v>6</v>
      </c>
      <c r="B212" s="49" t="s">
        <v>19</v>
      </c>
      <c r="C212" s="49"/>
      <c r="D212" s="48" t="s">
        <v>260</v>
      </c>
      <c r="E212" s="47" t="s">
        <v>239</v>
      </c>
      <c r="F212" s="59" t="s">
        <v>72</v>
      </c>
      <c r="G212" s="60" t="s">
        <v>40</v>
      </c>
      <c r="H212" s="74"/>
      <c r="I212" s="73">
        <v>1</v>
      </c>
      <c r="J212" s="73">
        <v>1</v>
      </c>
      <c r="K212" s="62">
        <v>1</v>
      </c>
      <c r="L212" s="14">
        <f t="shared" si="13"/>
        <v>1</v>
      </c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  <c r="AA212" s="21"/>
      <c r="AB212" s="21"/>
      <c r="AC212" s="21"/>
      <c r="AD212" s="21"/>
      <c r="AE212" s="21"/>
      <c r="AF212" s="21" t="str">
        <f t="shared" si="14"/>
        <v>김연수</v>
      </c>
      <c r="AG212" s="73"/>
      <c r="AH212" s="73"/>
      <c r="AI212" s="21" t="str">
        <f t="shared" si="15"/>
        <v>김연수</v>
      </c>
      <c r="AJ212" s="73"/>
      <c r="AK212" s="73"/>
    </row>
    <row r="213" spans="1:37" ht="17.25" customHeight="1" x14ac:dyDescent="0.3">
      <c r="A213" s="49">
        <v>7</v>
      </c>
      <c r="B213" s="49" t="s">
        <v>19</v>
      </c>
      <c r="C213" s="49"/>
      <c r="D213" s="47" t="s">
        <v>261</v>
      </c>
      <c r="E213" s="47" t="s">
        <v>239</v>
      </c>
      <c r="F213" s="59" t="s">
        <v>72</v>
      </c>
      <c r="G213" s="100" t="s">
        <v>164</v>
      </c>
      <c r="H213" s="74"/>
      <c r="I213" s="73">
        <v>2</v>
      </c>
      <c r="J213" s="73">
        <v>2</v>
      </c>
      <c r="K213" s="62">
        <v>2</v>
      </c>
      <c r="L213" s="14">
        <f t="shared" si="13"/>
        <v>1</v>
      </c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  <c r="AA213" s="21"/>
      <c r="AB213" s="21"/>
      <c r="AC213" s="21"/>
      <c r="AD213" s="21"/>
      <c r="AE213" s="21"/>
      <c r="AF213" s="21" t="str">
        <f t="shared" si="14"/>
        <v>왕예빈</v>
      </c>
      <c r="AG213" s="73"/>
      <c r="AH213" s="73"/>
      <c r="AI213" s="21" t="str">
        <f t="shared" si="15"/>
        <v>왕예빈</v>
      </c>
      <c r="AJ213" s="73"/>
      <c r="AK213" s="73"/>
    </row>
    <row r="214" spans="1:37" ht="17.25" customHeight="1" x14ac:dyDescent="0.3">
      <c r="A214" s="152" t="s">
        <v>19</v>
      </c>
      <c r="B214" s="153"/>
      <c r="C214" s="39" t="s">
        <v>262</v>
      </c>
      <c r="D214" s="40"/>
      <c r="E214" s="39"/>
      <c r="F214" s="56"/>
      <c r="G214" s="118"/>
      <c r="H214" s="131"/>
      <c r="I214" s="118">
        <f>SUM(I215:I219)</f>
        <v>6</v>
      </c>
      <c r="J214" s="118">
        <f>SUM(J215:J219)</f>
        <v>6</v>
      </c>
      <c r="K214" s="118">
        <f>SUM(K215:K219)</f>
        <v>6</v>
      </c>
      <c r="L214" s="118"/>
      <c r="M214" s="118"/>
      <c r="N214" s="118"/>
      <c r="O214" s="118"/>
      <c r="P214" s="118"/>
      <c r="Q214" s="118"/>
      <c r="R214" s="118"/>
      <c r="S214" s="118"/>
      <c r="T214" s="118"/>
      <c r="U214" s="118"/>
      <c r="V214" s="118"/>
      <c r="W214" s="118"/>
      <c r="X214" s="118"/>
      <c r="Y214" s="118"/>
      <c r="Z214" s="118"/>
      <c r="AA214" s="118"/>
      <c r="AB214" s="118"/>
      <c r="AC214" s="118"/>
      <c r="AD214" s="118"/>
      <c r="AE214" s="118"/>
      <c r="AF214" s="118"/>
      <c r="AG214" s="118">
        <f>SUM(AG215:AG219)</f>
        <v>0</v>
      </c>
      <c r="AH214" s="118">
        <f>SUM(AH215:AH219)</f>
        <v>0</v>
      </c>
      <c r="AI214" s="118"/>
      <c r="AJ214" s="118">
        <f>SUM(AJ215:AJ219)</f>
        <v>0</v>
      </c>
      <c r="AK214" s="118">
        <f>SUM(AK215:AK219)</f>
        <v>0</v>
      </c>
    </row>
    <row r="215" spans="1:37" ht="17.25" customHeight="1" x14ac:dyDescent="0.3">
      <c r="A215" s="49">
        <v>1</v>
      </c>
      <c r="B215" s="49" t="s">
        <v>19</v>
      </c>
      <c r="C215" s="47"/>
      <c r="D215" s="132" t="s">
        <v>263</v>
      </c>
      <c r="E215" s="47" t="s">
        <v>239</v>
      </c>
      <c r="F215" s="59" t="s">
        <v>72</v>
      </c>
      <c r="G215" s="100" t="s">
        <v>164</v>
      </c>
      <c r="H215" s="130"/>
      <c r="I215" s="73">
        <v>3</v>
      </c>
      <c r="J215" s="73">
        <v>3</v>
      </c>
      <c r="K215" s="72">
        <v>3</v>
      </c>
      <c r="L215" s="14">
        <f t="shared" si="13"/>
        <v>1</v>
      </c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  <c r="AA215" s="21"/>
      <c r="AB215" s="21"/>
      <c r="AC215" s="21"/>
      <c r="AD215" s="21"/>
      <c r="AE215" s="21"/>
      <c r="AF215" s="21" t="str">
        <f t="shared" si="14"/>
        <v>왕예빈</v>
      </c>
      <c r="AG215" s="73"/>
      <c r="AH215" s="73"/>
      <c r="AI215" s="21" t="str">
        <f t="shared" si="15"/>
        <v>왕예빈</v>
      </c>
      <c r="AJ215" s="73"/>
      <c r="AK215" s="73"/>
    </row>
    <row r="216" spans="1:37" ht="17.25" customHeight="1" x14ac:dyDescent="0.3">
      <c r="A216" s="49">
        <v>2</v>
      </c>
      <c r="B216" s="49" t="s">
        <v>19</v>
      </c>
      <c r="C216" s="47"/>
      <c r="D216" s="132" t="s">
        <v>264</v>
      </c>
      <c r="E216" s="47" t="s">
        <v>239</v>
      </c>
      <c r="F216" s="59" t="s">
        <v>72</v>
      </c>
      <c r="G216" s="136" t="s">
        <v>37</v>
      </c>
      <c r="H216" s="130"/>
      <c r="I216" s="73">
        <v>1</v>
      </c>
      <c r="J216" s="73">
        <v>1</v>
      </c>
      <c r="K216" s="72">
        <v>1</v>
      </c>
      <c r="L216" s="14">
        <f t="shared" si="13"/>
        <v>1</v>
      </c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  <c r="AA216" s="21"/>
      <c r="AB216" s="21"/>
      <c r="AC216" s="21"/>
      <c r="AD216" s="21"/>
      <c r="AE216" s="21"/>
      <c r="AF216" s="21" t="str">
        <f t="shared" si="14"/>
        <v>김정훈</v>
      </c>
      <c r="AG216" s="73"/>
      <c r="AH216" s="73"/>
      <c r="AI216" s="21" t="str">
        <f t="shared" si="15"/>
        <v>김정훈</v>
      </c>
      <c r="AJ216" s="73"/>
      <c r="AK216" s="73"/>
    </row>
    <row r="217" spans="1:37" ht="17.25" customHeight="1" x14ac:dyDescent="0.3">
      <c r="A217" s="49">
        <v>3</v>
      </c>
      <c r="B217" s="49" t="s">
        <v>19</v>
      </c>
      <c r="C217" s="47"/>
      <c r="D217" s="132" t="s">
        <v>265</v>
      </c>
      <c r="E217" s="47" t="s">
        <v>239</v>
      </c>
      <c r="F217" s="59" t="s">
        <v>72</v>
      </c>
      <c r="G217" s="136" t="s">
        <v>37</v>
      </c>
      <c r="H217" s="130"/>
      <c r="I217" s="73">
        <v>0.5</v>
      </c>
      <c r="J217" s="73">
        <v>0.5</v>
      </c>
      <c r="K217" s="72">
        <v>0.5</v>
      </c>
      <c r="L217" s="14">
        <f t="shared" si="13"/>
        <v>1</v>
      </c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  <c r="AA217" s="21"/>
      <c r="AB217" s="21"/>
      <c r="AC217" s="21"/>
      <c r="AD217" s="21"/>
      <c r="AE217" s="21"/>
      <c r="AF217" s="21" t="str">
        <f t="shared" si="14"/>
        <v>김정훈</v>
      </c>
      <c r="AG217" s="73"/>
      <c r="AH217" s="73"/>
      <c r="AI217" s="21" t="str">
        <f t="shared" si="15"/>
        <v>김정훈</v>
      </c>
      <c r="AJ217" s="73"/>
      <c r="AK217" s="73"/>
    </row>
    <row r="218" spans="1:37" ht="17.25" customHeight="1" x14ac:dyDescent="0.3">
      <c r="A218" s="49">
        <v>4</v>
      </c>
      <c r="B218" s="49" t="s">
        <v>19</v>
      </c>
      <c r="C218" s="49"/>
      <c r="D218" s="48" t="s">
        <v>266</v>
      </c>
      <c r="E218" s="47" t="s">
        <v>239</v>
      </c>
      <c r="F218" s="59" t="s">
        <v>72</v>
      </c>
      <c r="G218" s="136" t="s">
        <v>37</v>
      </c>
      <c r="H218" s="74"/>
      <c r="I218" s="73">
        <v>0.5</v>
      </c>
      <c r="J218" s="73">
        <v>0.5</v>
      </c>
      <c r="K218" s="72">
        <v>0.5</v>
      </c>
      <c r="L218" s="14">
        <f t="shared" si="13"/>
        <v>1</v>
      </c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  <c r="AA218" s="21"/>
      <c r="AB218" s="21"/>
      <c r="AC218" s="21"/>
      <c r="AD218" s="21"/>
      <c r="AE218" s="21"/>
      <c r="AF218" s="21" t="str">
        <f t="shared" si="14"/>
        <v>김정훈</v>
      </c>
      <c r="AG218" s="73"/>
      <c r="AH218" s="73"/>
      <c r="AI218" s="21" t="str">
        <f t="shared" si="15"/>
        <v>김정훈</v>
      </c>
      <c r="AJ218" s="73"/>
      <c r="AK218" s="73"/>
    </row>
    <row r="219" spans="1:37" ht="17.25" customHeight="1" x14ac:dyDescent="0.25">
      <c r="A219" s="49">
        <v>5</v>
      </c>
      <c r="B219" s="49" t="s">
        <v>19</v>
      </c>
      <c r="C219" s="47"/>
      <c r="D219" s="132" t="s">
        <v>267</v>
      </c>
      <c r="E219" s="47" t="s">
        <v>239</v>
      </c>
      <c r="F219" s="59" t="s">
        <v>72</v>
      </c>
      <c r="G219" s="138" t="s">
        <v>39</v>
      </c>
      <c r="H219" s="130"/>
      <c r="I219" s="73">
        <v>1</v>
      </c>
      <c r="J219" s="73">
        <v>1</v>
      </c>
      <c r="K219" s="72">
        <v>1</v>
      </c>
      <c r="L219" s="14">
        <f t="shared" si="13"/>
        <v>1</v>
      </c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  <c r="AA219" s="21"/>
      <c r="AB219" s="21"/>
      <c r="AC219" s="21"/>
      <c r="AD219" s="21"/>
      <c r="AE219" s="21"/>
      <c r="AF219" s="21" t="str">
        <f t="shared" si="14"/>
        <v>이영진</v>
      </c>
      <c r="AG219" s="73"/>
      <c r="AH219" s="73"/>
      <c r="AI219" s="21" t="str">
        <f t="shared" si="15"/>
        <v>이영진</v>
      </c>
      <c r="AJ219" s="73"/>
      <c r="AK219" s="73"/>
    </row>
    <row r="220" spans="1:37" ht="17.25" customHeight="1" x14ac:dyDescent="0.3">
      <c r="A220" s="152" t="s">
        <v>19</v>
      </c>
      <c r="B220" s="153"/>
      <c r="C220" s="39" t="s">
        <v>268</v>
      </c>
      <c r="D220" s="40"/>
      <c r="E220" s="39"/>
      <c r="F220" s="56"/>
      <c r="G220" s="118"/>
      <c r="H220" s="131"/>
      <c r="I220" s="118">
        <f>SUM(I221:I223)</f>
        <v>9</v>
      </c>
      <c r="J220" s="118">
        <f>SUM(J221:J223)</f>
        <v>9</v>
      </c>
      <c r="K220" s="118">
        <f>SUM(K221:K223)</f>
        <v>9</v>
      </c>
      <c r="L220" s="118"/>
      <c r="M220" s="118"/>
      <c r="N220" s="118"/>
      <c r="O220" s="118"/>
      <c r="P220" s="118"/>
      <c r="Q220" s="118"/>
      <c r="R220" s="118"/>
      <c r="S220" s="118"/>
      <c r="T220" s="118"/>
      <c r="U220" s="118"/>
      <c r="V220" s="118"/>
      <c r="W220" s="118"/>
      <c r="X220" s="118"/>
      <c r="Y220" s="118"/>
      <c r="Z220" s="118"/>
      <c r="AA220" s="118"/>
      <c r="AB220" s="118"/>
      <c r="AC220" s="118"/>
      <c r="AD220" s="118"/>
      <c r="AE220" s="118"/>
      <c r="AF220" s="118"/>
      <c r="AG220" s="118">
        <f>SUM(AG221:AG223)</f>
        <v>0</v>
      </c>
      <c r="AH220" s="118">
        <f>SUM(AH221:AH223)</f>
        <v>0</v>
      </c>
      <c r="AI220" s="118"/>
      <c r="AJ220" s="118">
        <f>SUM(AJ221:AJ223)</f>
        <v>0</v>
      </c>
      <c r="AK220" s="118">
        <f>SUM(AK221:AK223)</f>
        <v>0</v>
      </c>
    </row>
    <row r="221" spans="1:37" ht="17.25" customHeight="1" x14ac:dyDescent="0.3">
      <c r="A221" s="49">
        <v>1</v>
      </c>
      <c r="B221" s="49" t="s">
        <v>19</v>
      </c>
      <c r="C221" s="47"/>
      <c r="D221" s="132" t="s">
        <v>269</v>
      </c>
      <c r="E221" s="47" t="s">
        <v>239</v>
      </c>
      <c r="F221" s="59" t="s">
        <v>72</v>
      </c>
      <c r="G221" s="100" t="s">
        <v>164</v>
      </c>
      <c r="H221" s="130"/>
      <c r="I221" s="73">
        <v>3</v>
      </c>
      <c r="J221" s="73">
        <v>3</v>
      </c>
      <c r="K221" s="72">
        <v>3</v>
      </c>
      <c r="L221" s="14">
        <f t="shared" si="13"/>
        <v>1</v>
      </c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  <c r="AA221" s="21"/>
      <c r="AB221" s="21"/>
      <c r="AC221" s="21"/>
      <c r="AD221" s="21"/>
      <c r="AE221" s="21"/>
      <c r="AF221" s="21" t="str">
        <f t="shared" si="14"/>
        <v>왕예빈</v>
      </c>
      <c r="AG221" s="73"/>
      <c r="AH221" s="73"/>
      <c r="AI221" s="21" t="str">
        <f t="shared" si="15"/>
        <v>왕예빈</v>
      </c>
      <c r="AJ221" s="73"/>
      <c r="AK221" s="73"/>
    </row>
    <row r="222" spans="1:37" ht="17.25" customHeight="1" x14ac:dyDescent="0.3">
      <c r="A222" s="49">
        <v>2</v>
      </c>
      <c r="B222" s="49" t="s">
        <v>19</v>
      </c>
      <c r="C222" s="47"/>
      <c r="D222" s="132" t="s">
        <v>270</v>
      </c>
      <c r="E222" s="47" t="s">
        <v>239</v>
      </c>
      <c r="F222" s="59" t="s">
        <v>72</v>
      </c>
      <c r="G222" s="100" t="s">
        <v>164</v>
      </c>
      <c r="H222" s="130"/>
      <c r="I222" s="73">
        <v>1</v>
      </c>
      <c r="J222" s="73">
        <v>1</v>
      </c>
      <c r="K222" s="72">
        <v>1</v>
      </c>
      <c r="L222" s="14">
        <f t="shared" si="13"/>
        <v>1</v>
      </c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  <c r="AA222" s="21"/>
      <c r="AB222" s="21"/>
      <c r="AC222" s="21"/>
      <c r="AD222" s="21"/>
      <c r="AE222" s="21"/>
      <c r="AF222" s="21" t="str">
        <f t="shared" si="14"/>
        <v>왕예빈</v>
      </c>
      <c r="AG222" s="73"/>
      <c r="AH222" s="73"/>
      <c r="AI222" s="21" t="str">
        <f t="shared" si="15"/>
        <v>왕예빈</v>
      </c>
      <c r="AJ222" s="73"/>
      <c r="AK222" s="73"/>
    </row>
    <row r="223" spans="1:37" ht="17.25" customHeight="1" x14ac:dyDescent="0.3">
      <c r="A223" s="49">
        <v>3</v>
      </c>
      <c r="B223" s="49" t="s">
        <v>19</v>
      </c>
      <c r="C223" s="47"/>
      <c r="D223" s="132" t="s">
        <v>271</v>
      </c>
      <c r="E223" s="47" t="s">
        <v>239</v>
      </c>
      <c r="F223" s="59" t="s">
        <v>72</v>
      </c>
      <c r="G223" s="100" t="s">
        <v>164</v>
      </c>
      <c r="H223" s="130"/>
      <c r="I223" s="73">
        <v>5</v>
      </c>
      <c r="J223" s="73">
        <v>5</v>
      </c>
      <c r="K223" s="72">
        <v>5</v>
      </c>
      <c r="L223" s="14">
        <f t="shared" si="13"/>
        <v>1</v>
      </c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  <c r="AA223" s="21"/>
      <c r="AB223" s="21"/>
      <c r="AC223" s="21"/>
      <c r="AD223" s="21"/>
      <c r="AE223" s="21"/>
      <c r="AF223" s="21" t="str">
        <f t="shared" si="14"/>
        <v>왕예빈</v>
      </c>
      <c r="AG223" s="73"/>
      <c r="AH223" s="73"/>
      <c r="AI223" s="21" t="str">
        <f t="shared" si="15"/>
        <v>왕예빈</v>
      </c>
      <c r="AJ223" s="73"/>
      <c r="AK223" s="73"/>
    </row>
    <row r="224" spans="1:37" ht="17.25" customHeight="1" x14ac:dyDescent="0.3">
      <c r="A224" s="152" t="s">
        <v>25</v>
      </c>
      <c r="B224" s="153"/>
      <c r="C224" s="39"/>
      <c r="D224" s="40"/>
      <c r="E224" s="39"/>
      <c r="F224" s="56"/>
      <c r="G224" s="118"/>
      <c r="H224" s="131"/>
      <c r="I224" s="118">
        <f>SUM(I225:I235)</f>
        <v>11</v>
      </c>
      <c r="J224" s="118">
        <f>SUM(J225:J235)</f>
        <v>11</v>
      </c>
      <c r="K224" s="118">
        <f>SUM(K225:K235)</f>
        <v>11</v>
      </c>
      <c r="L224" s="118"/>
      <c r="M224" s="118"/>
      <c r="N224" s="118"/>
      <c r="O224" s="118"/>
      <c r="P224" s="118"/>
      <c r="Q224" s="118"/>
      <c r="R224" s="118"/>
      <c r="S224" s="118"/>
      <c r="T224" s="118"/>
      <c r="U224" s="118"/>
      <c r="V224" s="118"/>
      <c r="W224" s="118"/>
      <c r="X224" s="118"/>
      <c r="Y224" s="118"/>
      <c r="Z224" s="118"/>
      <c r="AA224" s="118"/>
      <c r="AB224" s="118"/>
      <c r="AC224" s="118"/>
      <c r="AD224" s="118"/>
      <c r="AE224" s="118"/>
      <c r="AF224" s="118"/>
      <c r="AG224" s="118">
        <f>SUM(AG225:AG235)</f>
        <v>0</v>
      </c>
      <c r="AH224" s="118">
        <f>SUM(AH225:AH235)</f>
        <v>0</v>
      </c>
      <c r="AI224" s="118"/>
      <c r="AJ224" s="118">
        <f>SUM(AJ225:AJ235)</f>
        <v>0</v>
      </c>
      <c r="AK224" s="118">
        <f>SUM(AK225:AK235)</f>
        <v>0</v>
      </c>
    </row>
    <row r="225" spans="1:37" ht="17.25" customHeight="1" x14ac:dyDescent="0.3">
      <c r="A225" s="49">
        <v>1</v>
      </c>
      <c r="B225" s="49" t="s">
        <v>272</v>
      </c>
      <c r="C225" s="49"/>
      <c r="D225" s="47" t="s">
        <v>273</v>
      </c>
      <c r="E225" s="47" t="s">
        <v>274</v>
      </c>
      <c r="F225" s="50" t="s">
        <v>275</v>
      </c>
      <c r="G225" s="60" t="s">
        <v>40</v>
      </c>
      <c r="H225" s="72"/>
      <c r="I225" s="73">
        <v>1</v>
      </c>
      <c r="J225" s="73">
        <v>1</v>
      </c>
      <c r="K225" s="72">
        <v>1</v>
      </c>
      <c r="L225" s="14">
        <f t="shared" si="13"/>
        <v>1</v>
      </c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  <c r="AA225" s="21"/>
      <c r="AB225" s="21"/>
      <c r="AC225" s="21"/>
      <c r="AD225" s="21"/>
      <c r="AE225" s="21"/>
      <c r="AF225" s="21" t="str">
        <f t="shared" si="14"/>
        <v>김연수</v>
      </c>
      <c r="AG225" s="73"/>
      <c r="AH225" s="73"/>
      <c r="AI225" s="21" t="str">
        <f t="shared" si="15"/>
        <v>김연수</v>
      </c>
      <c r="AJ225" s="73"/>
      <c r="AK225" s="73"/>
    </row>
    <row r="226" spans="1:37" ht="17.25" customHeight="1" x14ac:dyDescent="0.3">
      <c r="A226" s="49">
        <v>2</v>
      </c>
      <c r="B226" s="49" t="s">
        <v>272</v>
      </c>
      <c r="C226" s="49"/>
      <c r="D226" s="47" t="s">
        <v>276</v>
      </c>
      <c r="E226" s="47" t="s">
        <v>274</v>
      </c>
      <c r="F226" s="50" t="s">
        <v>275</v>
      </c>
      <c r="G226" s="60" t="s">
        <v>40</v>
      </c>
      <c r="H226" s="72"/>
      <c r="I226" s="73">
        <v>1</v>
      </c>
      <c r="J226" s="73">
        <v>1</v>
      </c>
      <c r="K226" s="72">
        <v>1</v>
      </c>
      <c r="L226" s="14">
        <f t="shared" si="13"/>
        <v>1</v>
      </c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  <c r="AA226" s="21"/>
      <c r="AB226" s="21"/>
      <c r="AC226" s="21"/>
      <c r="AD226" s="21"/>
      <c r="AE226" s="21"/>
      <c r="AF226" s="21" t="str">
        <f t="shared" si="14"/>
        <v>김연수</v>
      </c>
      <c r="AG226" s="73"/>
      <c r="AH226" s="73"/>
      <c r="AI226" s="21" t="str">
        <f t="shared" si="15"/>
        <v>김연수</v>
      </c>
      <c r="AJ226" s="73"/>
      <c r="AK226" s="73"/>
    </row>
    <row r="227" spans="1:37" ht="17.25" customHeight="1" x14ac:dyDescent="0.3">
      <c r="A227" s="49">
        <v>3</v>
      </c>
      <c r="B227" s="49" t="s">
        <v>272</v>
      </c>
      <c r="C227" s="49"/>
      <c r="D227" s="47" t="s">
        <v>277</v>
      </c>
      <c r="E227" s="47" t="s">
        <v>274</v>
      </c>
      <c r="F227" s="50" t="s">
        <v>275</v>
      </c>
      <c r="G227" s="60" t="s">
        <v>40</v>
      </c>
      <c r="H227" s="72"/>
      <c r="I227" s="73">
        <v>1</v>
      </c>
      <c r="J227" s="73">
        <v>1</v>
      </c>
      <c r="K227" s="72">
        <v>1</v>
      </c>
      <c r="L227" s="14">
        <f t="shared" si="13"/>
        <v>1</v>
      </c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  <c r="AA227" s="21"/>
      <c r="AB227" s="21"/>
      <c r="AC227" s="21"/>
      <c r="AD227" s="21"/>
      <c r="AE227" s="21"/>
      <c r="AF227" s="21" t="str">
        <f t="shared" si="14"/>
        <v>김연수</v>
      </c>
      <c r="AG227" s="73"/>
      <c r="AH227" s="73"/>
      <c r="AI227" s="21" t="str">
        <f t="shared" si="15"/>
        <v>김연수</v>
      </c>
      <c r="AJ227" s="73"/>
      <c r="AK227" s="73"/>
    </row>
    <row r="228" spans="1:37" ht="17.25" customHeight="1" x14ac:dyDescent="0.3">
      <c r="A228" s="49">
        <v>4</v>
      </c>
      <c r="B228" s="49" t="s">
        <v>272</v>
      </c>
      <c r="C228" s="49"/>
      <c r="D228" s="47" t="s">
        <v>278</v>
      </c>
      <c r="E228" s="47" t="s">
        <v>274</v>
      </c>
      <c r="F228" s="50" t="s">
        <v>275</v>
      </c>
      <c r="G228" s="100" t="s">
        <v>164</v>
      </c>
      <c r="H228" s="72"/>
      <c r="I228" s="73">
        <v>1</v>
      </c>
      <c r="J228" s="73">
        <v>1</v>
      </c>
      <c r="K228" s="72">
        <v>1</v>
      </c>
      <c r="L228" s="14">
        <f t="shared" si="13"/>
        <v>1</v>
      </c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  <c r="AA228" s="21"/>
      <c r="AB228" s="21"/>
      <c r="AC228" s="21"/>
      <c r="AD228" s="21"/>
      <c r="AE228" s="21"/>
      <c r="AF228" s="21" t="str">
        <f t="shared" si="14"/>
        <v>왕예빈</v>
      </c>
      <c r="AG228" s="73"/>
      <c r="AH228" s="73"/>
      <c r="AI228" s="21" t="str">
        <f t="shared" si="15"/>
        <v>왕예빈</v>
      </c>
      <c r="AJ228" s="73"/>
      <c r="AK228" s="73"/>
    </row>
    <row r="229" spans="1:37" ht="17.25" customHeight="1" x14ac:dyDescent="0.3">
      <c r="A229" s="49">
        <v>5</v>
      </c>
      <c r="B229" s="49" t="s">
        <v>272</v>
      </c>
      <c r="C229" s="49"/>
      <c r="D229" s="47" t="s">
        <v>279</v>
      </c>
      <c r="E229" s="47" t="s">
        <v>274</v>
      </c>
      <c r="F229" s="50" t="s">
        <v>275</v>
      </c>
      <c r="G229" s="100" t="s">
        <v>164</v>
      </c>
      <c r="H229" s="72"/>
      <c r="I229" s="73">
        <v>1</v>
      </c>
      <c r="J229" s="73">
        <v>1</v>
      </c>
      <c r="K229" s="72">
        <v>1</v>
      </c>
      <c r="L229" s="14">
        <f t="shared" si="13"/>
        <v>1</v>
      </c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  <c r="AA229" s="21"/>
      <c r="AB229" s="21"/>
      <c r="AC229" s="21"/>
      <c r="AD229" s="21"/>
      <c r="AE229" s="21"/>
      <c r="AF229" s="21" t="str">
        <f t="shared" si="14"/>
        <v>왕예빈</v>
      </c>
      <c r="AG229" s="73"/>
      <c r="AH229" s="73"/>
      <c r="AI229" s="21" t="str">
        <f t="shared" si="15"/>
        <v>왕예빈</v>
      </c>
      <c r="AJ229" s="73"/>
      <c r="AK229" s="73"/>
    </row>
    <row r="230" spans="1:37" ht="17.25" customHeight="1" x14ac:dyDescent="0.3">
      <c r="A230" s="49">
        <v>6</v>
      </c>
      <c r="B230" s="49" t="s">
        <v>272</v>
      </c>
      <c r="C230" s="49"/>
      <c r="D230" s="47" t="s">
        <v>280</v>
      </c>
      <c r="E230" s="47" t="s">
        <v>274</v>
      </c>
      <c r="F230" s="50" t="s">
        <v>275</v>
      </c>
      <c r="G230" s="100" t="s">
        <v>164</v>
      </c>
      <c r="H230" s="72"/>
      <c r="I230" s="73">
        <v>1</v>
      </c>
      <c r="J230" s="73">
        <v>1</v>
      </c>
      <c r="K230" s="72">
        <v>1</v>
      </c>
      <c r="L230" s="14">
        <f t="shared" si="13"/>
        <v>1</v>
      </c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  <c r="AA230" s="21"/>
      <c r="AB230" s="21"/>
      <c r="AC230" s="21"/>
      <c r="AD230" s="21"/>
      <c r="AE230" s="21"/>
      <c r="AF230" s="21" t="str">
        <f t="shared" si="14"/>
        <v>왕예빈</v>
      </c>
      <c r="AG230" s="73"/>
      <c r="AH230" s="73"/>
      <c r="AI230" s="21" t="str">
        <f t="shared" si="15"/>
        <v>왕예빈</v>
      </c>
      <c r="AJ230" s="73"/>
      <c r="AK230" s="73"/>
    </row>
    <row r="231" spans="1:37" ht="17.25" customHeight="1" x14ac:dyDescent="0.3">
      <c r="A231" s="49">
        <v>7</v>
      </c>
      <c r="B231" s="49" t="s">
        <v>272</v>
      </c>
      <c r="C231" s="49"/>
      <c r="D231" s="47" t="s">
        <v>281</v>
      </c>
      <c r="E231" s="47" t="s">
        <v>274</v>
      </c>
      <c r="F231" s="50" t="s">
        <v>275</v>
      </c>
      <c r="G231" s="100" t="s">
        <v>164</v>
      </c>
      <c r="H231" s="72"/>
      <c r="I231" s="73">
        <v>1</v>
      </c>
      <c r="J231" s="73">
        <v>1</v>
      </c>
      <c r="K231" s="72">
        <v>1</v>
      </c>
      <c r="L231" s="14">
        <f t="shared" si="13"/>
        <v>1</v>
      </c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  <c r="AA231" s="21"/>
      <c r="AB231" s="21"/>
      <c r="AC231" s="21"/>
      <c r="AD231" s="21"/>
      <c r="AE231" s="21"/>
      <c r="AF231" s="21" t="str">
        <f t="shared" si="14"/>
        <v>왕예빈</v>
      </c>
      <c r="AG231" s="73"/>
      <c r="AH231" s="73"/>
      <c r="AI231" s="21" t="str">
        <f t="shared" si="15"/>
        <v>왕예빈</v>
      </c>
      <c r="AJ231" s="73"/>
      <c r="AK231" s="73"/>
    </row>
    <row r="232" spans="1:37" ht="17.25" customHeight="1" x14ac:dyDescent="0.3">
      <c r="A232" s="49">
        <v>8</v>
      </c>
      <c r="B232" s="49" t="s">
        <v>272</v>
      </c>
      <c r="C232" s="49"/>
      <c r="D232" s="47" t="s">
        <v>282</v>
      </c>
      <c r="E232" s="47" t="s">
        <v>274</v>
      </c>
      <c r="F232" s="50" t="s">
        <v>275</v>
      </c>
      <c r="G232" s="136" t="s">
        <v>37</v>
      </c>
      <c r="H232" s="72"/>
      <c r="I232" s="73">
        <v>1</v>
      </c>
      <c r="J232" s="73">
        <v>1</v>
      </c>
      <c r="K232" s="72">
        <v>1</v>
      </c>
      <c r="L232" s="14">
        <f t="shared" si="13"/>
        <v>1</v>
      </c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  <c r="AA232" s="21"/>
      <c r="AB232" s="21"/>
      <c r="AC232" s="21"/>
      <c r="AD232" s="21"/>
      <c r="AE232" s="21"/>
      <c r="AF232" s="21" t="str">
        <f t="shared" si="14"/>
        <v>김정훈</v>
      </c>
      <c r="AG232" s="73"/>
      <c r="AH232" s="73"/>
      <c r="AI232" s="21" t="str">
        <f t="shared" si="15"/>
        <v>김정훈</v>
      </c>
      <c r="AJ232" s="73"/>
      <c r="AK232" s="73"/>
    </row>
    <row r="233" spans="1:37" ht="17.25" customHeight="1" x14ac:dyDescent="0.3">
      <c r="A233" s="49">
        <v>9</v>
      </c>
      <c r="B233" s="49" t="s">
        <v>272</v>
      </c>
      <c r="C233" s="49"/>
      <c r="D233" s="47" t="s">
        <v>283</v>
      </c>
      <c r="E233" s="47" t="s">
        <v>274</v>
      </c>
      <c r="F233" s="50" t="s">
        <v>275</v>
      </c>
      <c r="G233" s="136" t="s">
        <v>37</v>
      </c>
      <c r="H233" s="72"/>
      <c r="I233" s="73">
        <v>1</v>
      </c>
      <c r="J233" s="73">
        <v>1</v>
      </c>
      <c r="K233" s="72">
        <v>1</v>
      </c>
      <c r="L233" s="14">
        <f t="shared" si="13"/>
        <v>1</v>
      </c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  <c r="AA233" s="21"/>
      <c r="AB233" s="21"/>
      <c r="AC233" s="21"/>
      <c r="AD233" s="21"/>
      <c r="AE233" s="21"/>
      <c r="AF233" s="21" t="str">
        <f t="shared" si="14"/>
        <v>김정훈</v>
      </c>
      <c r="AG233" s="73"/>
      <c r="AH233" s="73"/>
      <c r="AI233" s="21" t="str">
        <f t="shared" si="15"/>
        <v>김정훈</v>
      </c>
      <c r="AJ233" s="73"/>
      <c r="AK233" s="73"/>
    </row>
    <row r="234" spans="1:37" ht="17.25" customHeight="1" x14ac:dyDescent="0.3">
      <c r="A234" s="49">
        <v>10</v>
      </c>
      <c r="B234" s="49" t="s">
        <v>272</v>
      </c>
      <c r="C234" s="49"/>
      <c r="D234" s="47" t="s">
        <v>284</v>
      </c>
      <c r="E234" s="47" t="s">
        <v>274</v>
      </c>
      <c r="F234" s="50" t="s">
        <v>275</v>
      </c>
      <c r="G234" s="60" t="s">
        <v>40</v>
      </c>
      <c r="H234" s="72"/>
      <c r="I234" s="73">
        <v>1</v>
      </c>
      <c r="J234" s="73">
        <v>1</v>
      </c>
      <c r="K234" s="72">
        <v>1</v>
      </c>
      <c r="L234" s="14">
        <f t="shared" si="13"/>
        <v>1</v>
      </c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  <c r="AA234" s="21"/>
      <c r="AB234" s="21"/>
      <c r="AC234" s="21"/>
      <c r="AD234" s="21"/>
      <c r="AE234" s="21"/>
      <c r="AF234" s="21" t="str">
        <f t="shared" si="14"/>
        <v>김연수</v>
      </c>
      <c r="AG234" s="73"/>
      <c r="AH234" s="73"/>
      <c r="AI234" s="21" t="str">
        <f t="shared" si="15"/>
        <v>김연수</v>
      </c>
      <c r="AJ234" s="73"/>
      <c r="AK234" s="73"/>
    </row>
    <row r="235" spans="1:37" ht="17.25" customHeight="1" x14ac:dyDescent="0.3">
      <c r="A235" s="49">
        <v>11</v>
      </c>
      <c r="B235" s="49" t="s">
        <v>272</v>
      </c>
      <c r="C235" s="49"/>
      <c r="D235" s="47" t="s">
        <v>285</v>
      </c>
      <c r="E235" s="47" t="s">
        <v>274</v>
      </c>
      <c r="F235" s="50" t="s">
        <v>275</v>
      </c>
      <c r="G235" s="60" t="s">
        <v>40</v>
      </c>
      <c r="H235" s="72"/>
      <c r="I235" s="73">
        <v>1</v>
      </c>
      <c r="J235" s="73">
        <v>1</v>
      </c>
      <c r="K235" s="72">
        <v>1</v>
      </c>
      <c r="L235" s="14">
        <f t="shared" si="13"/>
        <v>1</v>
      </c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  <c r="AA235" s="21"/>
      <c r="AB235" s="21"/>
      <c r="AC235" s="21"/>
      <c r="AD235" s="21"/>
      <c r="AE235" s="21"/>
      <c r="AF235" s="21" t="str">
        <f t="shared" si="14"/>
        <v>김연수</v>
      </c>
      <c r="AG235" s="73"/>
      <c r="AH235" s="73"/>
      <c r="AI235" s="21" t="str">
        <f t="shared" si="15"/>
        <v>김연수</v>
      </c>
      <c r="AJ235" s="73"/>
      <c r="AK235" s="73"/>
    </row>
  </sheetData>
  <mergeCells count="27">
    <mergeCell ref="A201:B201"/>
    <mergeCell ref="A206:B206"/>
    <mergeCell ref="A214:B214"/>
    <mergeCell ref="A220:B220"/>
    <mergeCell ref="A224:B224"/>
    <mergeCell ref="A159:B159"/>
    <mergeCell ref="A168:B168"/>
    <mergeCell ref="A172:B172"/>
    <mergeCell ref="A182:B182"/>
    <mergeCell ref="A189:B189"/>
    <mergeCell ref="A4:B4"/>
    <mergeCell ref="A19:B19"/>
    <mergeCell ref="A39:B39"/>
    <mergeCell ref="A52:B52"/>
    <mergeCell ref="A83:B83"/>
    <mergeCell ref="A95:B95"/>
    <mergeCell ref="A104:B104"/>
    <mergeCell ref="A134:B134"/>
    <mergeCell ref="A146:B146"/>
    <mergeCell ref="A150:B150"/>
    <mergeCell ref="AG1:AH1"/>
    <mergeCell ref="AJ1:AK1"/>
    <mergeCell ref="J1:K1"/>
    <mergeCell ref="R1:V1"/>
    <mergeCell ref="W1:Z1"/>
    <mergeCell ref="AA1:AE1"/>
    <mergeCell ref="M1:Q1"/>
  </mergeCells>
  <phoneticPr fontId="2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4"/>
  <sheetViews>
    <sheetView workbookViewId="0"/>
  </sheetViews>
  <sheetFormatPr defaultRowHeight="16.5" x14ac:dyDescent="0.3"/>
  <cols>
    <col min="3" max="3" width="8.75" customWidth="1"/>
    <col min="4" max="11" width="9" hidden="1" customWidth="1"/>
    <col min="12" max="12" width="0.5" style="29" customWidth="1"/>
    <col min="13" max="31" width="3.625" customWidth="1"/>
  </cols>
  <sheetData>
    <row r="1" spans="1:32" x14ac:dyDescent="0.25">
      <c r="M1" s="19">
        <v>5</v>
      </c>
      <c r="N1" s="19">
        <v>5</v>
      </c>
      <c r="O1" s="19">
        <v>5</v>
      </c>
      <c r="P1" s="19">
        <v>5</v>
      </c>
      <c r="Q1" s="19">
        <v>2</v>
      </c>
      <c r="R1" s="19">
        <v>2</v>
      </c>
      <c r="S1" s="19">
        <v>1</v>
      </c>
      <c r="T1" s="19">
        <v>5</v>
      </c>
      <c r="U1" s="19">
        <v>5</v>
      </c>
      <c r="V1" s="19">
        <v>5</v>
      </c>
      <c r="W1" s="19">
        <v>5</v>
      </c>
      <c r="X1" s="19">
        <v>5</v>
      </c>
      <c r="Y1" s="19">
        <v>5</v>
      </c>
      <c r="Z1" s="19">
        <v>5</v>
      </c>
      <c r="AA1" s="19">
        <v>5</v>
      </c>
      <c r="AB1" s="20">
        <v>5</v>
      </c>
      <c r="AC1" s="20">
        <v>5</v>
      </c>
      <c r="AD1" s="20">
        <v>4</v>
      </c>
      <c r="AE1" s="20">
        <v>3</v>
      </c>
      <c r="AF1" t="s">
        <v>63</v>
      </c>
    </row>
    <row r="2" spans="1:32" x14ac:dyDescent="0.3">
      <c r="M2" s="154">
        <v>45901</v>
      </c>
      <c r="N2" s="155"/>
      <c r="O2" s="155"/>
      <c r="P2" s="155"/>
      <c r="Q2" s="156"/>
      <c r="R2" s="154">
        <v>45931</v>
      </c>
      <c r="S2" s="155"/>
      <c r="T2" s="155"/>
      <c r="U2" s="155"/>
      <c r="V2" s="156"/>
      <c r="W2" s="154">
        <v>45962</v>
      </c>
      <c r="X2" s="155"/>
      <c r="Y2" s="155"/>
      <c r="Z2" s="156"/>
      <c r="AA2" s="154">
        <v>45992</v>
      </c>
      <c r="AB2" s="155"/>
      <c r="AC2" s="155"/>
      <c r="AD2" s="155"/>
      <c r="AE2" s="156"/>
    </row>
    <row r="3" spans="1:32" x14ac:dyDescent="0.3">
      <c r="A3" s="157" t="s">
        <v>27</v>
      </c>
      <c r="B3" s="157"/>
      <c r="M3" s="1">
        <v>1</v>
      </c>
      <c r="N3" s="1">
        <v>2</v>
      </c>
      <c r="O3" s="1">
        <v>3</v>
      </c>
      <c r="P3" s="1">
        <v>4</v>
      </c>
      <c r="Q3" s="1">
        <v>5</v>
      </c>
      <c r="R3" s="1">
        <v>1</v>
      </c>
      <c r="S3" s="1">
        <v>2</v>
      </c>
      <c r="T3" s="1">
        <v>3</v>
      </c>
      <c r="U3" s="1">
        <v>4</v>
      </c>
      <c r="V3" s="1">
        <v>5</v>
      </c>
      <c r="W3" s="1">
        <v>1</v>
      </c>
      <c r="X3" s="1">
        <v>2</v>
      </c>
      <c r="Y3" s="1">
        <v>3</v>
      </c>
      <c r="Z3" s="1">
        <v>4</v>
      </c>
      <c r="AA3" s="1">
        <v>1</v>
      </c>
      <c r="AB3" s="1">
        <v>2</v>
      </c>
      <c r="AC3" s="1">
        <v>3</v>
      </c>
      <c r="AD3" s="1">
        <v>4</v>
      </c>
      <c r="AE3" s="1">
        <v>5</v>
      </c>
    </row>
    <row r="4" spans="1:32" x14ac:dyDescent="0.3">
      <c r="A4" s="60" t="s">
        <v>40</v>
      </c>
      <c r="B4" s="17">
        <f>SUMIF(개발현황!G5:G300,A4,개발현황!J5:J300)</f>
        <v>63.5</v>
      </c>
      <c r="M4" s="4">
        <f>SUMIF(개발현황!G5:G300,A4,개발현황!M5:M300)</f>
        <v>5</v>
      </c>
      <c r="N4" s="60">
        <f>SUMIF(개발현황!G5:G300,A4,개발현황!N5:N300)</f>
        <v>5</v>
      </c>
      <c r="O4" s="60">
        <f>SUMIF(개발현황!G5:G300,A4,개발현황!O5:O300)</f>
        <v>5</v>
      </c>
      <c r="P4" s="60">
        <f>SUMIF(개발현황!G5:G300,A4,개발현황!P5:P300)</f>
        <v>5</v>
      </c>
      <c r="Q4" s="60">
        <f>SUMIF(개발현황!G5:G300,A4,개발현황!Q5:Q300)</f>
        <v>5</v>
      </c>
      <c r="R4" s="60">
        <f>SUMIF(개발현황!G5:G300,A4,개발현황!R5:R300)</f>
        <v>5</v>
      </c>
      <c r="S4" s="60">
        <f>SUMIF(개발현황!G5:G300,A4,개발현황!S5:S300)</f>
        <v>5</v>
      </c>
      <c r="T4" s="60">
        <f>SUMIF(개발현황!G5:G300,A4,개발현황!T5:T300)</f>
        <v>5</v>
      </c>
      <c r="U4" s="60">
        <f>SUMIF(개발현황!G5:G300,A4,개발현황!U5:U300)</f>
        <v>5</v>
      </c>
      <c r="V4" s="60">
        <f>SUMIF(개발현황!G5:G300,A4,개발현황!V5:V300)</f>
        <v>5</v>
      </c>
      <c r="W4" s="60">
        <f>SUMIF(개발현황!G5:G300,A4,개발현황!W5:W300)</f>
        <v>5</v>
      </c>
      <c r="X4" s="60">
        <f>SUMIF(개발현황!G5:G300,A4,개발현황!X5:X300)</f>
        <v>4</v>
      </c>
      <c r="Y4" s="60">
        <f>SUMIF(개발현황!G5:G300,A4,개발현황!Y5:Y300)</f>
        <v>5</v>
      </c>
      <c r="Z4" s="60">
        <f>SUMIF(개발현황!G5:G300,A4,개발현황!Z5:Z300)</f>
        <v>5</v>
      </c>
      <c r="AA4" s="60">
        <f>SUMIF(개발현황!G5:G300,A4,개발현황!AA5:AA300)</f>
        <v>5</v>
      </c>
      <c r="AB4" s="60">
        <f>SUMIF(개발현황!G5:G300,A4,개발현황!AB5:AB300)</f>
        <v>5</v>
      </c>
      <c r="AC4" s="60">
        <f>SUMIF(개발현황!G5:G300,A4,개발현황!AC5:AC300)</f>
        <v>5</v>
      </c>
      <c r="AD4" s="60">
        <f>SUMIF(개발현황!G5:G300,A4,개발현황!AD5:AD300)</f>
        <v>5</v>
      </c>
      <c r="AE4" s="60">
        <f>SUMIF(개발현황!G5:G300,A4,개발현황!AE5:AE300)</f>
        <v>1</v>
      </c>
      <c r="AF4">
        <f t="shared" ref="AF4:AF13" si="0">SUM(M4:AE4)</f>
        <v>90</v>
      </c>
    </row>
    <row r="5" spans="1:32" x14ac:dyDescent="0.3">
      <c r="A5" s="133" t="s">
        <v>38</v>
      </c>
      <c r="B5" s="73">
        <f>SUMIF(개발현황!G5:G300,A5,개발현황!J5:J300)</f>
        <v>33.5</v>
      </c>
      <c r="M5" s="60">
        <f>SUMIF(개발현황!G6:G301,A5,개발현황!M6:M301)</f>
        <v>0</v>
      </c>
      <c r="N5" s="60">
        <f>SUMIF(개발현황!G6:G301,A5,개발현황!N6:N301)</f>
        <v>0</v>
      </c>
      <c r="O5" s="60">
        <f>SUMIF(개발현황!G6:G301,A5,개발현황!O6:O301)</f>
        <v>0</v>
      </c>
      <c r="P5" s="60">
        <f>SUMIF(개발현황!G6:G301,A5,개발현황!P6:P301)</f>
        <v>0</v>
      </c>
      <c r="Q5" s="60">
        <f>SUMIF(개발현황!G6:G301,A5,개발현황!Q6:Q301)</f>
        <v>0</v>
      </c>
      <c r="R5" s="60">
        <f>SUMIF(개발현황!G6:G301,A5,개발현황!R6:R301)</f>
        <v>0</v>
      </c>
      <c r="S5" s="60">
        <f>SUMIF(개발현황!G6:G301,A5,개발현황!S6:S301)</f>
        <v>0</v>
      </c>
      <c r="T5" s="60">
        <f>SUMIF(개발현황!G6:G301,A5,개발현황!T6:T301)</f>
        <v>0</v>
      </c>
      <c r="U5" s="60">
        <f>SUMIF(개발현황!G6:G301,A5,개발현황!U6:U301)</f>
        <v>0</v>
      </c>
      <c r="V5" s="60">
        <f>SUMIF(개발현황!G6:G301,A5,개발현황!V6:V301)</f>
        <v>0</v>
      </c>
      <c r="W5" s="60">
        <f>SUMIF(개발현황!G6:G301,A5,개발현황!W6:W301)</f>
        <v>0</v>
      </c>
      <c r="X5" s="60">
        <f>SUMIF(개발현황!G6:G301,A5,개발현황!X6:X301)</f>
        <v>0</v>
      </c>
      <c r="Y5" s="60">
        <f>SUMIF(개발현황!G6:G301,A5,개발현황!Y6:Y301)</f>
        <v>0</v>
      </c>
      <c r="Z5" s="60">
        <f>SUMIF(개발현황!G6:G301,A5,개발현황!Z6:Z301)</f>
        <v>0</v>
      </c>
      <c r="AA5" s="60">
        <f>SUMIF(개발현황!G6:G301,A5,개발현황!AA6:AA301)</f>
        <v>0</v>
      </c>
      <c r="AB5" s="60">
        <f>SUMIF(개발현황!G6:G301,A5,개발현황!AB6:AB301)</f>
        <v>0</v>
      </c>
      <c r="AC5" s="60">
        <f>SUMIF(개발현황!G6:G301,A5,개발현황!AC6:AC301)</f>
        <v>0</v>
      </c>
      <c r="AD5" s="60">
        <f>SUMIF(개발현황!G6:G301,A5,개발현황!AD6:AD301)</f>
        <v>0</v>
      </c>
      <c r="AE5" s="60">
        <f>SUMIF(개발현황!G6:G301,A5,개발현황!AE6:AE301)</f>
        <v>0</v>
      </c>
      <c r="AF5">
        <f t="shared" si="0"/>
        <v>0</v>
      </c>
    </row>
    <row r="6" spans="1:32" x14ac:dyDescent="0.25">
      <c r="A6" s="138" t="s">
        <v>39</v>
      </c>
      <c r="B6" s="73">
        <f>SUMIF(개발현황!G5:G300,A6,개발현황!J5:J300)</f>
        <v>18</v>
      </c>
      <c r="M6" s="60">
        <f>SUMIF(개발현황!G7:G302,A6,개발현황!M7:M302)</f>
        <v>0</v>
      </c>
      <c r="N6" s="60">
        <f>SUMIF(개발현황!G7:G302,A6,개발현황!N7:N302)</f>
        <v>0</v>
      </c>
      <c r="O6" s="60">
        <f>SUMIF(개발현황!G7:G302,A6,개발현황!O7:O302)</f>
        <v>0</v>
      </c>
      <c r="P6" s="60">
        <f>SUMIF(개발현황!G7:G302,A6,개발현황!P7:P302)</f>
        <v>0</v>
      </c>
      <c r="Q6" s="60">
        <f>SUMIF(개발현황!G7:G302,A6,개발현황!Q7:Q302)</f>
        <v>0</v>
      </c>
      <c r="R6" s="60">
        <f>SUMIF(개발현황!G7:G302,A6,개발현황!R7:R302)</f>
        <v>0</v>
      </c>
      <c r="S6" s="60">
        <f>SUMIF(개발현황!G7:G302,A6,개발현황!S7:S302)</f>
        <v>0</v>
      </c>
      <c r="T6" s="60">
        <f>SUMIF(개발현황!G7:G302,A6,개발현황!T7:T302)</f>
        <v>0</v>
      </c>
      <c r="U6" s="60">
        <f>SUMIF(개발현황!G7:G302,A6,개발현황!U7:U302)</f>
        <v>0</v>
      </c>
      <c r="V6" s="60">
        <f>SUMIF(개발현황!G7:G302,A6,개발현황!V7:V302)</f>
        <v>0</v>
      </c>
      <c r="W6" s="60">
        <f>SUMIF(개발현황!G7:G302,A6,개발현황!W7:W302)</f>
        <v>0</v>
      </c>
      <c r="X6" s="60">
        <f>SUMIF(개발현황!G7:G302,A6,개발현황!X7:X302)</f>
        <v>0</v>
      </c>
      <c r="Y6" s="60">
        <f>SUMIF(개발현황!G7:G302,A6,개발현황!Y7:Y302)</f>
        <v>0</v>
      </c>
      <c r="Z6" s="60">
        <f>SUMIF(개발현황!G7:G302,A6,개발현황!Z7:Z302)</f>
        <v>0</v>
      </c>
      <c r="AA6" s="60">
        <f>SUMIF(개발현황!G7:G302,A6,개발현황!AA7:AA302)</f>
        <v>0</v>
      </c>
      <c r="AB6" s="60">
        <f>SUMIF(개발현황!G7:G302,A6,개발현황!AB7:AB302)</f>
        <v>0</v>
      </c>
      <c r="AC6" s="60">
        <f>SUMIF(개발현황!G7:G302,A6,개발현황!AC7:AC302)</f>
        <v>0</v>
      </c>
      <c r="AD6" s="60">
        <f>SUMIF(개발현황!G7:G302,A6,개발현황!AD7:AD302)</f>
        <v>0</v>
      </c>
      <c r="AE6" s="60">
        <f>SUMIF(개발현황!G7:G302,A6,개발현황!AE7:AE302)</f>
        <v>0</v>
      </c>
      <c r="AF6">
        <f t="shared" si="0"/>
        <v>0</v>
      </c>
    </row>
    <row r="7" spans="1:32" x14ac:dyDescent="0.3">
      <c r="A7" s="31" t="s">
        <v>44</v>
      </c>
      <c r="B7" s="73">
        <f>SUMIF(개발현황!G5:G300,A7,개발현황!J5:J300)</f>
        <v>8</v>
      </c>
      <c r="M7" s="60">
        <f>SUMIF(개발현황!G8:G303,A7,개발현황!M8:M303)</f>
        <v>0</v>
      </c>
      <c r="N7" s="60">
        <f>SUMIF(개발현황!G8:G303,A7,개발현황!N8:N303)</f>
        <v>0</v>
      </c>
      <c r="O7" s="60">
        <f>SUMIF(개발현황!G8:G303,A7,개발현황!O8:O303)</f>
        <v>0</v>
      </c>
      <c r="P7" s="60">
        <f>SUMIF(개발현황!G8:G303,A7,개발현황!P8:P303)</f>
        <v>0</v>
      </c>
      <c r="Q7" s="60">
        <f>SUMIF(개발현황!G8:G303,A7,개발현황!Q8:Q303)</f>
        <v>0</v>
      </c>
      <c r="R7" s="60">
        <f>SUMIF(개발현황!G8:G303,A7,개발현황!R8:R303)</f>
        <v>0</v>
      </c>
      <c r="S7" s="60">
        <f>SUMIF(개발현황!G8:G303,A7,개발현황!S8:S303)</f>
        <v>0</v>
      </c>
      <c r="T7" s="60">
        <f>SUMIF(개발현황!G8:G303,A7,개발현황!T8:T303)</f>
        <v>0</v>
      </c>
      <c r="U7" s="60">
        <f>SUMIF(개발현황!G8:G303,A7,개발현황!U8:U303)</f>
        <v>0</v>
      </c>
      <c r="V7" s="60">
        <f>SUMIF(개발현황!G8:G303,A7,개발현황!V8:V303)</f>
        <v>0</v>
      </c>
      <c r="W7" s="60">
        <f>SUMIF(개발현황!G8:G303,A7,개발현황!W8:W303)</f>
        <v>0</v>
      </c>
      <c r="X7" s="60">
        <f>SUMIF(개발현황!G8:G303,A7,개발현황!X8:X303)</f>
        <v>0</v>
      </c>
      <c r="Y7" s="60">
        <f>SUMIF(개발현황!G8:G303,A7,개발현황!Y8:Y303)</f>
        <v>0</v>
      </c>
      <c r="Z7" s="60">
        <f>SUMIF(개발현황!G8:G303,A7,개발현황!Z8:Z303)</f>
        <v>0</v>
      </c>
      <c r="AA7" s="60">
        <f>SUMIF(개발현황!G8:G303,A7,개발현황!AA8:AA303)</f>
        <v>0</v>
      </c>
      <c r="AB7" s="60">
        <f>SUMIF(개발현황!G8:G303,A7,개발현황!AB8:AB303)</f>
        <v>0</v>
      </c>
      <c r="AC7" s="60">
        <f>SUMIF(개발현황!G8:G303,A7,개발현황!AC8:AC303)</f>
        <v>0</v>
      </c>
      <c r="AD7" s="60">
        <f>SUMIF(개발현황!G8:G303,A7,개발현황!AD8:AD303)</f>
        <v>0</v>
      </c>
      <c r="AE7" s="60">
        <f>SUMIF(개발현황!G8:G303,A7,개발현황!AE8:AE303)</f>
        <v>0</v>
      </c>
      <c r="AF7">
        <f t="shared" si="0"/>
        <v>0</v>
      </c>
    </row>
    <row r="8" spans="1:32" x14ac:dyDescent="0.3">
      <c r="A8" s="136" t="s">
        <v>37</v>
      </c>
      <c r="B8" s="73">
        <f>SUMIF(개발현황!G5:G300,A8,개발현황!J5:J300)</f>
        <v>38.5</v>
      </c>
      <c r="M8" s="60">
        <f>SUMIF(개발현황!G9:G304,A8,개발현황!M9:M304)</f>
        <v>0</v>
      </c>
      <c r="N8" s="60">
        <f>SUMIF(개발현황!G9:G304,A8,개발현황!N9:N304)</f>
        <v>0</v>
      </c>
      <c r="O8" s="60">
        <f>SUMIF(개발현황!G9:G304,A8,개발현황!O9:O304)</f>
        <v>0</v>
      </c>
      <c r="P8" s="60">
        <f>SUMIF(개발현황!G9:G304,A8,개발현황!P9:P304)</f>
        <v>0</v>
      </c>
      <c r="Q8" s="60">
        <f>SUMIF(개발현황!G9:G304,A8,개발현황!Q9:Q304)</f>
        <v>0</v>
      </c>
      <c r="R8" s="60">
        <f>SUMIF(개발현황!G9:G304,A8,개발현황!R9:R304)</f>
        <v>0</v>
      </c>
      <c r="S8" s="60">
        <f>SUMIF(개발현황!G9:G304,A8,개발현황!S9:S304)</f>
        <v>0</v>
      </c>
      <c r="T8" s="60">
        <f>SUMIF(개발현황!G9:G304,A8,개발현황!T9:T304)</f>
        <v>0</v>
      </c>
      <c r="U8" s="60">
        <f>SUMIF(개발현황!G9:G304,A8,개발현황!U9:U304)</f>
        <v>0</v>
      </c>
      <c r="V8" s="60">
        <f>SUMIF(개발현황!G9:G304,A8,개발현황!V9:V304)</f>
        <v>0</v>
      </c>
      <c r="W8" s="60">
        <f>SUMIF(개발현황!G9:G304,A8,개발현황!W9:W304)</f>
        <v>0</v>
      </c>
      <c r="X8" s="60">
        <f>SUMIF(개발현황!G9:G304,A8,개발현황!X9:X304)</f>
        <v>0</v>
      </c>
      <c r="Y8" s="60">
        <f>SUMIF(개발현황!G9:G304,A8,개발현황!Y9:Y304)</f>
        <v>0</v>
      </c>
      <c r="Z8" s="60">
        <f>SUMIF(개발현황!G9:G304,A8,개발현황!Z9:Z304)</f>
        <v>0</v>
      </c>
      <c r="AA8" s="60">
        <f>SUMIF(개발현황!G9:G304,A8,개발현황!AA9:AA304)</f>
        <v>0</v>
      </c>
      <c r="AB8" s="60">
        <f>SUMIF(개발현황!G9:G304,A8,개발현황!AB9:AB304)</f>
        <v>0</v>
      </c>
      <c r="AC8" s="60">
        <f>SUMIF(개발현황!G9:G304,A8,개발현황!AC9:AC304)</f>
        <v>0</v>
      </c>
      <c r="AD8" s="60">
        <f>SUMIF(개발현황!G9:G304,A8,개발현황!AD9:AD304)</f>
        <v>0</v>
      </c>
      <c r="AE8" s="60">
        <f>SUMIF(개발현황!G9:G304,A8,개발현황!AE9:AE304)</f>
        <v>0</v>
      </c>
      <c r="AF8">
        <f t="shared" si="0"/>
        <v>0</v>
      </c>
    </row>
    <row r="9" spans="1:32" x14ac:dyDescent="0.3">
      <c r="A9" s="100" t="s">
        <v>164</v>
      </c>
      <c r="B9" s="73">
        <f>SUMIF(개발현황!G5:G300,A9,개발현황!J5:J300)</f>
        <v>47</v>
      </c>
      <c r="M9" s="60">
        <f>SUMIF(개발현황!G10:G305,A9,개발현황!M10:M305)</f>
        <v>0</v>
      </c>
      <c r="N9" s="60">
        <f>SUMIF(개발현황!G10:G305,A9,개발현황!N10:N305)</f>
        <v>0</v>
      </c>
      <c r="O9" s="60">
        <f>SUMIF(개발현황!G10:G305,A9,개발현황!O10:O305)</f>
        <v>0</v>
      </c>
      <c r="P9" s="60">
        <f>SUMIF(개발현황!G10:G305,A9,개발현황!P10:P305)</f>
        <v>0</v>
      </c>
      <c r="Q9" s="60">
        <f>SUMIF(개발현황!G10:G305,A9,개발현황!Q10:Q305)</f>
        <v>0</v>
      </c>
      <c r="R9" s="60">
        <f>SUMIF(개발현황!G10:G305,A9,개발현황!R10:R305)</f>
        <v>0</v>
      </c>
      <c r="S9" s="60">
        <f>SUMIF(개발현황!G10:G305,A9,개발현황!S10:S305)</f>
        <v>0</v>
      </c>
      <c r="T9" s="60">
        <f>SUMIF(개발현황!G10:G305,A9,개발현황!T10:T305)</f>
        <v>0</v>
      </c>
      <c r="U9" s="60">
        <f>SUMIF(개발현황!G10:G305,A9,개발현황!U10:U305)</f>
        <v>0</v>
      </c>
      <c r="V9" s="60">
        <f>SUMIF(개발현황!G10:G305,A9,개발현황!V10:V305)</f>
        <v>0</v>
      </c>
      <c r="W9" s="60">
        <f>SUMIF(개발현황!G10:G305,A9,개발현황!W10:W305)</f>
        <v>0</v>
      </c>
      <c r="X9" s="60">
        <f>SUMIF(개발현황!G10:G305,A9,개발현황!X10:X305)</f>
        <v>0</v>
      </c>
      <c r="Y9" s="60">
        <f>SUMIF(개발현황!G10:G305,A9,개발현황!Y10:Y305)</f>
        <v>0</v>
      </c>
      <c r="Z9" s="60">
        <f>SUMIF(개발현황!G10:G305,A9,개발현황!Z10:Z305)</f>
        <v>0</v>
      </c>
      <c r="AA9" s="60">
        <f>SUMIF(개발현황!G10:G305,A9,개발현황!AA10:AA305)</f>
        <v>0</v>
      </c>
      <c r="AB9" s="60">
        <f>SUMIF(개발현황!G10:G305,A9,개발현황!AB10:AB305)</f>
        <v>0</v>
      </c>
      <c r="AC9" s="60">
        <f>SUMIF(개발현황!G10:G305,A9,개발현황!AC10:AC305)</f>
        <v>0</v>
      </c>
      <c r="AD9" s="60">
        <f>SUMIF(개발현황!G10:G305,A9,개발현황!AD10:AD305)</f>
        <v>0</v>
      </c>
      <c r="AE9" s="60">
        <f>SUMIF(개발현황!G10:G305,A9,개발현황!AE10:AE305)</f>
        <v>0</v>
      </c>
      <c r="AF9">
        <f t="shared" si="0"/>
        <v>0</v>
      </c>
    </row>
    <row r="10" spans="1:32" x14ac:dyDescent="0.25">
      <c r="A10" s="137" t="s">
        <v>182</v>
      </c>
      <c r="B10" s="73">
        <f>SUMIF(개발현황!G5:G300,A10,개발현황!J5:J300)</f>
        <v>7.5</v>
      </c>
      <c r="M10" s="60">
        <f>SUMIF(개발현황!G11:G306,A10,개발현황!M11:M306)</f>
        <v>0</v>
      </c>
      <c r="N10" s="60">
        <f>SUMIF(개발현황!G11:G306,A10,개발현황!N11:N306)</f>
        <v>0</v>
      </c>
      <c r="O10" s="60">
        <f>SUMIF(개발현황!G11:G306,A10,개발현황!O11:O306)</f>
        <v>0</v>
      </c>
      <c r="P10" s="60">
        <f>SUMIF(개발현황!G11:G306,A10,개발현황!P11:P306)</f>
        <v>0</v>
      </c>
      <c r="Q10" s="60">
        <f>SUMIF(개발현황!G11:G306,A10,개발현황!Q11:Q306)</f>
        <v>0</v>
      </c>
      <c r="R10" s="60">
        <f>SUMIF(개발현황!G11:G306,A10,개발현황!R11:R306)</f>
        <v>0</v>
      </c>
      <c r="S10" s="60">
        <f>SUMIF(개발현황!G11:G306,A10,개발현황!S11:S306)</f>
        <v>0</v>
      </c>
      <c r="T10" s="60">
        <f>SUMIF(개발현황!G11:G306,A10,개발현황!T11:T306)</f>
        <v>0</v>
      </c>
      <c r="U10" s="60">
        <f>SUMIF(개발현황!G11:G306,A10,개발현황!U11:U306)</f>
        <v>0</v>
      </c>
      <c r="V10" s="60">
        <f>SUMIF(개발현황!G11:G306,A10,개발현황!V11:V306)</f>
        <v>0</v>
      </c>
      <c r="W10" s="60">
        <f>SUMIF(개발현황!G11:G306,A10,개발현황!W11:W306)</f>
        <v>0</v>
      </c>
      <c r="X10" s="60">
        <f>SUMIF(개발현황!G11:G306,A10,개발현황!X11:X306)</f>
        <v>0</v>
      </c>
      <c r="Y10" s="60">
        <f>SUMIF(개발현황!G11:G306,A10,개발현황!Y11:Y306)</f>
        <v>0</v>
      </c>
      <c r="Z10" s="60">
        <f>SUMIF(개발현황!G11:G306,A10,개발현황!Z11:Z306)</f>
        <v>0</v>
      </c>
      <c r="AA10" s="60">
        <f>SUMIF(개발현황!G11:G306,A10,개발현황!AA11:AA306)</f>
        <v>0</v>
      </c>
      <c r="AB10" s="60">
        <f>SUMIF(개발현황!G11:G306,A10,개발현황!AB11:AB306)</f>
        <v>0</v>
      </c>
      <c r="AC10" s="60">
        <f>SUMIF(개발현황!G11:G306,A10,개발현황!AC11:AC306)</f>
        <v>0</v>
      </c>
      <c r="AD10" s="60">
        <f>SUMIF(개발현황!G11:G306,A10,개발현황!AD11:AD306)</f>
        <v>0</v>
      </c>
      <c r="AE10" s="60">
        <f>SUMIF(개발현황!G11:G306,A10,개발현황!AE11:AE306)</f>
        <v>0</v>
      </c>
      <c r="AF10">
        <f t="shared" si="0"/>
        <v>0</v>
      </c>
    </row>
    <row r="11" spans="1:32" x14ac:dyDescent="0.3">
      <c r="A11" s="115" t="s">
        <v>41</v>
      </c>
      <c r="B11" s="73">
        <f>SUMIF(개발현황!G5:G300,A11,개발현황!J5:J300)</f>
        <v>2.5</v>
      </c>
      <c r="M11" s="60">
        <f>SUMIF(개발현황!G12:G307,A11,개발현황!M12:M307)</f>
        <v>0</v>
      </c>
      <c r="N11" s="60">
        <f>SUMIF(개발현황!G12:G307,A11,개발현황!N12:N307)</f>
        <v>0</v>
      </c>
      <c r="O11" s="60">
        <f>SUMIF(개발현황!G12:G307,A11,개발현황!O12:O307)</f>
        <v>0</v>
      </c>
      <c r="P11" s="60">
        <f>SUMIF(개발현황!G12:G307,A11,개발현황!P12:P307)</f>
        <v>0</v>
      </c>
      <c r="Q11" s="60">
        <f>SUMIF(개발현황!G12:G307,A11,개발현황!Q12:Q307)</f>
        <v>0</v>
      </c>
      <c r="R11" s="60">
        <f>SUMIF(개발현황!G12:G307,A11,개발현황!R12:R307)</f>
        <v>0</v>
      </c>
      <c r="S11" s="60">
        <f>SUMIF(개발현황!G12:G307,A11,개발현황!S12:S307)</f>
        <v>0</v>
      </c>
      <c r="T11" s="60">
        <f>SUMIF(개발현황!G12:G307,A11,개발현황!T12:T307)</f>
        <v>0</v>
      </c>
      <c r="U11" s="60">
        <f>SUMIF(개발현황!G12:G307,A11,개발현황!U12:U307)</f>
        <v>0</v>
      </c>
      <c r="V11" s="60">
        <f>SUMIF(개발현황!G12:G307,A11,개발현황!V12:V307)</f>
        <v>0</v>
      </c>
      <c r="W11" s="60">
        <f>SUMIF(개발현황!G12:G307,A11,개발현황!W12:W307)</f>
        <v>0</v>
      </c>
      <c r="X11" s="60">
        <f>SUMIF(개발현황!G12:G307,A11,개발현황!X12:X307)</f>
        <v>0</v>
      </c>
      <c r="Y11" s="60">
        <f>SUMIF(개발현황!G12:G307,A11,개발현황!Y12:Y307)</f>
        <v>0</v>
      </c>
      <c r="Z11" s="60">
        <f>SUMIF(개발현황!G12:G307,A11,개발현황!Z12:Z307)</f>
        <v>0</v>
      </c>
      <c r="AA11" s="60">
        <f>SUMIF(개발현황!G12:G307,A11,개발현황!AA12:AA307)</f>
        <v>0</v>
      </c>
      <c r="AB11" s="60">
        <f>SUMIF(개발현황!G12:G307,A11,개발현황!AB12:AB307)</f>
        <v>0</v>
      </c>
      <c r="AC11" s="60">
        <f>SUMIF(개발현황!G12:G307,A11,개발현황!AC12:AC307)</f>
        <v>0</v>
      </c>
      <c r="AD11" s="60">
        <f>SUMIF(개발현황!G12:G307,A11,개발현황!AD12:AD307)</f>
        <v>0</v>
      </c>
      <c r="AE11" s="60">
        <f>SUMIF(개발현황!G12:G307,A11,개발현황!AE12:AE307)</f>
        <v>0</v>
      </c>
      <c r="AF11">
        <f t="shared" si="0"/>
        <v>0</v>
      </c>
    </row>
    <row r="12" spans="1:32" x14ac:dyDescent="0.3">
      <c r="A12" s="18"/>
      <c r="B12" s="73">
        <f>SUMIF(개발현황!G13:G207,A12,개발현황!J13:J207)</f>
        <v>0</v>
      </c>
      <c r="M12" s="60">
        <f>SUMIF(개발현황!G13:G308,A12,개발현황!M13:M308)</f>
        <v>0</v>
      </c>
      <c r="N12" s="60">
        <f>SUMIF(개발현황!G13:G308,A12,개발현황!N13:N308)</f>
        <v>0</v>
      </c>
      <c r="O12" s="60">
        <f>SUMIF(개발현황!G13:G308,A12,개발현황!O13:O308)</f>
        <v>0</v>
      </c>
      <c r="P12" s="60">
        <f>SUMIF(개발현황!G13:G308,A12,개발현황!P13:P308)</f>
        <v>0</v>
      </c>
      <c r="Q12" s="60">
        <f>SUMIF(개발현황!G13:G308,A12,개발현황!Q13:Q308)</f>
        <v>0</v>
      </c>
      <c r="R12" s="60">
        <f>SUMIF(개발현황!G13:G308,A12,개발현황!R13:R308)</f>
        <v>0</v>
      </c>
      <c r="S12" s="60">
        <f>SUMIF(개발현황!G13:G308,A12,개발현황!S13:S308)</f>
        <v>0</v>
      </c>
      <c r="T12" s="60">
        <f>SUMIF(개발현황!G13:G308,A12,개발현황!T13:T308)</f>
        <v>0</v>
      </c>
      <c r="U12" s="60">
        <f>SUMIF(개발현황!G13:G308,A12,개발현황!U13:U308)</f>
        <v>0</v>
      </c>
      <c r="V12" s="60">
        <f>SUMIF(개발현황!G13:G308,A12,개발현황!V13:V308)</f>
        <v>0</v>
      </c>
      <c r="W12" s="60">
        <f>SUMIF(개발현황!G13:G308,A12,개발현황!W13:W308)</f>
        <v>0</v>
      </c>
      <c r="X12" s="60">
        <f>SUMIF(개발현황!G13:G308,A12,개발현황!X13:X308)</f>
        <v>0</v>
      </c>
      <c r="Y12" s="60">
        <f>SUMIF(개발현황!G13:G308,A12,개발현황!Y13:Y308)</f>
        <v>0</v>
      </c>
      <c r="Z12" s="60">
        <f>SUMIF(개발현황!G13:G308,A12,개발현황!Z13:Z308)</f>
        <v>0</v>
      </c>
      <c r="AA12" s="60">
        <f>SUMIF(개발현황!G13:G308,A12,개발현황!AA13:AA308)</f>
        <v>0</v>
      </c>
      <c r="AB12" s="60">
        <f>SUMIF(개발현황!G13:G308,A12,개발현황!AB13:AB308)</f>
        <v>0</v>
      </c>
      <c r="AC12" s="60">
        <f>SUMIF(개발현황!G13:G308,A12,개발현황!AC13:AC308)</f>
        <v>0</v>
      </c>
      <c r="AD12" s="60">
        <f>SUMIF(개발현황!G13:G308,A12,개발현황!AD13:AD308)</f>
        <v>0</v>
      </c>
      <c r="AE12" s="60">
        <f>SUMIF(개발현황!G13:G308,A12,개발현황!AE13:AE308)</f>
        <v>0</v>
      </c>
      <c r="AF12">
        <f t="shared" si="0"/>
        <v>0</v>
      </c>
    </row>
    <row r="13" spans="1:32" x14ac:dyDescent="0.3">
      <c r="A13" s="18"/>
      <c r="B13" s="73">
        <f>SUMIF(개발현황!G14:G208,A13,개발현황!J14:J208)</f>
        <v>0</v>
      </c>
      <c r="M13" s="60">
        <f>SUMIF(개발현황!G14:G309,A13,개발현황!M14:M309)</f>
        <v>0</v>
      </c>
      <c r="N13" s="60">
        <f>SUMIF(개발현황!G14:G309,A13,개발현황!N14:N309)</f>
        <v>0</v>
      </c>
      <c r="O13" s="60">
        <f>SUMIF(개발현황!G14:G309,A13,개발현황!O14:O309)</f>
        <v>0</v>
      </c>
      <c r="P13" s="60">
        <f>SUMIF(개발현황!G14:G309,A13,개발현황!P14:P309)</f>
        <v>0</v>
      </c>
      <c r="Q13" s="60">
        <f>SUMIF(개발현황!G14:G309,A13,개발현황!Q14:Q309)</f>
        <v>0</v>
      </c>
      <c r="R13" s="60">
        <f>SUMIF(개발현황!G14:G309,A13,개발현황!R14:R309)</f>
        <v>0</v>
      </c>
      <c r="S13" s="60">
        <f>SUMIF(개발현황!G14:G309,A13,개발현황!S14:S309)</f>
        <v>0</v>
      </c>
      <c r="T13" s="60">
        <f>SUMIF(개발현황!G14:G309,A13,개발현황!T14:T309)</f>
        <v>0</v>
      </c>
      <c r="U13" s="60">
        <f>SUMIF(개발현황!G14:G309,A13,개발현황!U14:U309)</f>
        <v>0</v>
      </c>
      <c r="V13" s="60">
        <f>SUMIF(개발현황!G14:G309,A13,개발현황!V14:V309)</f>
        <v>0</v>
      </c>
      <c r="W13" s="60">
        <f>SUMIF(개발현황!G14:G309,A13,개발현황!W14:W309)</f>
        <v>0</v>
      </c>
      <c r="X13" s="60">
        <f>SUMIF(개발현황!G14:G309,A13,개발현황!X14:X309)</f>
        <v>0</v>
      </c>
      <c r="Y13" s="60">
        <f>SUMIF(개발현황!G14:G309,A13,개발현황!Y14:Y309)</f>
        <v>0</v>
      </c>
      <c r="Z13" s="60">
        <f>SUMIF(개발현황!G14:G309,A13,개발현황!Z14:Z309)</f>
        <v>0</v>
      </c>
      <c r="AA13" s="60">
        <f>SUMIF(개발현황!G14:G309,A13,개발현황!AA14:AA309)</f>
        <v>0</v>
      </c>
      <c r="AB13" s="60">
        <f>SUMIF(개발현황!G14:G309,A13,개발현황!AB14:AB309)</f>
        <v>0</v>
      </c>
      <c r="AC13" s="60">
        <f>SUMIF(개발현황!G14:G309,A13,개발현황!AC14:AC309)</f>
        <v>0</v>
      </c>
      <c r="AD13" s="60">
        <f>SUMIF(개발현황!G14:G309,A13,개발현황!AD14:AD309)</f>
        <v>0</v>
      </c>
      <c r="AE13" s="60">
        <f>SUMIF(개발현황!G14:G309,A13,개발현황!AE14:AE309)</f>
        <v>0</v>
      </c>
      <c r="AF13">
        <f t="shared" si="0"/>
        <v>0</v>
      </c>
    </row>
    <row r="14" spans="1:32" x14ac:dyDescent="0.3">
      <c r="M14">
        <f t="shared" ref="M14:AE14" si="1">SUM(M4:M13)</f>
        <v>5</v>
      </c>
      <c r="N14">
        <f t="shared" si="1"/>
        <v>5</v>
      </c>
      <c r="O14">
        <f t="shared" si="1"/>
        <v>5</v>
      </c>
      <c r="P14">
        <f t="shared" si="1"/>
        <v>5</v>
      </c>
      <c r="Q14">
        <f t="shared" si="1"/>
        <v>5</v>
      </c>
      <c r="R14">
        <f t="shared" si="1"/>
        <v>5</v>
      </c>
      <c r="S14">
        <f t="shared" si="1"/>
        <v>5</v>
      </c>
      <c r="T14">
        <f t="shared" si="1"/>
        <v>5</v>
      </c>
      <c r="U14">
        <f t="shared" si="1"/>
        <v>5</v>
      </c>
      <c r="V14">
        <f t="shared" si="1"/>
        <v>5</v>
      </c>
      <c r="W14">
        <f t="shared" si="1"/>
        <v>5</v>
      </c>
      <c r="X14">
        <f t="shared" si="1"/>
        <v>4</v>
      </c>
      <c r="Y14">
        <f t="shared" si="1"/>
        <v>5</v>
      </c>
      <c r="Z14">
        <f t="shared" si="1"/>
        <v>5</v>
      </c>
      <c r="AA14">
        <f t="shared" si="1"/>
        <v>5</v>
      </c>
      <c r="AB14">
        <f t="shared" si="1"/>
        <v>5</v>
      </c>
      <c r="AC14">
        <f t="shared" si="1"/>
        <v>5</v>
      </c>
      <c r="AD14">
        <f t="shared" si="1"/>
        <v>5</v>
      </c>
      <c r="AE14">
        <f t="shared" si="1"/>
        <v>1</v>
      </c>
    </row>
  </sheetData>
  <mergeCells count="5">
    <mergeCell ref="AA2:AE2"/>
    <mergeCell ref="M2:Q2"/>
    <mergeCell ref="A3:B3"/>
    <mergeCell ref="R2:V2"/>
    <mergeCell ref="W2:Z2"/>
  </mergeCells>
  <phoneticPr fontId="2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workbookViewId="0"/>
  </sheetViews>
  <sheetFormatPr defaultRowHeight="27.75" customHeight="1" x14ac:dyDescent="0.3"/>
  <cols>
    <col min="1" max="1" width="30.875" bestFit="1" customWidth="1"/>
  </cols>
  <sheetData>
    <row r="1" spans="1:6" ht="27.75" customHeight="1" x14ac:dyDescent="0.3">
      <c r="A1" s="5" t="s">
        <v>20</v>
      </c>
      <c r="B1" s="16" t="s">
        <v>31</v>
      </c>
      <c r="C1" s="6" t="s">
        <v>286</v>
      </c>
      <c r="D1" s="157" t="s">
        <v>21</v>
      </c>
      <c r="E1" s="157"/>
      <c r="F1" s="157"/>
    </row>
    <row r="2" spans="1:6" ht="27.75" customHeight="1" x14ac:dyDescent="0.3">
      <c r="A2" s="8" t="s">
        <v>22</v>
      </c>
      <c r="B2" s="2">
        <f>개발현황!J3</f>
        <v>218.5</v>
      </c>
      <c r="C2" s="3">
        <f>개발현황!K3</f>
        <v>218.5</v>
      </c>
      <c r="D2" s="158">
        <f>C2/B2</f>
        <v>1</v>
      </c>
      <c r="E2" s="158"/>
      <c r="F2" s="158"/>
    </row>
    <row r="3" spans="1:6" ht="27.75" customHeight="1" x14ac:dyDescent="0.3">
      <c r="A3" s="8" t="s">
        <v>26</v>
      </c>
      <c r="B3" s="49">
        <f>개발현황!AG3</f>
        <v>51.29999999999999</v>
      </c>
      <c r="C3" s="50">
        <f>개발현황!AH3</f>
        <v>51.29999999999999</v>
      </c>
      <c r="D3" s="158">
        <f>C3/B3</f>
        <v>1</v>
      </c>
      <c r="E3" s="158"/>
      <c r="F3" s="158"/>
    </row>
    <row r="4" spans="1:6" ht="27.75" customHeight="1" x14ac:dyDescent="0.3">
      <c r="A4" s="8" t="s">
        <v>24</v>
      </c>
      <c r="B4" s="49">
        <f>개발현황!AJ3</f>
        <v>51.29999999999999</v>
      </c>
      <c r="C4" s="50">
        <f>개발현황!AK3</f>
        <v>51.29999999999999</v>
      </c>
      <c r="D4" s="158">
        <f>C4/B4</f>
        <v>1</v>
      </c>
      <c r="E4" s="158"/>
      <c r="F4" s="158"/>
    </row>
    <row r="5" spans="1:6" ht="27.75" customHeight="1" x14ac:dyDescent="0.3">
      <c r="A5" s="7" t="s">
        <v>23</v>
      </c>
      <c r="B5" s="9">
        <f>B2+B3+B4</f>
        <v>321.10000000000002</v>
      </c>
      <c r="C5" s="9">
        <f>C2+C3+C4</f>
        <v>321.10000000000002</v>
      </c>
      <c r="D5" s="159">
        <f>C5/B5</f>
        <v>1</v>
      </c>
      <c r="E5" s="159"/>
      <c r="F5" s="159"/>
    </row>
  </sheetData>
  <mergeCells count="5">
    <mergeCell ref="D1:F1"/>
    <mergeCell ref="D2:F2"/>
    <mergeCell ref="D3:F3"/>
    <mergeCell ref="D4:F4"/>
    <mergeCell ref="D5:F5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개발현황</vt:lpstr>
      <vt:lpstr>담당자별공수</vt:lpstr>
      <vt:lpstr>진행상황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ingwhl@hanmail.net</dc:creator>
  <cp:lastModifiedBy>신현규</cp:lastModifiedBy>
  <cp:lastPrinted>2025-11-17T06:58:28Z</cp:lastPrinted>
  <dcterms:created xsi:type="dcterms:W3CDTF">2024-08-12T04:52:05Z</dcterms:created>
  <dcterms:modified xsi:type="dcterms:W3CDTF">2025-12-29T02:25:41Z</dcterms:modified>
</cp:coreProperties>
</file>