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2 분석(RA)\"/>
    </mc:Choice>
  </mc:AlternateContent>
  <bookViews>
    <workbookView xWindow="0" yWindow="0" windowWidth="38400" windowHeight="12135" tabRatio="868" activeTab="5"/>
  </bookViews>
  <sheets>
    <sheet name="표지" sheetId="23" r:id="rId1"/>
    <sheet name="개정이력" sheetId="2" r:id="rId2"/>
    <sheet name="사업장" sheetId="3" r:id="rId3"/>
    <sheet name="센터_창고유형" sheetId="33" r:id="rId4"/>
    <sheet name="위치" sheetId="44" r:id="rId5"/>
    <sheet name="수불유형" sheetId="7" r:id="rId6"/>
    <sheet name="SKU" sheetId="11" r:id="rId7"/>
  </sheets>
  <definedNames>
    <definedName name="_xlnm.Print_Area" localSheetId="0">표지!$A$1:$M$24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33" l="1"/>
  <c r="G91" i="44" l="1"/>
  <c r="B70" i="33"/>
  <c r="U63" i="44" l="1"/>
  <c r="V63" i="44"/>
  <c r="C91" i="44"/>
  <c r="D91" i="44"/>
  <c r="E91" i="44"/>
  <c r="F91" i="44"/>
  <c r="M51" i="44" l="1"/>
  <c r="M50" i="44" s="1"/>
  <c r="L50" i="44"/>
  <c r="K50" i="44"/>
  <c r="M48" i="44"/>
  <c r="M47" i="44"/>
  <c r="M46" i="44"/>
  <c r="M45" i="44"/>
  <c r="M44" i="44"/>
  <c r="M43" i="44"/>
  <c r="M42" i="44"/>
  <c r="M41" i="44"/>
  <c r="M40" i="44"/>
  <c r="L39" i="44"/>
  <c r="K39" i="44"/>
  <c r="M37" i="44"/>
  <c r="M36" i="44"/>
  <c r="M35" i="44"/>
  <c r="M34" i="44"/>
  <c r="M33" i="44"/>
  <c r="M32" i="44"/>
  <c r="M31" i="44"/>
  <c r="M30" i="44"/>
  <c r="M29" i="44"/>
  <c r="M28" i="44"/>
  <c r="L27" i="44"/>
  <c r="K27" i="44"/>
  <c r="M25" i="44"/>
  <c r="M24" i="44"/>
  <c r="M23" i="44"/>
  <c r="M22" i="44"/>
  <c r="M21" i="44"/>
  <c r="M20" i="44"/>
  <c r="M19" i="44"/>
  <c r="M18" i="44"/>
  <c r="L17" i="44"/>
  <c r="K17" i="44"/>
  <c r="M15" i="44"/>
  <c r="M14" i="44"/>
  <c r="M13" i="44"/>
  <c r="M12" i="44"/>
  <c r="M11" i="44"/>
  <c r="M10" i="44"/>
  <c r="M9" i="44"/>
  <c r="M8" i="44"/>
  <c r="M7" i="44"/>
  <c r="M6" i="44"/>
  <c r="M5" i="44"/>
  <c r="M4" i="44"/>
  <c r="L3" i="44"/>
  <c r="K3" i="44"/>
  <c r="M17" i="44" l="1"/>
  <c r="M3" i="44"/>
  <c r="M27" i="44"/>
  <c r="M39" i="44"/>
  <c r="V87" i="44"/>
  <c r="U87" i="44"/>
  <c r="W94" i="44"/>
  <c r="W93" i="44"/>
  <c r="W92" i="44"/>
  <c r="W91" i="44"/>
  <c r="W90" i="44"/>
  <c r="W89" i="44"/>
  <c r="W88" i="44"/>
  <c r="W72" i="44"/>
  <c r="V71" i="44"/>
  <c r="U71" i="44"/>
  <c r="W76" i="44"/>
  <c r="W75" i="44"/>
  <c r="W74" i="44"/>
  <c r="W73" i="44"/>
  <c r="W85" i="44"/>
  <c r="W84" i="44"/>
  <c r="W83" i="44"/>
  <c r="W82" i="44"/>
  <c r="W81" i="44"/>
  <c r="W80" i="44"/>
  <c r="W79" i="44"/>
  <c r="V78" i="44"/>
  <c r="U78" i="44"/>
  <c r="W65" i="44"/>
  <c r="W66" i="44"/>
  <c r="W67" i="44"/>
  <c r="V54" i="44"/>
  <c r="U54" i="44"/>
  <c r="W61" i="44"/>
  <c r="W60" i="44"/>
  <c r="W64" i="44"/>
  <c r="W59" i="44"/>
  <c r="W58" i="44"/>
  <c r="W57" i="44"/>
  <c r="W56" i="44"/>
  <c r="W55" i="44"/>
  <c r="Q66" i="44"/>
  <c r="P66" i="44"/>
  <c r="R68" i="44"/>
  <c r="R67" i="44"/>
  <c r="Q63" i="44"/>
  <c r="P63" i="44"/>
  <c r="Q60" i="44"/>
  <c r="P60" i="44"/>
  <c r="R61" i="44"/>
  <c r="R60" i="44" s="1"/>
  <c r="Q54" i="44"/>
  <c r="P54" i="44"/>
  <c r="R55" i="44"/>
  <c r="R64" i="44"/>
  <c r="R63" i="44" s="1"/>
  <c r="R58" i="44"/>
  <c r="R57" i="44"/>
  <c r="R56" i="44"/>
  <c r="H91" i="44"/>
  <c r="L61" i="44"/>
  <c r="K61" i="44"/>
  <c r="L69" i="44"/>
  <c r="K69" i="44"/>
  <c r="L66" i="44"/>
  <c r="M66" i="44"/>
  <c r="K66" i="44"/>
  <c r="M71" i="44"/>
  <c r="M70" i="44"/>
  <c r="K54" i="44"/>
  <c r="M64" i="44"/>
  <c r="M63" i="44"/>
  <c r="M62" i="44"/>
  <c r="M59" i="44"/>
  <c r="M58" i="44"/>
  <c r="M57" i="44"/>
  <c r="M56" i="44"/>
  <c r="M55" i="44"/>
  <c r="L54" i="44"/>
  <c r="W63" i="44" l="1"/>
  <c r="W71" i="44"/>
  <c r="W54" i="44"/>
  <c r="W87" i="44"/>
  <c r="W78" i="44"/>
  <c r="R54" i="44"/>
  <c r="R66" i="44"/>
  <c r="M69" i="44"/>
  <c r="M61" i="44"/>
  <c r="M54" i="44"/>
  <c r="AF39" i="44"/>
  <c r="AE39" i="44"/>
  <c r="AE30" i="44"/>
  <c r="AG44" i="44"/>
  <c r="AG43" i="44"/>
  <c r="AG42" i="44"/>
  <c r="AG41" i="44"/>
  <c r="AG40" i="44"/>
  <c r="AF30" i="44"/>
  <c r="AF25" i="44"/>
  <c r="AE25" i="44"/>
  <c r="AF18" i="44"/>
  <c r="AE18" i="44"/>
  <c r="AF9" i="44"/>
  <c r="AE9" i="44"/>
  <c r="AG36" i="44"/>
  <c r="AG35" i="44"/>
  <c r="AG34" i="44"/>
  <c r="AG33" i="44"/>
  <c r="AG32" i="44"/>
  <c r="AG31" i="44"/>
  <c r="AG28" i="44"/>
  <c r="AG27" i="44"/>
  <c r="AG26" i="44"/>
  <c r="AG23" i="44"/>
  <c r="AG22" i="44"/>
  <c r="AG21" i="44"/>
  <c r="AG20" i="44"/>
  <c r="AG16" i="44"/>
  <c r="AG15" i="44"/>
  <c r="AG14" i="44"/>
  <c r="AG13" i="44"/>
  <c r="AG12" i="44"/>
  <c r="AG19" i="44"/>
  <c r="AG11" i="44"/>
  <c r="AG10" i="44"/>
  <c r="AG5" i="44"/>
  <c r="AG4" i="44"/>
  <c r="AF3" i="44"/>
  <c r="AE3" i="44"/>
  <c r="AG9" i="44" l="1"/>
  <c r="AG30" i="44"/>
  <c r="AG18" i="44"/>
  <c r="AG25" i="44"/>
  <c r="AG39" i="44"/>
  <c r="AG3" i="44"/>
  <c r="AB45" i="44"/>
  <c r="AB44" i="44"/>
  <c r="AB43" i="44"/>
  <c r="AB42" i="44"/>
  <c r="AB41" i="44"/>
  <c r="AB40" i="44"/>
  <c r="AA39" i="44"/>
  <c r="Z39" i="44"/>
  <c r="AA31" i="44"/>
  <c r="Z31" i="44"/>
  <c r="AB37" i="44"/>
  <c r="AB36" i="44"/>
  <c r="AB35" i="44"/>
  <c r="AB34" i="44"/>
  <c r="AB33" i="44"/>
  <c r="AB32" i="44"/>
  <c r="AB19" i="44"/>
  <c r="AA12" i="44"/>
  <c r="Z12" i="44"/>
  <c r="AB20" i="44"/>
  <c r="AB18" i="44"/>
  <c r="AB17" i="44"/>
  <c r="AB16" i="44"/>
  <c r="AB15" i="44"/>
  <c r="AB14" i="44"/>
  <c r="AB13" i="44"/>
  <c r="AA3" i="44"/>
  <c r="Z3" i="44"/>
  <c r="AB10" i="44"/>
  <c r="AB9" i="44"/>
  <c r="AB8" i="44"/>
  <c r="AB7" i="44"/>
  <c r="AB6" i="44"/>
  <c r="AB5" i="44"/>
  <c r="AB4" i="44"/>
  <c r="V3" i="44"/>
  <c r="U3" i="44"/>
  <c r="W10" i="44"/>
  <c r="W11" i="44"/>
  <c r="W12" i="44"/>
  <c r="W13" i="44"/>
  <c r="W14" i="44"/>
  <c r="W15" i="44"/>
  <c r="W16" i="44"/>
  <c r="W17" i="44"/>
  <c r="W18" i="44"/>
  <c r="W19" i="44"/>
  <c r="W20" i="44"/>
  <c r="W21" i="44"/>
  <c r="W22" i="44"/>
  <c r="V24" i="44"/>
  <c r="W24" i="44"/>
  <c r="U24" i="44"/>
  <c r="Q24" i="44"/>
  <c r="P24" i="44"/>
  <c r="Q15" i="44"/>
  <c r="P15" i="44"/>
  <c r="Q3" i="44"/>
  <c r="P3" i="44"/>
  <c r="W9" i="44"/>
  <c r="W8" i="44"/>
  <c r="W7" i="44"/>
  <c r="W6" i="44"/>
  <c r="W5" i="44"/>
  <c r="W4" i="44"/>
  <c r="R12" i="44"/>
  <c r="R32" i="44"/>
  <c r="R31" i="44"/>
  <c r="R30" i="44"/>
  <c r="R29" i="44"/>
  <c r="R28" i="44"/>
  <c r="R27" i="44"/>
  <c r="R26" i="44"/>
  <c r="R25" i="44"/>
  <c r="R11" i="44"/>
  <c r="R22" i="44"/>
  <c r="R10" i="44"/>
  <c r="R21" i="44"/>
  <c r="R9" i="44"/>
  <c r="R20" i="44"/>
  <c r="R8" i="44"/>
  <c r="R7" i="44"/>
  <c r="R4" i="44"/>
  <c r="B91" i="44"/>
  <c r="AB31" i="44" l="1"/>
  <c r="AB12" i="44"/>
  <c r="AB3" i="44"/>
  <c r="AB39" i="44"/>
  <c r="R15" i="44"/>
  <c r="W3" i="44"/>
  <c r="R24" i="44"/>
  <c r="R3" i="44"/>
  <c r="C39" i="7" l="1"/>
  <c r="B39" i="7" l="1"/>
</calcChain>
</file>

<file path=xl/sharedStrings.xml><?xml version="1.0" encoding="utf-8"?>
<sst xmlns="http://schemas.openxmlformats.org/spreadsheetml/2006/main" count="953" uniqueCount="392">
  <si>
    <t>개 정 이 력</t>
    <phoneticPr fontId="6" type="noConversion"/>
  </si>
  <si>
    <t>버전</t>
  </si>
  <si>
    <t>작성자</t>
  </si>
  <si>
    <t>최초 작성</t>
    <phoneticPr fontId="6" type="noConversion"/>
  </si>
  <si>
    <t>일자</t>
    <phoneticPr fontId="1" type="noConversion"/>
  </si>
  <si>
    <t>내용</t>
    <phoneticPr fontId="6" type="noConversion"/>
  </si>
  <si>
    <t>개정범위</t>
    <phoneticPr fontId="1" type="noConversion"/>
  </si>
  <si>
    <t>전체</t>
    <phoneticPr fontId="1" type="noConversion"/>
  </si>
  <si>
    <t>v1.0</t>
    <phoneticPr fontId="6" type="noConversion"/>
  </si>
  <si>
    <t>* 사업장 유형</t>
    <phoneticPr fontId="1" type="noConversion"/>
  </si>
  <si>
    <t>NO</t>
    <phoneticPr fontId="6" type="noConversion"/>
  </si>
  <si>
    <t>사업장</t>
    <phoneticPr fontId="1" type="noConversion"/>
  </si>
  <si>
    <t>비고</t>
    <phoneticPr fontId="6" type="noConversion"/>
  </si>
  <si>
    <t>수불유형</t>
    <phoneticPr fontId="6" type="noConversion"/>
  </si>
  <si>
    <t>처리형태</t>
    <phoneticPr fontId="6" type="noConversion"/>
  </si>
  <si>
    <t>FROM 창고</t>
    <phoneticPr fontId="6" type="noConversion"/>
  </si>
  <si>
    <t>TO 창고</t>
    <phoneticPr fontId="6" type="noConversion"/>
  </si>
  <si>
    <t>프로그램</t>
    <phoneticPr fontId="6" type="noConversion"/>
  </si>
  <si>
    <t>비고</t>
    <phoneticPr fontId="6" type="noConversion"/>
  </si>
  <si>
    <t>IW</t>
    <phoneticPr fontId="6" type="noConversion"/>
  </si>
  <si>
    <t>IW01</t>
  </si>
  <si>
    <t>업체번호 or '-'</t>
  </si>
  <si>
    <t>입고창고</t>
    <phoneticPr fontId="6" type="noConversion"/>
  </si>
  <si>
    <t>입고처리</t>
    <phoneticPr fontId="6" type="noConversion"/>
  </si>
  <si>
    <t>업체번호 or '-'</t>
    <phoneticPr fontId="6" type="noConversion"/>
  </si>
  <si>
    <t>반품처리</t>
  </si>
  <si>
    <t>재고이동</t>
    <phoneticPr fontId="6" type="noConversion"/>
  </si>
  <si>
    <t>IM</t>
    <phoneticPr fontId="6" type="noConversion"/>
  </si>
  <si>
    <t>IM01</t>
    <phoneticPr fontId="6" type="noConversion"/>
  </si>
  <si>
    <t>제품창고</t>
    <phoneticPr fontId="6" type="noConversion"/>
  </si>
  <si>
    <t>EX</t>
    <phoneticPr fontId="6" type="noConversion"/>
  </si>
  <si>
    <t>EX01</t>
  </si>
  <si>
    <t>-</t>
    <phoneticPr fontId="6" type="noConversion"/>
  </si>
  <si>
    <t>재고조정</t>
    <phoneticPr fontId="6" type="noConversion"/>
  </si>
  <si>
    <t>AD</t>
    <phoneticPr fontId="6" type="noConversion"/>
  </si>
  <si>
    <t>실사조정</t>
  </si>
  <si>
    <t>AD01</t>
  </si>
  <si>
    <t>제품창고</t>
  </si>
  <si>
    <t>AD91</t>
  </si>
  <si>
    <t>합계</t>
    <phoneticPr fontId="6" type="noConversion"/>
  </si>
  <si>
    <t>* SKU 생성 규칙</t>
    <phoneticPr fontId="1" type="noConversion"/>
  </si>
  <si>
    <t>구분</t>
    <phoneticPr fontId="1" type="noConversion"/>
  </si>
  <si>
    <t xml:space="preserve">* 수불 유형 </t>
    <phoneticPr fontId="6" type="noConversion"/>
  </si>
  <si>
    <t>창고이동</t>
    <phoneticPr fontId="6" type="noConversion"/>
  </si>
  <si>
    <t>출고처리</t>
    <phoneticPr fontId="6" type="noConversion"/>
  </si>
  <si>
    <t>폐기</t>
    <phoneticPr fontId="1" type="noConversion"/>
  </si>
  <si>
    <t xml:space="preserve"> </t>
    <phoneticPr fontId="1" type="noConversion"/>
  </si>
  <si>
    <t>기준정보정의서</t>
    <phoneticPr fontId="6" type="noConversion"/>
  </si>
  <si>
    <t>입고창고</t>
    <phoneticPr fontId="1" type="noConversion"/>
  </si>
  <si>
    <t>SC01</t>
    <phoneticPr fontId="1" type="noConversion"/>
  </si>
  <si>
    <t>SKU변경</t>
    <phoneticPr fontId="1" type="noConversion"/>
  </si>
  <si>
    <t>SKU변경</t>
    <phoneticPr fontId="1" type="noConversion"/>
  </si>
  <si>
    <t>RT</t>
  </si>
  <si>
    <t>RT01</t>
    <phoneticPr fontId="6" type="noConversion"/>
  </si>
  <si>
    <t>반품창고</t>
  </si>
  <si>
    <t>OB</t>
    <phoneticPr fontId="6" type="noConversion"/>
  </si>
  <si>
    <t>입고</t>
    <phoneticPr fontId="6" type="noConversion"/>
  </si>
  <si>
    <t>SKU</t>
    <phoneticPr fontId="1" type="noConversion"/>
  </si>
  <si>
    <t>예외창고</t>
    <phoneticPr fontId="1" type="noConversion"/>
  </si>
  <si>
    <t>제품/예외창고</t>
    <phoneticPr fontId="6" type="noConversion"/>
  </si>
  <si>
    <t>제품/예외창고</t>
    <phoneticPr fontId="6" type="noConversion"/>
  </si>
  <si>
    <t>출하</t>
    <phoneticPr fontId="6" type="noConversion"/>
  </si>
  <si>
    <t>OB81</t>
    <phoneticPr fontId="6" type="noConversion"/>
  </si>
  <si>
    <t>IW81</t>
    <phoneticPr fontId="1" type="noConversion"/>
  </si>
  <si>
    <t>업체번호 or '-'</t>
    <phoneticPr fontId="6" type="noConversion"/>
  </si>
  <si>
    <t>OW</t>
    <phoneticPr fontId="1" type="noConversion"/>
  </si>
  <si>
    <t>OW01</t>
    <phoneticPr fontId="6" type="noConversion"/>
  </si>
  <si>
    <t>센터출하</t>
    <phoneticPr fontId="6" type="noConversion"/>
  </si>
  <si>
    <t>출고이동</t>
    <phoneticPr fontId="6" type="noConversion"/>
  </si>
  <si>
    <t>IW03</t>
    <phoneticPr fontId="1" type="noConversion"/>
  </si>
  <si>
    <t>출하창고</t>
    <phoneticPr fontId="1" type="noConversion"/>
  </si>
  <si>
    <t>외주센터 -&gt; client 출하</t>
    <phoneticPr fontId="1" type="noConversion"/>
  </si>
  <si>
    <t>출하창고</t>
    <phoneticPr fontId="6" type="noConversion"/>
  </si>
  <si>
    <t>제품/출하창고</t>
    <phoneticPr fontId="6" type="noConversion"/>
  </si>
  <si>
    <t>출하/제품창고</t>
    <phoneticPr fontId="6" type="noConversion"/>
  </si>
  <si>
    <t>출하처리</t>
    <phoneticPr fontId="6" type="noConversion"/>
  </si>
  <si>
    <t>예외출고</t>
    <phoneticPr fontId="6" type="noConversion"/>
  </si>
  <si>
    <t>상온</t>
    <phoneticPr fontId="1" type="noConversion"/>
  </si>
  <si>
    <t>외주직출</t>
    <phoneticPr fontId="6" type="noConversion"/>
  </si>
  <si>
    <t>출고</t>
    <phoneticPr fontId="1" type="noConversion"/>
  </si>
  <si>
    <t>작업이동</t>
    <phoneticPr fontId="1" type="noConversion"/>
  </si>
  <si>
    <t>IM03</t>
    <phoneticPr fontId="1" type="noConversion"/>
  </si>
  <si>
    <t>재고이동</t>
    <phoneticPr fontId="1" type="noConversion"/>
  </si>
  <si>
    <t>세트작업에서 요청</t>
    <phoneticPr fontId="1" type="noConversion"/>
  </si>
  <si>
    <t>제품/작업창고</t>
    <phoneticPr fontId="1" type="noConversion"/>
  </si>
  <si>
    <t>작업/제품창고</t>
    <phoneticPr fontId="1" type="noConversion"/>
  </si>
  <si>
    <t>* 센터_창고유형</t>
    <phoneticPr fontId="1" type="noConversion"/>
  </si>
  <si>
    <t>NO</t>
    <phoneticPr fontId="6" type="noConversion"/>
  </si>
  <si>
    <t>센터명칭</t>
    <phoneticPr fontId="6" type="noConversion"/>
  </si>
  <si>
    <t>창고명칭</t>
    <phoneticPr fontId="1" type="noConversion"/>
  </si>
  <si>
    <t>창고그룹</t>
    <phoneticPr fontId="6" type="noConversion"/>
  </si>
  <si>
    <t>ERP창고</t>
    <phoneticPr fontId="1" type="noConversion"/>
  </si>
  <si>
    <t>비고</t>
    <phoneticPr fontId="6" type="noConversion"/>
  </si>
  <si>
    <t>명칭</t>
    <phoneticPr fontId="1" type="noConversion"/>
  </si>
  <si>
    <t>코드</t>
    <phoneticPr fontId="1" type="noConversion"/>
  </si>
  <si>
    <t>창고명</t>
    <phoneticPr fontId="1" type="noConversion"/>
  </si>
  <si>
    <t>입고창고</t>
    <phoneticPr fontId="1" type="noConversion"/>
  </si>
  <si>
    <t>입고</t>
    <phoneticPr fontId="1" type="noConversion"/>
  </si>
  <si>
    <t>G10</t>
    <phoneticPr fontId="1" type="noConversion"/>
  </si>
  <si>
    <t>제품</t>
    <phoneticPr fontId="1" type="noConversion"/>
  </si>
  <si>
    <t>G30</t>
    <phoneticPr fontId="1" type="noConversion"/>
  </si>
  <si>
    <t>출하창고</t>
    <phoneticPr fontId="1" type="noConversion"/>
  </si>
  <si>
    <t>출고</t>
    <phoneticPr fontId="1" type="noConversion"/>
  </si>
  <si>
    <t>G50</t>
    <phoneticPr fontId="1" type="noConversion"/>
  </si>
  <si>
    <t>예외창고</t>
    <phoneticPr fontId="1" type="noConversion"/>
  </si>
  <si>
    <t>예외</t>
    <phoneticPr fontId="1" type="noConversion"/>
  </si>
  <si>
    <t>G90</t>
    <phoneticPr fontId="1" type="noConversion"/>
  </si>
  <si>
    <t>합계</t>
    <phoneticPr fontId="6" type="noConversion"/>
  </si>
  <si>
    <t xml:space="preserve"> </t>
    <phoneticPr fontId="1" type="noConversion"/>
  </si>
  <si>
    <t>OB01</t>
    <phoneticPr fontId="1" type="noConversion"/>
  </si>
  <si>
    <t>이택</t>
    <phoneticPr fontId="1" type="noConversion"/>
  </si>
  <si>
    <t>동부센터</t>
    <phoneticPr fontId="1" type="noConversion"/>
  </si>
  <si>
    <t>남부센터</t>
    <phoneticPr fontId="1" type="noConversion"/>
  </si>
  <si>
    <t>서부센터</t>
    <phoneticPr fontId="1" type="noConversion"/>
  </si>
  <si>
    <t>제주클러스터</t>
    <phoneticPr fontId="1" type="noConversion"/>
  </si>
  <si>
    <t>G30</t>
  </si>
  <si>
    <t>G30</t>
    <phoneticPr fontId="1" type="noConversion"/>
  </si>
  <si>
    <t>냉장1</t>
    <phoneticPr fontId="1" type="noConversion"/>
  </si>
  <si>
    <t>수도권센터</t>
    <phoneticPr fontId="1" type="noConversion"/>
  </si>
  <si>
    <t>익산클러스터</t>
    <phoneticPr fontId="1" type="noConversion"/>
  </si>
  <si>
    <t>강원클러스터</t>
    <phoneticPr fontId="1" type="noConversion"/>
  </si>
  <si>
    <t>SC</t>
    <phoneticPr fontId="1" type="noConversion"/>
  </si>
  <si>
    <t>기타출하</t>
    <phoneticPr fontId="6" type="noConversion"/>
  </si>
  <si>
    <t>판매출하</t>
    <phoneticPr fontId="1" type="noConversion"/>
  </si>
  <si>
    <t>외주입고</t>
    <phoneticPr fontId="6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</si>
  <si>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</si>
  <si>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</si>
  <si>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</si>
  <si>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</si>
  <si>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</si>
  <si>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냉장2</t>
    <phoneticPr fontId="1" type="noConversion"/>
  </si>
  <si>
    <t>상태변경</t>
    <phoneticPr fontId="6" type="noConversion"/>
  </si>
  <si>
    <t>TC</t>
    <phoneticPr fontId="6" type="noConversion"/>
  </si>
  <si>
    <t>보류-&gt;정상</t>
    <phoneticPr fontId="1" type="noConversion"/>
  </si>
  <si>
    <t>TC01</t>
    <phoneticPr fontId="1" type="noConversion"/>
  </si>
  <si>
    <t>TC03</t>
    <phoneticPr fontId="1" type="noConversion"/>
  </si>
  <si>
    <t>가맹점 출하된 품목에 대한 반품 / 재고(+)</t>
    <phoneticPr fontId="1" type="noConversion"/>
  </si>
  <si>
    <t>제품창고</t>
    <phoneticPr fontId="6" type="noConversion"/>
  </si>
  <si>
    <t>입고된 품목에 대한 반품 / 재고(-)</t>
    <phoneticPr fontId="1" type="noConversion"/>
  </si>
  <si>
    <t>정상-&gt;보류</t>
    <phoneticPr fontId="1" type="noConversion"/>
  </si>
  <si>
    <t>기초조정</t>
    <phoneticPr fontId="1" type="noConversion"/>
  </si>
  <si>
    <t>AD99</t>
    <phoneticPr fontId="1" type="noConversion"/>
  </si>
  <si>
    <t>EX95</t>
    <phoneticPr fontId="1" type="noConversion"/>
  </si>
  <si>
    <t>냉동1</t>
    <phoneticPr fontId="1" type="noConversion"/>
  </si>
  <si>
    <t>냉동2</t>
    <phoneticPr fontId="1" type="noConversion"/>
  </si>
  <si>
    <t>냉동3</t>
    <phoneticPr fontId="1" type="noConversion"/>
  </si>
  <si>
    <t>냉동급속</t>
    <phoneticPr fontId="1" type="noConversion"/>
  </si>
  <si>
    <t>냉동</t>
    <phoneticPr fontId="1" type="noConversion"/>
  </si>
  <si>
    <t>냉장</t>
    <phoneticPr fontId="1" type="noConversion"/>
  </si>
  <si>
    <t>원자재, 무</t>
    <phoneticPr fontId="1" type="noConversion"/>
  </si>
  <si>
    <t>소스</t>
    <phoneticPr fontId="1" type="noConversion"/>
  </si>
  <si>
    <t>상온1</t>
  </si>
  <si>
    <t>상온_기타1</t>
  </si>
  <si>
    <t>상온_기타2</t>
  </si>
  <si>
    <t>냉동1</t>
  </si>
  <si>
    <t>냉장1</t>
  </si>
  <si>
    <t>냉장2</t>
  </si>
  <si>
    <t>상온2</t>
  </si>
  <si>
    <t>냉동</t>
  </si>
  <si>
    <t>전용유21</t>
  </si>
  <si>
    <t>전용유22</t>
  </si>
  <si>
    <t>전용유23</t>
  </si>
  <si>
    <t>전용유24</t>
  </si>
  <si>
    <t>전용유25</t>
  </si>
  <si>
    <t>제주창고</t>
    <phoneticPr fontId="1" type="noConversion"/>
  </si>
  <si>
    <t>익산창고</t>
    <phoneticPr fontId="1" type="noConversion"/>
  </si>
  <si>
    <t>강원창고(직영)</t>
    <phoneticPr fontId="1" type="noConversion"/>
  </si>
  <si>
    <t>서부창고</t>
    <phoneticPr fontId="1" type="noConversion"/>
  </si>
  <si>
    <t>남부창고</t>
    <phoneticPr fontId="1" type="noConversion"/>
  </si>
  <si>
    <t>동부창고</t>
    <phoneticPr fontId="1" type="noConversion"/>
  </si>
  <si>
    <t>김포창고</t>
    <phoneticPr fontId="1" type="noConversion"/>
  </si>
  <si>
    <t>수도권창고</t>
    <phoneticPr fontId="1" type="noConversion"/>
  </si>
  <si>
    <t>열</t>
    <phoneticPr fontId="1" type="noConversion"/>
  </si>
  <si>
    <t>단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</si>
  <si>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</si>
  <si>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</si>
  <si>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</si>
  <si>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L</t>
    <phoneticPr fontId="1" type="noConversion"/>
  </si>
  <si>
    <t>N</t>
    <phoneticPr fontId="1" type="noConversion"/>
  </si>
  <si>
    <t>R</t>
    <phoneticPr fontId="1" type="noConversion"/>
  </si>
  <si>
    <t>S</t>
    <phoneticPr fontId="1" type="noConversion"/>
  </si>
  <si>
    <t>I</t>
    <phoneticPr fontId="1" type="noConversion"/>
  </si>
  <si>
    <t>상온1</t>
    <phoneticPr fontId="1" type="noConversion"/>
  </si>
  <si>
    <t>세트구성</t>
    <phoneticPr fontId="6" type="noConversion"/>
  </si>
  <si>
    <t>PD</t>
    <phoneticPr fontId="6" type="noConversion"/>
  </si>
  <si>
    <t>세트완료</t>
  </si>
  <si>
    <t>PD01</t>
  </si>
  <si>
    <t>제품창고</t>
    <phoneticPr fontId="6" type="noConversion"/>
  </si>
  <si>
    <t>세트해체</t>
  </si>
  <si>
    <t>PD03</t>
  </si>
  <si>
    <t>상온</t>
    <phoneticPr fontId="1" type="noConversion"/>
  </si>
  <si>
    <t>냉동2</t>
    <phoneticPr fontId="1" type="noConversion"/>
  </si>
  <si>
    <t>냉동1</t>
    <phoneticPr fontId="1" type="noConversion"/>
  </si>
  <si>
    <t>냉동2</t>
    <phoneticPr fontId="1" type="noConversion"/>
  </si>
  <si>
    <t>냉장</t>
    <phoneticPr fontId="1" type="noConversion"/>
  </si>
  <si>
    <t>상온</t>
    <phoneticPr fontId="1" type="noConversion"/>
  </si>
  <si>
    <t>냉장1</t>
    <phoneticPr fontId="1" type="noConversion"/>
  </si>
  <si>
    <t>냉장2</t>
    <phoneticPr fontId="1" type="noConversion"/>
  </si>
  <si>
    <t>상온</t>
    <phoneticPr fontId="1" type="noConversion"/>
  </si>
  <si>
    <t>냉장2</t>
    <phoneticPr fontId="1" type="noConversion"/>
  </si>
  <si>
    <t>위치 개수</t>
    <phoneticPr fontId="1" type="noConversion"/>
  </si>
  <si>
    <t>-</t>
    <phoneticPr fontId="1" type="noConversion"/>
  </si>
  <si>
    <t>I</t>
    <phoneticPr fontId="1" type="noConversion"/>
  </si>
  <si>
    <t>J</t>
    <phoneticPr fontId="1" type="noConversion"/>
  </si>
  <si>
    <t>* 센터_창고_위치</t>
    <phoneticPr fontId="1" type="noConversion"/>
  </si>
  <si>
    <t>존</t>
  </si>
  <si>
    <t>존</t>
    <phoneticPr fontId="1" type="noConversion"/>
  </si>
  <si>
    <t>랙</t>
    <phoneticPr fontId="1" type="noConversion"/>
  </si>
  <si>
    <t>랙</t>
    <phoneticPr fontId="1" type="noConversion"/>
  </si>
  <si>
    <t>렉/존</t>
    <phoneticPr fontId="6" type="noConversion"/>
  </si>
  <si>
    <t>가상</t>
    <phoneticPr fontId="1" type="noConversion"/>
  </si>
  <si>
    <t>가상</t>
    <phoneticPr fontId="1" type="noConversion"/>
  </si>
  <si>
    <t>K</t>
    <phoneticPr fontId="1" type="noConversion"/>
  </si>
  <si>
    <t>김포센터</t>
    <phoneticPr fontId="1" type="noConversion"/>
  </si>
  <si>
    <t>김포센터</t>
    <phoneticPr fontId="1" type="noConversion"/>
  </si>
  <si>
    <t>랙/존</t>
  </si>
  <si>
    <t>랙/존</t>
    <phoneticPr fontId="1" type="noConversion"/>
  </si>
  <si>
    <t>동부센터</t>
    <phoneticPr fontId="1" type="noConversion"/>
  </si>
  <si>
    <t>존</t>
    <phoneticPr fontId="1" type="noConversion"/>
  </si>
  <si>
    <t>랙</t>
    <phoneticPr fontId="1" type="noConversion"/>
  </si>
  <si>
    <t>랙</t>
    <phoneticPr fontId="1" type="noConversion"/>
  </si>
  <si>
    <t>랙/존</t>
    <phoneticPr fontId="1" type="noConversion"/>
  </si>
  <si>
    <t>L</t>
    <phoneticPr fontId="1" type="noConversion"/>
  </si>
  <si>
    <t>M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</si>
  <si>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</si>
  <si>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</si>
  <si>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</si>
  <si>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</si>
  <si>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</si>
  <si>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</si>
  <si>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</si>
  <si>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</si>
  <si>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</si>
  <si>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</si>
  <si>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남부센터</t>
    <phoneticPr fontId="1" type="noConversion"/>
  </si>
  <si>
    <t>냉장</t>
    <phoneticPr fontId="1" type="noConversion"/>
  </si>
  <si>
    <t>냉동2</t>
    <phoneticPr fontId="1" type="noConversion"/>
  </si>
  <si>
    <t>서부센터</t>
    <phoneticPr fontId="1" type="noConversion"/>
  </si>
  <si>
    <t>냉장1</t>
    <phoneticPr fontId="1" type="noConversion"/>
  </si>
  <si>
    <t>냉장2</t>
    <phoneticPr fontId="1" type="noConversion"/>
  </si>
  <si>
    <t>상온1</t>
    <phoneticPr fontId="1" type="noConversion"/>
  </si>
  <si>
    <t>상온_기타1</t>
    <phoneticPr fontId="1" type="noConversion"/>
  </si>
  <si>
    <t>상온_기타2</t>
    <phoneticPr fontId="1" type="noConversion"/>
  </si>
  <si>
    <t>랙/존</t>
    <phoneticPr fontId="1" type="noConversion"/>
  </si>
  <si>
    <t>랙</t>
  </si>
  <si>
    <t>랙</t>
    <phoneticPr fontId="1" type="noConversion"/>
  </si>
  <si>
    <t>랙</t>
    <phoneticPr fontId="1" type="noConversion"/>
  </si>
  <si>
    <t>랙</t>
    <phoneticPr fontId="1" type="noConversion"/>
  </si>
  <si>
    <t>강원클러스터</t>
  </si>
  <si>
    <t>강원클러스터</t>
    <phoneticPr fontId="1" type="noConversion"/>
  </si>
  <si>
    <t>냉동</t>
    <phoneticPr fontId="1" type="noConversion"/>
  </si>
  <si>
    <t>랙/존</t>
    <phoneticPr fontId="1" type="noConversion"/>
  </si>
  <si>
    <t>냉장2</t>
    <phoneticPr fontId="1" type="noConversion"/>
  </si>
  <si>
    <t>랙/존</t>
    <phoneticPr fontId="1" type="noConversion"/>
  </si>
  <si>
    <t>냉장1</t>
    <phoneticPr fontId="1" type="noConversion"/>
  </si>
  <si>
    <t>상온2</t>
    <phoneticPr fontId="1" type="noConversion"/>
  </si>
  <si>
    <t>상온_기타1</t>
    <phoneticPr fontId="1" type="noConversion"/>
  </si>
  <si>
    <t>냉장1</t>
    <phoneticPr fontId="1" type="noConversion"/>
  </si>
  <si>
    <t>냉장2</t>
    <phoneticPr fontId="1" type="noConversion"/>
  </si>
  <si>
    <t>냉동1</t>
    <phoneticPr fontId="1" type="noConversion"/>
  </si>
  <si>
    <t>냉동2</t>
    <phoneticPr fontId="1" type="noConversion"/>
  </si>
  <si>
    <t>냉동급속</t>
    <phoneticPr fontId="1" type="noConversion"/>
  </si>
  <si>
    <t>냉장1</t>
    <phoneticPr fontId="1" type="noConversion"/>
  </si>
  <si>
    <t>냉장2</t>
    <phoneticPr fontId="1" type="noConversion"/>
  </si>
  <si>
    <t>상온</t>
    <phoneticPr fontId="1" type="noConversion"/>
  </si>
  <si>
    <t>냉장1</t>
    <phoneticPr fontId="1" type="noConversion"/>
  </si>
  <si>
    <t>상온</t>
    <phoneticPr fontId="1" type="noConversion"/>
  </si>
  <si>
    <t>냉동1</t>
    <phoneticPr fontId="1" type="noConversion"/>
  </si>
  <si>
    <t>냉동2</t>
    <phoneticPr fontId="1" type="noConversion"/>
  </si>
  <si>
    <t>제주클러스터</t>
    <phoneticPr fontId="1" type="noConversion"/>
  </si>
  <si>
    <t>상온</t>
    <phoneticPr fontId="1" type="noConversion"/>
  </si>
  <si>
    <t>냉장1</t>
    <phoneticPr fontId="1" type="noConversion"/>
  </si>
  <si>
    <t>I</t>
    <phoneticPr fontId="1" type="noConversion"/>
  </si>
  <si>
    <t>구매입고</t>
    <phoneticPr fontId="6" type="noConversion"/>
  </si>
  <si>
    <t>센터입고</t>
    <phoneticPr fontId="6" type="noConversion"/>
  </si>
  <si>
    <t>품목번호 +
유통기한 +
LOT번호</t>
    <phoneticPr fontId="1" type="noConversion"/>
  </si>
  <si>
    <t>품목번호 +
유통기한</t>
    <phoneticPr fontId="1" type="noConversion"/>
  </si>
  <si>
    <t xml:space="preserve"> + 입고순번
(가입고시)</t>
    <phoneticPr fontId="1" type="noConversion"/>
  </si>
  <si>
    <t>품목(예시)</t>
    <phoneticPr fontId="1" type="noConversion"/>
  </si>
  <si>
    <t>비고</t>
    <phoneticPr fontId="1" type="noConversion"/>
  </si>
  <si>
    <t>김포센터</t>
    <phoneticPr fontId="1" type="noConversion"/>
  </si>
  <si>
    <t>동부센터</t>
    <phoneticPr fontId="1" type="noConversion"/>
  </si>
  <si>
    <t>판매촉진비</t>
    <phoneticPr fontId="1" type="noConversion"/>
  </si>
  <si>
    <t>연구개발비</t>
    <phoneticPr fontId="1" type="noConversion"/>
  </si>
  <si>
    <t>소모품비</t>
    <phoneticPr fontId="1" type="noConversion"/>
  </si>
  <si>
    <t>신규교육</t>
    <phoneticPr fontId="1" type="noConversion"/>
  </si>
  <si>
    <t>보수교육</t>
    <phoneticPr fontId="1" type="noConversion"/>
  </si>
  <si>
    <t>견본비</t>
    <phoneticPr fontId="1" type="noConversion"/>
  </si>
  <si>
    <t>현물기부</t>
    <phoneticPr fontId="1" type="noConversion"/>
  </si>
  <si>
    <r>
      <t xml:space="preserve">구분자(M$)+품목번호(유동) +구분자(@) + </t>
    </r>
    <r>
      <rPr>
        <b/>
        <sz val="11"/>
        <color theme="1"/>
        <rFont val="맑은 고딕"/>
        <family val="3"/>
        <charset val="129"/>
        <scheme val="minor"/>
      </rPr>
      <t>유통기한(6) + LOT번호(매입업체번호)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>M$A0002@</t>
    </r>
    <r>
      <rPr>
        <b/>
        <sz val="14"/>
        <color rgb="FFFF0000"/>
        <rFont val="맑은 고딕"/>
        <family val="3"/>
        <charset val="129"/>
        <scheme val="minor"/>
      </rPr>
      <t>250725</t>
    </r>
    <r>
      <rPr>
        <b/>
        <sz val="14"/>
        <color rgb="FF00B050"/>
        <rFont val="맑은 고딕"/>
        <family val="3"/>
        <charset val="129"/>
        <scheme val="minor"/>
      </rPr>
      <t>C1238</t>
    </r>
    <phoneticPr fontId="1" type="noConversion"/>
  </si>
  <si>
    <t>EX05</t>
  </si>
  <si>
    <t>EX07</t>
  </si>
  <si>
    <t>EX09</t>
  </si>
  <si>
    <t>EX03</t>
    <phoneticPr fontId="1" type="noConversion"/>
  </si>
  <si>
    <t>EX11</t>
  </si>
  <si>
    <t>EX13</t>
  </si>
  <si>
    <t>기타조정</t>
    <phoneticPr fontId="1" type="noConversion"/>
  </si>
  <si>
    <t>우성바이오</t>
  </si>
  <si>
    <t>경일푸드</t>
  </si>
  <si>
    <t>신천에코써플라이</t>
  </si>
  <si>
    <t>제품</t>
    <phoneticPr fontId="1" type="noConversion"/>
  </si>
  <si>
    <t>제이엘유지</t>
  </si>
  <si>
    <t>백조푸드</t>
  </si>
  <si>
    <t>세양유통</t>
  </si>
  <si>
    <t>대성유통</t>
  </si>
  <si>
    <t>와이앤(YN)유통</t>
  </si>
  <si>
    <t>그린상사</t>
  </si>
  <si>
    <t>DH유통</t>
  </si>
  <si>
    <t>코코프랜차이즈</t>
  </si>
  <si>
    <t>청미래/까치유통</t>
  </si>
  <si>
    <t>주식회사 경일</t>
  </si>
  <si>
    <t>용연유통</t>
  </si>
  <si>
    <t>유피제이</t>
  </si>
  <si>
    <t>이지그린(남양주)</t>
  </si>
  <si>
    <t>가을향기</t>
  </si>
  <si>
    <t>일호에프엔비</t>
  </si>
  <si>
    <t>하마유지</t>
  </si>
  <si>
    <t>무한상사</t>
  </si>
  <si>
    <t>부자재1</t>
    <phoneticPr fontId="1" type="noConversion"/>
  </si>
  <si>
    <t>수도권센터</t>
    <phoneticPr fontId="1" type="noConversion"/>
  </si>
  <si>
    <t>구매반품</t>
    <phoneticPr fontId="1" type="noConversion"/>
  </si>
  <si>
    <t>출하반품</t>
    <phoneticPr fontId="6" type="noConversion"/>
  </si>
  <si>
    <r>
      <t xml:space="preserve">구분자(M$)+품목번호(유동) +구분자(@) + </t>
    </r>
    <r>
      <rPr>
        <b/>
        <sz val="11"/>
        <color theme="1"/>
        <rFont val="맑은 고딕"/>
        <family val="3"/>
        <charset val="129"/>
        <scheme val="minor"/>
      </rPr>
      <t>유통기한(6)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>M$A1002@</t>
    </r>
    <r>
      <rPr>
        <b/>
        <sz val="14"/>
        <color rgb="FFFF0000"/>
        <rFont val="맑은 고딕"/>
        <family val="3"/>
        <charset val="129"/>
        <scheme val="minor"/>
      </rPr>
      <t>250725</t>
    </r>
    <phoneticPr fontId="1" type="noConversion"/>
  </si>
  <si>
    <t>반품</t>
    <phoneticPr fontId="6" type="noConversion"/>
  </si>
  <si>
    <t>예외출고</t>
    <phoneticPr fontId="6" type="noConversion"/>
  </si>
  <si>
    <t>상태변경</t>
    <phoneticPr fontId="6" type="noConversion"/>
  </si>
  <si>
    <t>포장육계-국내산 닭고기
PACK- 원자재</t>
    <phoneticPr fontId="1" type="noConversion"/>
  </si>
  <si>
    <t>무
EA - 부자재</t>
    <phoneticPr fontId="1" type="noConversion"/>
  </si>
  <si>
    <r>
      <t xml:space="preserve">
M$A0002@250725C1238</t>
    </r>
    <r>
      <rPr>
        <b/>
        <sz val="11"/>
        <color rgb="FFFF0000"/>
        <rFont val="맑은 고딕"/>
        <family val="3"/>
        <charset val="129"/>
        <scheme val="minor"/>
      </rPr>
      <t xml:space="preserve">45
</t>
    </r>
    <r>
      <rPr>
        <sz val="11"/>
        <color theme="1"/>
        <rFont val="맑은 고딕"/>
        <family val="3"/>
        <charset val="129"/>
        <scheme val="minor"/>
      </rPr>
      <t xml:space="preserve">(가입고시)
입고순번은 임시적이면
입고검수 시 정상SKU로 대체처리 </t>
    </r>
    <phoneticPr fontId="1" type="noConversion"/>
  </si>
  <si>
    <t>외주센터1</t>
    <phoneticPr fontId="1" type="noConversion"/>
  </si>
  <si>
    <t>외주센터2</t>
    <phoneticPr fontId="1" type="noConversion"/>
  </si>
  <si>
    <t>외주센터3</t>
    <phoneticPr fontId="1" type="noConversion"/>
  </si>
  <si>
    <t>외주센터4</t>
    <phoneticPr fontId="1" type="noConversion"/>
  </si>
  <si>
    <t>삭제오더</t>
    <phoneticPr fontId="6" type="noConversion"/>
  </si>
  <si>
    <t>OB03</t>
    <phoneticPr fontId="6" type="noConversion"/>
  </si>
  <si>
    <t>OB05</t>
    <phoneticPr fontId="6" type="noConversion"/>
  </si>
  <si>
    <t>비정형품목</t>
    <phoneticPr fontId="1" type="noConversion"/>
  </si>
  <si>
    <t>마감후출하</t>
    <phoneticPr fontId="6" type="noConversion"/>
  </si>
  <si>
    <t>B1000</t>
  </si>
  <si>
    <t>C1000</t>
  </si>
  <si>
    <t>D1000</t>
  </si>
  <si>
    <t>E1000</t>
  </si>
  <si>
    <t>F1000</t>
  </si>
  <si>
    <t>G2004</t>
  </si>
  <si>
    <t>G4003</t>
  </si>
  <si>
    <t>OB83</t>
    <phoneticPr fontId="6" type="noConversion"/>
  </si>
  <si>
    <t>자사센터 -&gt; 센터</t>
    <phoneticPr fontId="1" type="noConversion"/>
  </si>
  <si>
    <t>외주센터 -&gt; 센터</t>
    <phoneticPr fontId="1" type="noConversion"/>
  </si>
  <si>
    <t>IW83</t>
    <phoneticPr fontId="1" type="noConversion"/>
  </si>
  <si>
    <t>OB51</t>
    <phoneticPr fontId="6" type="noConversion"/>
  </si>
  <si>
    <t>OB91</t>
    <phoneticPr fontId="6" type="noConversion"/>
  </si>
  <si>
    <t>A1000</t>
    <phoneticPr fontId="1" type="noConversion"/>
  </si>
  <si>
    <t>H1001</t>
    <phoneticPr fontId="1" type="noConversion"/>
  </si>
  <si>
    <t>서부센터</t>
    <phoneticPr fontId="1" type="noConversion"/>
  </si>
  <si>
    <t>원자재외주창고이동</t>
  </si>
  <si>
    <t>IW91</t>
    <phoneticPr fontId="1" type="noConversion"/>
  </si>
  <si>
    <t>외주센터출하</t>
    <phoneticPr fontId="6" type="noConversion"/>
  </si>
  <si>
    <t>외주센터입고</t>
    <phoneticPr fontId="6" type="noConversion"/>
  </si>
  <si>
    <t>EX31</t>
    <phoneticPr fontId="1" type="noConversion"/>
  </si>
  <si>
    <t>EX15</t>
    <phoneticPr fontId="1" type="noConversion"/>
  </si>
  <si>
    <t>검수</t>
    <phoneticPr fontId="1" type="noConversion"/>
  </si>
  <si>
    <t>IS</t>
    <phoneticPr fontId="1" type="noConversion"/>
  </si>
  <si>
    <t>입고검수</t>
    <phoneticPr fontId="1" type="noConversion"/>
  </si>
  <si>
    <t>IS01</t>
    <phoneticPr fontId="1" type="noConversion"/>
  </si>
  <si>
    <t>입고처리</t>
    <phoneticPr fontId="1" type="noConversion"/>
  </si>
  <si>
    <t>수불집계 제외</t>
    <phoneticPr fontId="1" type="noConversion"/>
  </si>
  <si>
    <t>예외입고</t>
    <phoneticPr fontId="6" type="noConversion"/>
  </si>
  <si>
    <t>예외출고기타</t>
    <phoneticPr fontId="1" type="noConversion"/>
  </si>
  <si>
    <t>EX99</t>
    <phoneticPr fontId="1" type="noConversion"/>
  </si>
  <si>
    <t>2025.11.10</t>
    <phoneticPr fontId="1" type="noConversion"/>
  </si>
  <si>
    <t>H1002</t>
    <phoneticPr fontId="1" type="noConversion"/>
  </si>
  <si>
    <t>H1003</t>
    <phoneticPr fontId="1" type="noConversion"/>
  </si>
  <si>
    <t>H1004</t>
    <phoneticPr fontId="1" type="noConversion"/>
  </si>
  <si>
    <t>전용유
(경상/강원)</t>
    <phoneticPr fontId="1" type="noConversion"/>
  </si>
  <si>
    <t>전용유
(호남/제주/충청)</t>
    <phoneticPr fontId="1" type="noConversion"/>
  </si>
  <si>
    <t>전용유 외 기타</t>
    <phoneticPr fontId="1" type="noConversion"/>
  </si>
  <si>
    <t>부자재 외주창고
(경일푸드)</t>
    <phoneticPr fontId="1" type="noConversion"/>
  </si>
  <si>
    <t>부자재 외주창고
(성규푸드)</t>
    <phoneticPr fontId="1" type="noConversion"/>
  </si>
  <si>
    <t>부자재 직배송창고 (온라인)</t>
    <phoneticPr fontId="1" type="noConversion"/>
  </si>
  <si>
    <t>외주센터(이지그린)</t>
    <phoneticPr fontId="1" type="noConversion"/>
  </si>
  <si>
    <t>외주센터(이지그린)</t>
    <phoneticPr fontId="1" type="noConversion"/>
  </si>
  <si>
    <t>부자재 외주창고
(이지그린)</t>
    <phoneticPr fontId="1" type="noConversion"/>
  </si>
  <si>
    <t>전용유
(수도권)</t>
    <phoneticPr fontId="1" type="noConversion"/>
  </si>
  <si>
    <t>외주센터(경일푸드)</t>
    <phoneticPr fontId="1" type="noConversion"/>
  </si>
  <si>
    <t>외주센터(경일푸드)</t>
    <phoneticPr fontId="1" type="noConversion"/>
  </si>
  <si>
    <t>외주센터(성규푸드)</t>
    <phoneticPr fontId="1" type="noConversion"/>
  </si>
  <si>
    <t>외주센터(기타)</t>
    <phoneticPr fontId="1" type="noConversion"/>
  </si>
  <si>
    <t>외주센터(기타)</t>
    <phoneticPr fontId="1" type="noConversion"/>
  </si>
  <si>
    <t>WMS 구축 프로젝트</t>
    <phoneticPr fontId="6" type="noConversion"/>
  </si>
  <si>
    <t>2026.01.01</t>
    <phoneticPr fontId="1" type="noConversion"/>
  </si>
  <si>
    <t>2026.01.01</t>
    <phoneticPr fontId="1" type="noConversion"/>
  </si>
  <si>
    <t>2026.01.01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</si>
</sst>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yyyy/mm/dd;@"/>
    <numFmt numFmtId="178" formatCode="#,##0_ "/>
    <numFmt numFmtId="179" formatCode="#,##0_);[Red]\(#,##0\)"/>
  </numFmts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6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Arial"/>
      <family val="2"/>
    </font>
    <font>
      <b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sz val="10"/>
      <color indexed="8"/>
      <name val="Arial"/>
      <family val="2"/>
    </font>
    <font>
      <sz val="9"/>
      <color rgb="FF000000"/>
      <name val="Helvetic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indexed="49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15" fillId="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14" fillId="0" borderId="0">
      <alignment vertical="center"/>
    </xf>
    <xf numFmtId="4" fontId="26" fillId="8" borderId="8" applyNumberFormat="0" applyProtection="0">
      <alignment horizontal="left" vertical="center" indent="1"/>
    </xf>
    <xf numFmtId="0" fontId="33" fillId="0" borderId="0"/>
    <xf numFmtId="0" fontId="18" fillId="0" borderId="0">
      <alignment vertical="center"/>
    </xf>
  </cellStyleXfs>
  <cellXfs count="163">
    <xf numFmtId="0" fontId="0" fillId="0" borderId="0" xfId="0">
      <alignment vertical="center"/>
    </xf>
    <xf numFmtId="0" fontId="0" fillId="3" borderId="0" xfId="0" applyFill="1">
      <alignment vertical="center"/>
    </xf>
    <xf numFmtId="0" fontId="4" fillId="3" borderId="0" xfId="1" applyFont="1" applyFill="1" applyAlignment="1">
      <alignment horizontal="right"/>
    </xf>
    <xf numFmtId="0" fontId="5" fillId="3" borderId="0" xfId="1" applyFont="1" applyFill="1" applyAlignment="1">
      <alignment horizontal="right"/>
    </xf>
    <xf numFmtId="0" fontId="7" fillId="3" borderId="0" xfId="1" applyFont="1" applyFill="1" applyAlignment="1">
      <alignment vertical="center"/>
    </xf>
    <xf numFmtId="0" fontId="8" fillId="3" borderId="0" xfId="1" applyFont="1" applyFill="1" applyAlignment="1">
      <alignment horizontal="right"/>
    </xf>
    <xf numFmtId="0" fontId="9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0" fontId="11" fillId="2" borderId="0" xfId="2" applyFont="1" applyFill="1"/>
    <xf numFmtId="0" fontId="11" fillId="2" borderId="0" xfId="2" applyFont="1" applyFill="1" applyAlignment="1">
      <alignment horizontal="center"/>
    </xf>
    <xf numFmtId="176" fontId="13" fillId="2" borderId="1" xfId="2" applyNumberFormat="1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justify" vertical="center" wrapText="1"/>
    </xf>
    <xf numFmtId="0" fontId="13" fillId="2" borderId="1" xfId="2" applyFont="1" applyFill="1" applyBorder="1" applyAlignment="1">
      <alignment horizontal="center" vertical="center" wrapText="1"/>
    </xf>
    <xf numFmtId="177" fontId="13" fillId="2" borderId="1" xfId="2" applyNumberFormat="1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 wrapText="1"/>
    </xf>
    <xf numFmtId="176" fontId="13" fillId="2" borderId="1" xfId="3" applyNumberFormat="1" applyFont="1" applyFill="1" applyBorder="1" applyAlignment="1">
      <alignment horizontal="center" vertical="center" wrapText="1"/>
    </xf>
    <xf numFmtId="0" fontId="13" fillId="2" borderId="1" xfId="3" applyFont="1" applyFill="1" applyBorder="1" applyAlignment="1">
      <alignment horizontal="justify" vertical="center" wrapText="1"/>
    </xf>
    <xf numFmtId="0" fontId="13" fillId="2" borderId="1" xfId="3" applyFont="1" applyFill="1" applyBorder="1" applyAlignment="1">
      <alignment horizontal="center" vertical="center" wrapText="1"/>
    </xf>
    <xf numFmtId="177" fontId="13" fillId="2" borderId="1" xfId="3" applyNumberFormat="1" applyFont="1" applyFill="1" applyBorder="1" applyAlignment="1">
      <alignment horizontal="center" vertical="center" wrapText="1"/>
    </xf>
    <xf numFmtId="0" fontId="16" fillId="0" borderId="0" xfId="5" applyFont="1">
      <alignment vertical="center"/>
    </xf>
    <xf numFmtId="14" fontId="17" fillId="0" borderId="0" xfId="5" applyNumberFormat="1" applyFont="1" applyAlignment="1">
      <alignment horizontal="right"/>
    </xf>
    <xf numFmtId="0" fontId="18" fillId="0" borderId="0" xfId="5" applyFont="1">
      <alignment vertical="center"/>
    </xf>
    <xf numFmtId="0" fontId="19" fillId="0" borderId="1" xfId="6" quotePrefix="1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1" xfId="6" applyFont="1" applyBorder="1" applyAlignment="1">
      <alignment vertical="center" wrapText="1"/>
    </xf>
    <xf numFmtId="0" fontId="18" fillId="0" borderId="0" xfId="5" applyFont="1" applyAlignment="1">
      <alignment horizontal="center" vertical="center"/>
    </xf>
    <xf numFmtId="0" fontId="19" fillId="0" borderId="0" xfId="5" applyFont="1">
      <alignment vertical="center"/>
    </xf>
    <xf numFmtId="0" fontId="19" fillId="0" borderId="1" xfId="5" quotePrefix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" fillId="0" borderId="0" xfId="7">
      <alignment vertical="center"/>
    </xf>
    <xf numFmtId="0" fontId="21" fillId="0" borderId="0" xfId="7" applyFont="1">
      <alignment vertical="center"/>
    </xf>
    <xf numFmtId="0" fontId="21" fillId="0" borderId="1" xfId="7" applyFont="1" applyBorder="1" applyAlignment="1">
      <alignment vertical="center" wrapText="1"/>
    </xf>
    <xf numFmtId="0" fontId="21" fillId="0" borderId="0" xfId="7" applyFont="1" applyAlignment="1">
      <alignment horizontal="center" vertical="center"/>
    </xf>
    <xf numFmtId="0" fontId="14" fillId="0" borderId="0" xfId="9">
      <alignment vertical="center"/>
    </xf>
    <xf numFmtId="0" fontId="21" fillId="0" borderId="3" xfId="7" applyFont="1" applyBorder="1" applyAlignment="1">
      <alignment horizontal="center" vertical="center" wrapText="1"/>
    </xf>
    <xf numFmtId="0" fontId="19" fillId="6" borderId="1" xfId="6" applyFont="1" applyFill="1" applyBorder="1" applyAlignment="1">
      <alignment horizontal="center" vertical="center" wrapText="1"/>
    </xf>
    <xf numFmtId="49" fontId="21" fillId="0" borderId="1" xfId="7" applyNumberFormat="1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25" fillId="0" borderId="0" xfId="7" applyFont="1">
      <alignment vertical="center"/>
    </xf>
    <xf numFmtId="0" fontId="25" fillId="0" borderId="0" xfId="7" applyFont="1" applyAlignment="1">
      <alignment horizontal="center" vertical="center"/>
    </xf>
    <xf numFmtId="0" fontId="19" fillId="0" borderId="1" xfId="7" applyFont="1" applyBorder="1" applyAlignment="1">
      <alignment horizontal="center" vertical="center"/>
    </xf>
    <xf numFmtId="0" fontId="19" fillId="6" borderId="1" xfId="6" applyFont="1" applyFill="1" applyBorder="1" applyAlignment="1">
      <alignment horizontal="center" vertical="center"/>
    </xf>
    <xf numFmtId="0" fontId="18" fillId="6" borderId="7" xfId="9" applyFont="1" applyFill="1" applyBorder="1" applyAlignment="1">
      <alignment horizontal="center" vertical="center"/>
    </xf>
    <xf numFmtId="0" fontId="18" fillId="0" borderId="7" xfId="9" applyFont="1" applyBorder="1" applyAlignment="1">
      <alignment horizontal="center" vertical="center" wrapText="1"/>
    </xf>
    <xf numFmtId="0" fontId="16" fillId="0" borderId="0" xfId="5" applyFont="1" applyAlignment="1">
      <alignment horizontal="center" vertical="center"/>
    </xf>
    <xf numFmtId="49" fontId="2" fillId="0" borderId="0" xfId="7" applyNumberFormat="1">
      <alignment vertical="center"/>
    </xf>
    <xf numFmtId="0" fontId="19" fillId="0" borderId="1" xfId="5" applyFont="1" applyBorder="1" applyAlignment="1">
      <alignment horizontal="center" vertical="center" wrapText="1"/>
    </xf>
    <xf numFmtId="0" fontId="22" fillId="7" borderId="1" xfId="4" applyFont="1" applyFill="1" applyBorder="1" applyAlignment="1">
      <alignment vertical="center"/>
    </xf>
    <xf numFmtId="0" fontId="19" fillId="0" borderId="1" xfId="5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 wrapText="1"/>
    </xf>
    <xf numFmtId="0" fontId="0" fillId="0" borderId="0" xfId="9" applyFont="1">
      <alignment vertical="center"/>
    </xf>
    <xf numFmtId="0" fontId="19" fillId="0" borderId="0" xfId="5" applyFont="1" applyAlignment="1">
      <alignment horizontal="center" vertical="center"/>
    </xf>
    <xf numFmtId="0" fontId="19" fillId="10" borderId="1" xfId="5" applyFont="1" applyFill="1" applyBorder="1" applyAlignment="1">
      <alignment horizontal="center" vertical="center"/>
    </xf>
    <xf numFmtId="0" fontId="19" fillId="3" borderId="1" xfId="7" applyFont="1" applyFill="1" applyBorder="1" applyAlignment="1">
      <alignment horizontal="center" vertical="center"/>
    </xf>
    <xf numFmtId="0" fontId="19" fillId="11" borderId="1" xfId="4" applyFont="1" applyFill="1" applyBorder="1" applyAlignment="1">
      <alignment horizontal="center" vertical="center"/>
    </xf>
    <xf numFmtId="0" fontId="19" fillId="6" borderId="1" xfId="5" applyFont="1" applyFill="1" applyBorder="1" applyAlignment="1">
      <alignment horizontal="center" vertical="center"/>
    </xf>
    <xf numFmtId="0" fontId="22" fillId="7" borderId="1" xfId="4" applyFont="1" applyFill="1" applyBorder="1" applyAlignment="1">
      <alignment horizontal="center" vertical="center"/>
    </xf>
    <xf numFmtId="0" fontId="21" fillId="0" borderId="9" xfId="7" applyFont="1" applyBorder="1" applyAlignment="1">
      <alignment horizontal="center" vertical="center" wrapText="1"/>
    </xf>
    <xf numFmtId="0" fontId="19" fillId="0" borderId="9" xfId="5" applyFont="1" applyBorder="1" applyAlignment="1">
      <alignment horizontal="center" vertical="center" wrapText="1"/>
    </xf>
    <xf numFmtId="0" fontId="19" fillId="0" borderId="9" xfId="5" applyFont="1" applyBorder="1" applyAlignment="1">
      <alignment horizontal="center" vertical="center"/>
    </xf>
    <xf numFmtId="0" fontId="19" fillId="4" borderId="1" xfId="5" applyFont="1" applyFill="1" applyBorder="1" applyAlignment="1">
      <alignment horizontal="center" vertical="center"/>
    </xf>
    <xf numFmtId="0" fontId="19" fillId="4" borderId="1" xfId="5" applyFont="1" applyFill="1" applyBorder="1" applyAlignment="1">
      <alignment horizontal="center" vertical="center" wrapText="1"/>
    </xf>
    <xf numFmtId="0" fontId="19" fillId="4" borderId="9" xfId="5" applyFont="1" applyFill="1" applyBorder="1" applyAlignment="1">
      <alignment horizontal="center" vertical="center" wrapText="1"/>
    </xf>
    <xf numFmtId="0" fontId="19" fillId="4" borderId="9" xfId="5" applyFont="1" applyFill="1" applyBorder="1" applyAlignment="1">
      <alignment horizontal="center" vertical="center"/>
    </xf>
    <xf numFmtId="0" fontId="19" fillId="12" borderId="1" xfId="5" applyFont="1" applyFill="1" applyBorder="1" applyAlignment="1">
      <alignment horizontal="center" vertical="center"/>
    </xf>
    <xf numFmtId="0" fontId="19" fillId="12" borderId="1" xfId="6" applyFont="1" applyFill="1" applyBorder="1" applyAlignment="1">
      <alignment horizontal="center" vertical="center"/>
    </xf>
    <xf numFmtId="49" fontId="19" fillId="6" borderId="1" xfId="6" applyNumberFormat="1" applyFont="1" applyFill="1" applyBorder="1" applyAlignment="1">
      <alignment horizontal="center" vertical="center" wrapText="1"/>
    </xf>
    <xf numFmtId="0" fontId="16" fillId="0" borderId="0" xfId="5" applyFont="1" applyAlignment="1">
      <alignment horizontal="left" vertical="center"/>
    </xf>
    <xf numFmtId="0" fontId="19" fillId="13" borderId="1" xfId="5" applyFont="1" applyFill="1" applyBorder="1" applyAlignment="1">
      <alignment horizontal="center" vertical="center"/>
    </xf>
    <xf numFmtId="0" fontId="19" fillId="13" borderId="1" xfId="6" applyFont="1" applyFill="1" applyBorder="1" applyAlignment="1">
      <alignment horizontal="center" vertical="center"/>
    </xf>
    <xf numFmtId="0" fontId="19" fillId="18" borderId="1" xfId="5" applyFont="1" applyFill="1" applyBorder="1" applyAlignment="1">
      <alignment horizontal="center" vertical="center"/>
    </xf>
    <xf numFmtId="0" fontId="19" fillId="13" borderId="0" xfId="5" applyFont="1" applyFill="1">
      <alignment vertical="center"/>
    </xf>
    <xf numFmtId="179" fontId="18" fillId="0" borderId="0" xfId="5" applyNumberFormat="1" applyFont="1">
      <alignment vertical="center"/>
    </xf>
    <xf numFmtId="179" fontId="19" fillId="0" borderId="0" xfId="5" applyNumberFormat="1" applyFont="1">
      <alignment vertical="center"/>
    </xf>
    <xf numFmtId="0" fontId="19" fillId="18" borderId="0" xfId="5" applyFont="1" applyFill="1">
      <alignment vertical="center"/>
    </xf>
    <xf numFmtId="0" fontId="19" fillId="17" borderId="1" xfId="5" applyFont="1" applyFill="1" applyBorder="1" applyAlignment="1">
      <alignment horizontal="center" vertical="center"/>
    </xf>
    <xf numFmtId="0" fontId="19" fillId="17" borderId="0" xfId="5" applyFont="1" applyFill="1">
      <alignment vertical="center"/>
    </xf>
    <xf numFmtId="0" fontId="19" fillId="16" borderId="0" xfId="5" applyFont="1" applyFill="1">
      <alignment vertical="center"/>
    </xf>
    <xf numFmtId="0" fontId="19" fillId="16" borderId="1" xfId="5" applyFont="1" applyFill="1" applyBorder="1" applyAlignment="1">
      <alignment horizontal="center" vertical="center"/>
    </xf>
    <xf numFmtId="179" fontId="19" fillId="0" borderId="0" xfId="5" applyNumberFormat="1" applyFont="1" applyAlignment="1">
      <alignment horizontal="center" vertical="center"/>
    </xf>
    <xf numFmtId="0" fontId="19" fillId="17" borderId="1" xfId="6" applyFont="1" applyFill="1" applyBorder="1" applyAlignment="1">
      <alignment horizontal="center" vertical="center"/>
    </xf>
    <xf numFmtId="0" fontId="19" fillId="16" borderId="1" xfId="6" applyFont="1" applyFill="1" applyBorder="1" applyAlignment="1">
      <alignment horizontal="center" vertical="center"/>
    </xf>
    <xf numFmtId="0" fontId="19" fillId="10" borderId="0" xfId="5" applyFont="1" applyFill="1">
      <alignment vertical="center"/>
    </xf>
    <xf numFmtId="0" fontId="19" fillId="10" borderId="1" xfId="6" applyFont="1" applyFill="1" applyBorder="1" applyAlignment="1">
      <alignment horizontal="center" vertical="center"/>
    </xf>
    <xf numFmtId="0" fontId="21" fillId="9" borderId="1" xfId="7" applyFont="1" applyFill="1" applyBorder="1" applyAlignment="1">
      <alignment horizontal="center" vertical="center"/>
    </xf>
    <xf numFmtId="0" fontId="19" fillId="14" borderId="0" xfId="5" applyFont="1" applyFill="1">
      <alignment vertical="center"/>
    </xf>
    <xf numFmtId="0" fontId="19" fillId="14" borderId="1" xfId="5" applyFont="1" applyFill="1" applyBorder="1" applyAlignment="1">
      <alignment horizontal="center" vertical="center"/>
    </xf>
    <xf numFmtId="0" fontId="19" fillId="15" borderId="0" xfId="5" applyFont="1" applyFill="1">
      <alignment vertical="center"/>
    </xf>
    <xf numFmtId="0" fontId="19" fillId="15" borderId="1" xfId="5" applyFont="1" applyFill="1" applyBorder="1" applyAlignment="1">
      <alignment horizontal="center" vertical="center"/>
    </xf>
    <xf numFmtId="0" fontId="19" fillId="15" borderId="1" xfId="6" applyFont="1" applyFill="1" applyBorder="1" applyAlignment="1">
      <alignment horizontal="center" vertical="center"/>
    </xf>
    <xf numFmtId="0" fontId="19" fillId="19" borderId="1" xfId="5" applyFont="1" applyFill="1" applyBorder="1" applyAlignment="1">
      <alignment horizontal="center" vertical="center"/>
    </xf>
    <xf numFmtId="0" fontId="19" fillId="19" borderId="0" xfId="5" applyFont="1" applyFill="1">
      <alignment vertical="center"/>
    </xf>
    <xf numFmtId="0" fontId="19" fillId="19" borderId="1" xfId="6" applyFont="1" applyFill="1" applyBorder="1" applyAlignment="1">
      <alignment horizontal="center" vertical="center"/>
    </xf>
    <xf numFmtId="0" fontId="19" fillId="9" borderId="0" xfId="5" applyFont="1" applyFill="1">
      <alignment vertical="center"/>
    </xf>
    <xf numFmtId="178" fontId="22" fillId="7" borderId="1" xfId="4" applyNumberFormat="1" applyFont="1" applyFill="1" applyBorder="1" applyAlignment="1">
      <alignment horizontal="center" vertical="center"/>
    </xf>
    <xf numFmtId="179" fontId="19" fillId="13" borderId="1" xfId="7" applyNumberFormat="1" applyFont="1" applyFill="1" applyBorder="1" applyAlignment="1">
      <alignment horizontal="center" vertical="center"/>
    </xf>
    <xf numFmtId="179" fontId="21" fillId="13" borderId="1" xfId="7" applyNumberFormat="1" applyFont="1" applyFill="1" applyBorder="1" applyAlignment="1">
      <alignment horizontal="center" vertical="center"/>
    </xf>
    <xf numFmtId="179" fontId="19" fillId="13" borderId="1" xfId="7" quotePrefix="1" applyNumberFormat="1" applyFont="1" applyFill="1" applyBorder="1" applyAlignment="1">
      <alignment horizontal="center" vertical="center"/>
    </xf>
    <xf numFmtId="179" fontId="19" fillId="0" borderId="1" xfId="7" quotePrefix="1" applyNumberFormat="1" applyFont="1" applyBorder="1" applyAlignment="1">
      <alignment horizontal="center" vertical="center"/>
    </xf>
    <xf numFmtId="179" fontId="21" fillId="0" borderId="1" xfId="7" applyNumberFormat="1" applyFont="1" applyBorder="1" applyAlignment="1">
      <alignment horizontal="center" vertical="center"/>
    </xf>
    <xf numFmtId="179" fontId="19" fillId="17" borderId="1" xfId="5" applyNumberFormat="1" applyFont="1" applyFill="1" applyBorder="1" applyAlignment="1">
      <alignment horizontal="center" vertical="center"/>
    </xf>
    <xf numFmtId="179" fontId="21" fillId="17" borderId="1" xfId="7" applyNumberFormat="1" applyFont="1" applyFill="1" applyBorder="1" applyAlignment="1">
      <alignment horizontal="center" vertical="center"/>
    </xf>
    <xf numFmtId="179" fontId="21" fillId="16" borderId="1" xfId="7" applyNumberFormat="1" applyFont="1" applyFill="1" applyBorder="1" applyAlignment="1">
      <alignment horizontal="center" vertical="center"/>
    </xf>
    <xf numFmtId="179" fontId="22" fillId="7" borderId="1" xfId="4" applyNumberFormat="1" applyFont="1" applyFill="1" applyBorder="1" applyAlignment="1">
      <alignment horizontal="center" vertical="center"/>
    </xf>
    <xf numFmtId="0" fontId="24" fillId="0" borderId="6" xfId="9" applyFont="1" applyBorder="1">
      <alignment vertical="center"/>
    </xf>
    <xf numFmtId="0" fontId="31" fillId="0" borderId="1" xfId="0" applyFont="1" applyBorder="1" applyAlignment="1">
      <alignment horizontal="center" vertical="center"/>
    </xf>
    <xf numFmtId="0" fontId="2" fillId="0" borderId="0" xfId="1"/>
    <xf numFmtId="0" fontId="19" fillId="0" borderId="1" xfId="5" applyFont="1" applyBorder="1" applyAlignment="1">
      <alignment horizontal="center" vertical="center"/>
    </xf>
    <xf numFmtId="0" fontId="19" fillId="0" borderId="1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/>
    </xf>
    <xf numFmtId="0" fontId="19" fillId="0" borderId="3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 wrapText="1"/>
    </xf>
    <xf numFmtId="0" fontId="19" fillId="0" borderId="3" xfId="6" applyFont="1" applyBorder="1" applyAlignment="1">
      <alignment horizontal="center" vertical="center" wrapText="1"/>
    </xf>
    <xf numFmtId="0" fontId="19" fillId="0" borderId="1" xfId="5" applyFont="1" applyFill="1" applyBorder="1" applyAlignment="1">
      <alignment horizontal="center" vertical="center"/>
    </xf>
    <xf numFmtId="0" fontId="21" fillId="0" borderId="1" xfId="7" applyFont="1" applyFill="1" applyBorder="1" applyAlignment="1">
      <alignment horizontal="center" vertical="center"/>
    </xf>
    <xf numFmtId="14" fontId="19" fillId="0" borderId="1" xfId="5" applyNumberFormat="1" applyFont="1" applyFill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21" fillId="0" borderId="9" xfId="7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34" fillId="0" borderId="0" xfId="0" applyFont="1" applyFill="1" applyAlignment="1">
      <alignment horizontal="center" vertical="center"/>
    </xf>
    <xf numFmtId="0" fontId="19" fillId="0" borderId="9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3" xfId="5" applyFont="1" applyBorder="1" applyAlignment="1">
      <alignment horizontal="center" vertical="center" wrapText="1"/>
    </xf>
    <xf numFmtId="0" fontId="19" fillId="0" borderId="3" xfId="5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 wrapText="1"/>
    </xf>
    <xf numFmtId="0" fontId="19" fillId="20" borderId="1" xfId="5" applyFont="1" applyFill="1" applyBorder="1" applyAlignment="1">
      <alignment horizontal="center" vertical="center" wrapText="1"/>
    </xf>
    <xf numFmtId="0" fontId="19" fillId="17" borderId="1" xfId="5" applyFont="1" applyFill="1" applyBorder="1" applyAlignment="1">
      <alignment horizontal="center" vertical="center" wrapText="1"/>
    </xf>
    <xf numFmtId="0" fontId="19" fillId="16" borderId="1" xfId="5" applyFont="1" applyFill="1" applyBorder="1" applyAlignment="1">
      <alignment horizontal="center" vertical="center" wrapText="1"/>
    </xf>
    <xf numFmtId="0" fontId="10" fillId="2" borderId="0" xfId="2" applyFont="1" applyFill="1" applyAlignment="1">
      <alignment horizontal="center" vertical="center"/>
    </xf>
    <xf numFmtId="0" fontId="19" fillId="0" borderId="9" xfId="5" applyFont="1" applyBorder="1" applyAlignment="1">
      <alignment horizontal="center" vertical="center" wrapText="1"/>
    </xf>
    <xf numFmtId="0" fontId="19" fillId="0" borderId="5" xfId="5" applyFont="1" applyBorder="1" applyAlignment="1">
      <alignment horizontal="center" vertical="center" wrapText="1"/>
    </xf>
    <xf numFmtId="0" fontId="19" fillId="0" borderId="1" xfId="5" applyFont="1" applyBorder="1" applyAlignment="1">
      <alignment horizontal="center" vertical="center"/>
    </xf>
    <xf numFmtId="0" fontId="19" fillId="0" borderId="9" xfId="5" applyFont="1" applyBorder="1" applyAlignment="1">
      <alignment horizontal="center" vertical="center"/>
    </xf>
    <xf numFmtId="0" fontId="19" fillId="0" borderId="5" xfId="5" applyFont="1" applyBorder="1" applyAlignment="1">
      <alignment horizontal="center" vertical="center"/>
    </xf>
    <xf numFmtId="0" fontId="19" fillId="6" borderId="1" xfId="5" applyFont="1" applyFill="1" applyBorder="1" applyAlignment="1">
      <alignment horizontal="center" vertical="center"/>
    </xf>
    <xf numFmtId="0" fontId="19" fillId="10" borderId="1" xfId="5" applyFont="1" applyFill="1" applyBorder="1" applyAlignment="1">
      <alignment horizontal="center" vertical="center"/>
    </xf>
    <xf numFmtId="0" fontId="19" fillId="0" borderId="3" xfId="5" applyFont="1" applyBorder="1" applyAlignment="1">
      <alignment horizontal="center" vertical="center" wrapText="1"/>
    </xf>
    <xf numFmtId="0" fontId="19" fillId="0" borderId="4" xfId="5" applyFont="1" applyBorder="1" applyAlignment="1">
      <alignment horizontal="center" vertical="center" wrapText="1"/>
    </xf>
    <xf numFmtId="0" fontId="19" fillId="0" borderId="3" xfId="5" applyFont="1" applyBorder="1" applyAlignment="1">
      <alignment horizontal="center" vertical="center"/>
    </xf>
    <xf numFmtId="0" fontId="19" fillId="0" borderId="4" xfId="5" applyFont="1" applyBorder="1" applyAlignment="1">
      <alignment horizontal="center" vertical="center"/>
    </xf>
    <xf numFmtId="0" fontId="16" fillId="0" borderId="0" xfId="5" applyFont="1" applyAlignment="1">
      <alignment horizontal="left" vertical="center"/>
    </xf>
    <xf numFmtId="0" fontId="19" fillId="0" borderId="1" xfId="5" applyFont="1" applyBorder="1" applyAlignment="1">
      <alignment horizontal="center" vertical="center" wrapText="1"/>
    </xf>
    <xf numFmtId="0" fontId="19" fillId="11" borderId="1" xfId="4" applyFont="1" applyFill="1" applyBorder="1" applyAlignment="1">
      <alignment horizontal="center" vertical="center"/>
    </xf>
    <xf numFmtId="0" fontId="20" fillId="0" borderId="2" xfId="7" applyFont="1" applyBorder="1" applyAlignment="1">
      <alignment horizontal="left" vertical="center"/>
    </xf>
    <xf numFmtId="0" fontId="21" fillId="0" borderId="3" xfId="7" applyFont="1" applyBorder="1" applyAlignment="1">
      <alignment horizontal="center" vertical="center"/>
    </xf>
    <xf numFmtId="0" fontId="21" fillId="0" borderId="5" xfId="7" applyFont="1" applyBorder="1" applyAlignment="1">
      <alignment horizontal="center" vertical="center"/>
    </xf>
    <xf numFmtId="0" fontId="21" fillId="0" borderId="4" xfId="7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/>
    </xf>
    <xf numFmtId="0" fontId="21" fillId="0" borderId="9" xfId="7" applyFont="1" applyBorder="1" applyAlignment="1">
      <alignment horizontal="center" vertical="center"/>
    </xf>
    <xf numFmtId="0" fontId="22" fillId="11" borderId="1" xfId="4" applyFont="1" applyFill="1" applyBorder="1" applyAlignment="1">
      <alignment horizontal="center" vertical="center"/>
    </xf>
    <xf numFmtId="0" fontId="21" fillId="0" borderId="1" xfId="7" applyFont="1" applyBorder="1" applyAlignment="1">
      <alignment horizontal="center" vertical="center" wrapText="1"/>
    </xf>
    <xf numFmtId="0" fontId="21" fillId="3" borderId="9" xfId="7" applyFont="1" applyFill="1" applyBorder="1" applyAlignment="1">
      <alignment horizontal="center" vertical="center"/>
    </xf>
    <xf numFmtId="0" fontId="21" fillId="3" borderId="4" xfId="7" applyFont="1" applyFill="1" applyBorder="1" applyAlignment="1">
      <alignment horizontal="center" vertical="center"/>
    </xf>
    <xf numFmtId="0" fontId="14" fillId="6" borderId="10" xfId="9" applyFill="1" applyBorder="1" applyAlignment="1">
      <alignment horizontal="center" vertical="center"/>
    </xf>
    <xf numFmtId="0" fontId="14" fillId="6" borderId="11" xfId="9" applyFill="1" applyBorder="1" applyAlignment="1">
      <alignment horizontal="center" vertical="center"/>
    </xf>
    <xf numFmtId="0" fontId="19" fillId="0" borderId="12" xfId="9" applyFont="1" applyBorder="1" applyAlignment="1">
      <alignment horizontal="center" vertical="center" wrapText="1"/>
    </xf>
    <xf numFmtId="0" fontId="19" fillId="0" borderId="13" xfId="9" applyFont="1" applyBorder="1" applyAlignment="1">
      <alignment horizontal="center" vertical="center" wrapText="1"/>
    </xf>
    <xf numFmtId="0" fontId="18" fillId="0" borderId="12" xfId="9" applyFont="1" applyBorder="1" applyAlignment="1">
      <alignment horizontal="center" vertical="center" wrapText="1"/>
    </xf>
    <xf numFmtId="0" fontId="18" fillId="0" borderId="13" xfId="9" applyFont="1" applyBorder="1" applyAlignment="1">
      <alignment horizontal="center" vertical="center" wrapText="1"/>
    </xf>
  </cellXfs>
  <cellStyles count="13">
    <cellStyle name="SAPBEXstdItem" xfId="10"/>
    <cellStyle name="나쁨" xfId="4" builtinId="27"/>
    <cellStyle name="표준" xfId="0" builtinId="0"/>
    <cellStyle name="표준 19" xfId="8"/>
    <cellStyle name="표준 2" xfId="2"/>
    <cellStyle name="표준 2 2" xfId="3"/>
    <cellStyle name="표준 2 2 3" xfId="5"/>
    <cellStyle name="표준 2 2 3 2" xfId="6"/>
    <cellStyle name="표준 2 2 3 3" xfId="12"/>
    <cellStyle name="표준 21" xfId="9"/>
    <cellStyle name="표준 3" xfId="1"/>
    <cellStyle name="표준 4" xfId="7"/>
    <cellStyle name="표준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view="pageBreakPreview" zoomScale="85" zoomScaleNormal="100" zoomScaleSheetLayoutView="85" workbookViewId="0"/>
  </sheetViews>
  <sheetFormatPr defaultColWidth="8.75" defaultRowHeight="16.5"/>
  <cols>
    <col min="1" max="16384" width="8.75" style="1"/>
  </cols>
  <sheetData>
    <row r="1" spans="1:13" ht="26.25">
      <c r="A1" s="7"/>
    </row>
    <row r="4" spans="1:13" ht="31.5">
      <c r="J4" s="2"/>
      <c r="M4" s="3" t="s">
        <v>388</v>
      </c>
    </row>
    <row r="5" spans="1:13">
      <c r="J5" s="4"/>
      <c r="M5" s="4"/>
    </row>
    <row r="6" spans="1:13">
      <c r="J6" s="4"/>
      <c r="M6" s="4"/>
    </row>
    <row r="7" spans="1:13" ht="41.25">
      <c r="J7" s="5"/>
      <c r="M7" s="6" t="s">
        <v>47</v>
      </c>
    </row>
    <row r="8" spans="1:13">
      <c r="J8" s="4"/>
      <c r="M8" s="4"/>
    </row>
    <row r="9" spans="1:13" ht="25.5">
      <c r="J9" s="2"/>
      <c r="M9" s="2"/>
    </row>
    <row r="10" spans="1:13" ht="25.5">
      <c r="M10" s="2"/>
    </row>
    <row r="14" spans="1:13" ht="31.5">
      <c r="M14" s="3"/>
    </row>
    <row r="23" spans="1:16" ht="26.25">
      <c r="A23" s="7"/>
    </row>
    <row r="24" spans="1:16">
      <c r="P24"/>
    </row>
    <row r="26" spans="1:16">
      <c r="B26" s="1" t="s">
        <v>46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view="pageBreakPreview" zoomScale="110" zoomScaleNormal="100" zoomScaleSheetLayoutView="110" workbookViewId="0">
      <selection activeCell="G10" sqref="G10"/>
    </sheetView>
  </sheetViews>
  <sheetFormatPr defaultColWidth="8.75" defaultRowHeight="16.5"/>
  <cols>
    <col min="1" max="2" width="12.5" style="1" customWidth="1"/>
    <col min="3" max="3" width="30.875" style="1" customWidth="1"/>
    <col min="4" max="5" width="12.5" style="1" customWidth="1"/>
    <col min="6" max="16384" width="8.75" style="1"/>
  </cols>
  <sheetData>
    <row r="1" spans="1:5" ht="20.25">
      <c r="A1" s="132" t="s">
        <v>0</v>
      </c>
      <c r="B1" s="132"/>
      <c r="C1" s="132"/>
      <c r="D1" s="132"/>
      <c r="E1" s="132"/>
    </row>
    <row r="2" spans="1:5" ht="10.15" customHeight="1">
      <c r="A2" s="8"/>
      <c r="B2" s="8"/>
      <c r="C2" s="8"/>
      <c r="D2" s="9"/>
      <c r="E2" s="9"/>
    </row>
    <row r="3" spans="1:5">
      <c r="A3" s="14" t="s">
        <v>1</v>
      </c>
      <c r="B3" s="14" t="s">
        <v>6</v>
      </c>
      <c r="C3" s="14" t="s">
        <v>5</v>
      </c>
      <c r="D3" s="14" t="s">
        <v>2</v>
      </c>
      <c r="E3" s="14" t="s">
        <v>4</v>
      </c>
    </row>
    <row r="4" spans="1:5">
      <c r="A4" s="15" t="s">
        <v>8</v>
      </c>
      <c r="B4" s="15" t="s">
        <v>7</v>
      </c>
      <c r="C4" s="16" t="s">
        <v>3</v>
      </c>
      <c r="D4" s="17" t="s">
        <v>110</v>
      </c>
      <c r="E4" s="18" t="s">
        <v>389</v>
      </c>
    </row>
    <row r="5" spans="1:5">
      <c r="A5" s="15"/>
      <c r="B5" s="15"/>
      <c r="C5" s="16"/>
      <c r="D5" s="17"/>
      <c r="E5" s="18"/>
    </row>
    <row r="6" spans="1:5">
      <c r="A6" s="15"/>
      <c r="B6" s="15"/>
      <c r="C6" s="16"/>
      <c r="D6" s="17"/>
      <c r="E6" s="18"/>
    </row>
    <row r="7" spans="1:5">
      <c r="A7" s="15"/>
      <c r="B7" s="15"/>
      <c r="C7" s="16"/>
      <c r="D7" s="17"/>
      <c r="E7" s="18"/>
    </row>
    <row r="8" spans="1:5">
      <c r="A8" s="15"/>
      <c r="B8" s="13"/>
      <c r="C8" s="11"/>
      <c r="D8" s="17"/>
      <c r="E8" s="18"/>
    </row>
    <row r="9" spans="1:5">
      <c r="A9" s="10"/>
      <c r="B9" s="13"/>
      <c r="C9" s="11"/>
      <c r="D9" s="12"/>
      <c r="E9" s="12"/>
    </row>
    <row r="10" spans="1:5">
      <c r="A10" s="10"/>
      <c r="B10" s="13"/>
      <c r="C10" s="11"/>
      <c r="D10" s="12"/>
      <c r="E10" s="12"/>
    </row>
    <row r="11" spans="1:5">
      <c r="A11" s="10"/>
      <c r="B11" s="13"/>
      <c r="C11" s="11"/>
      <c r="D11" s="12"/>
      <c r="E11" s="12"/>
    </row>
    <row r="12" spans="1:5">
      <c r="A12" s="10"/>
      <c r="B12" s="13"/>
      <c r="C12" s="11"/>
      <c r="D12" s="12"/>
      <c r="E12" s="12"/>
    </row>
    <row r="13" spans="1:5">
      <c r="A13" s="10"/>
      <c r="B13" s="13"/>
      <c r="C13" s="11"/>
      <c r="D13" s="12"/>
      <c r="E13" s="12"/>
    </row>
    <row r="14" spans="1:5">
      <c r="A14" s="10"/>
      <c r="B14" s="13"/>
      <c r="C14" s="11"/>
      <c r="D14" s="12"/>
      <c r="E14" s="12"/>
    </row>
    <row r="15" spans="1:5">
      <c r="A15" s="10"/>
      <c r="B15" s="13"/>
      <c r="C15" s="11"/>
      <c r="D15" s="12"/>
      <c r="E15" s="12"/>
    </row>
    <row r="16" spans="1:5">
      <c r="A16" s="10"/>
      <c r="B16" s="13"/>
      <c r="C16" s="11"/>
      <c r="D16" s="12"/>
      <c r="E16" s="12"/>
    </row>
    <row r="17" spans="1:5">
      <c r="A17" s="10"/>
      <c r="B17" s="13"/>
      <c r="C17" s="11"/>
      <c r="D17" s="12"/>
      <c r="E17" s="12"/>
    </row>
    <row r="18" spans="1:5">
      <c r="A18" s="10"/>
      <c r="B18" s="13"/>
      <c r="C18" s="11"/>
      <c r="D18" s="12"/>
      <c r="E18" s="12"/>
    </row>
    <row r="19" spans="1:5">
      <c r="A19" s="10"/>
      <c r="B19" s="13"/>
      <c r="C19" s="11"/>
      <c r="D19" s="12"/>
      <c r="E19" s="12"/>
    </row>
    <row r="20" spans="1:5">
      <c r="A20" s="10"/>
      <c r="B20" s="13"/>
      <c r="C20" s="11"/>
      <c r="D20" s="12"/>
      <c r="E20" s="12"/>
    </row>
    <row r="21" spans="1:5">
      <c r="A21" s="10"/>
      <c r="B21" s="13"/>
      <c r="C21" s="11"/>
      <c r="D21" s="12"/>
      <c r="E21" s="12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zoomScaleNormal="100" workbookViewId="0">
      <selection activeCell="E7" sqref="E7"/>
    </sheetView>
  </sheetViews>
  <sheetFormatPr defaultColWidth="9" defaultRowHeight="16.5"/>
  <cols>
    <col min="1" max="1" width="4.75" style="25" bestFit="1" customWidth="1"/>
    <col min="2" max="3" width="19.75" style="25" customWidth="1"/>
    <col min="4" max="16384" width="9" style="21"/>
  </cols>
  <sheetData>
    <row r="1" spans="1:3" ht="39.950000000000003" customHeight="1">
      <c r="A1" s="19" t="s">
        <v>9</v>
      </c>
      <c r="B1" s="19"/>
      <c r="C1" s="20" t="s">
        <v>390</v>
      </c>
    </row>
    <row r="2" spans="1:3">
      <c r="A2" s="41" t="s">
        <v>10</v>
      </c>
      <c r="B2" s="41" t="s">
        <v>11</v>
      </c>
      <c r="C2" s="41" t="s">
        <v>12</v>
      </c>
    </row>
    <row r="3" spans="1:3" ht="21" customHeight="1">
      <c r="A3" s="22">
        <v>1</v>
      </c>
      <c r="B3" s="23"/>
      <c r="C3" s="24"/>
    </row>
    <row r="4" spans="1:3" s="25" customFormat="1" ht="20.100000000000001" customHeight="1"/>
  </sheetData>
  <phoneticPr fontId="1" type="noConversion"/>
  <pageMargins left="0.7" right="0.7" top="0.75" bottom="0.75" header="0.3" footer="0.3"/>
  <pageSetup paperSize="9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opLeftCell="A4" zoomScaleNormal="100" workbookViewId="0">
      <selection activeCell="J7" sqref="J7"/>
    </sheetView>
  </sheetViews>
  <sheetFormatPr defaultColWidth="9" defaultRowHeight="16.5"/>
  <cols>
    <col min="1" max="1" width="4.75" style="25" bestFit="1" customWidth="1"/>
    <col min="2" max="2" width="19.625" style="25" customWidth="1"/>
    <col min="3" max="3" width="27.625" style="25" bestFit="1" customWidth="1"/>
    <col min="4" max="5" width="7.5" style="25" customWidth="1"/>
    <col min="6" max="6" width="22.875" style="25" bestFit="1" customWidth="1"/>
    <col min="7" max="7" width="12.25" style="25" customWidth="1"/>
    <col min="8" max="8" width="20.25" style="28" customWidth="1"/>
    <col min="9" max="9" width="12.375" style="21" customWidth="1"/>
    <col min="10" max="10" width="60.25" style="25" bestFit="1" customWidth="1"/>
    <col min="11" max="11" width="13.875" style="25" bestFit="1" customWidth="1"/>
    <col min="12" max="16384" width="9" style="21"/>
  </cols>
  <sheetData>
    <row r="1" spans="1:11" ht="39.950000000000003" customHeight="1">
      <c r="A1" s="144" t="s">
        <v>86</v>
      </c>
      <c r="B1" s="144"/>
      <c r="C1" s="144"/>
      <c r="D1" s="144"/>
      <c r="E1" s="144"/>
      <c r="F1" s="44"/>
      <c r="G1" s="44"/>
      <c r="H1" s="20" t="s">
        <v>390</v>
      </c>
    </row>
    <row r="2" spans="1:11" s="26" customFormat="1" ht="20.100000000000001" customHeight="1">
      <c r="A2" s="138" t="s">
        <v>87</v>
      </c>
      <c r="B2" s="138" t="s">
        <v>88</v>
      </c>
      <c r="C2" s="138" t="s">
        <v>89</v>
      </c>
      <c r="D2" s="138" t="s">
        <v>90</v>
      </c>
      <c r="E2" s="138"/>
      <c r="F2" s="139" t="s">
        <v>91</v>
      </c>
      <c r="G2" s="139"/>
      <c r="H2" s="138" t="s">
        <v>92</v>
      </c>
      <c r="J2" s="51"/>
      <c r="K2" s="51"/>
    </row>
    <row r="3" spans="1:11" s="26" customFormat="1" ht="20.100000000000001" customHeight="1">
      <c r="A3" s="138"/>
      <c r="B3" s="138"/>
      <c r="C3" s="138"/>
      <c r="D3" s="55" t="s">
        <v>93</v>
      </c>
      <c r="E3" s="55" t="s">
        <v>94</v>
      </c>
      <c r="F3" s="52" t="s">
        <v>95</v>
      </c>
      <c r="G3" s="52" t="s">
        <v>94</v>
      </c>
      <c r="H3" s="138"/>
      <c r="J3" s="51"/>
      <c r="K3" s="51"/>
    </row>
    <row r="4" spans="1:11" s="26" customFormat="1" ht="20.100000000000001" customHeight="1">
      <c r="A4" s="27">
        <v>1</v>
      </c>
      <c r="B4" s="135" t="s">
        <v>319</v>
      </c>
      <c r="C4" s="60" t="s">
        <v>96</v>
      </c>
      <c r="D4" s="61" t="s">
        <v>97</v>
      </c>
      <c r="E4" s="60" t="s">
        <v>98</v>
      </c>
      <c r="F4" s="133" t="s">
        <v>171</v>
      </c>
      <c r="G4" s="136" t="s">
        <v>351</v>
      </c>
      <c r="H4" s="23"/>
      <c r="J4" s="51"/>
      <c r="K4" s="51"/>
    </row>
    <row r="5" spans="1:11" s="26" customFormat="1" ht="20.100000000000001" customHeight="1">
      <c r="A5" s="27">
        <v>2</v>
      </c>
      <c r="B5" s="135"/>
      <c r="C5" s="64" t="s">
        <v>77</v>
      </c>
      <c r="D5" s="140" t="s">
        <v>99</v>
      </c>
      <c r="E5" s="142" t="s">
        <v>100</v>
      </c>
      <c r="F5" s="134"/>
      <c r="G5" s="137"/>
      <c r="H5" s="23"/>
      <c r="J5" s="51"/>
      <c r="K5" s="51"/>
    </row>
    <row r="6" spans="1:11" s="26" customFormat="1" ht="21" customHeight="1">
      <c r="A6" s="27">
        <v>3</v>
      </c>
      <c r="B6" s="135"/>
      <c r="C6" s="64" t="s">
        <v>259</v>
      </c>
      <c r="D6" s="134"/>
      <c r="E6" s="137"/>
      <c r="F6" s="134"/>
      <c r="G6" s="137"/>
      <c r="H6" s="23"/>
      <c r="J6" s="51"/>
      <c r="K6" s="51"/>
    </row>
    <row r="7" spans="1:11" s="26" customFormat="1" ht="21" customHeight="1">
      <c r="A7" s="27">
        <v>4</v>
      </c>
      <c r="B7" s="135"/>
      <c r="C7" s="64" t="s">
        <v>260</v>
      </c>
      <c r="D7" s="134"/>
      <c r="E7" s="137"/>
      <c r="F7" s="134"/>
      <c r="G7" s="137"/>
      <c r="H7" s="23"/>
      <c r="J7" s="51"/>
      <c r="K7" s="51"/>
    </row>
    <row r="8" spans="1:11" s="26" customFormat="1" ht="20.100000000000001" customHeight="1">
      <c r="A8" s="27">
        <v>5</v>
      </c>
      <c r="B8" s="135"/>
      <c r="C8" s="64" t="s">
        <v>145</v>
      </c>
      <c r="D8" s="134"/>
      <c r="E8" s="137"/>
      <c r="F8" s="134"/>
      <c r="G8" s="137"/>
      <c r="H8" s="23"/>
      <c r="J8" s="51"/>
      <c r="K8" s="51"/>
    </row>
    <row r="9" spans="1:11" s="26" customFormat="1" ht="20.100000000000001" customHeight="1">
      <c r="A9" s="27">
        <v>6</v>
      </c>
      <c r="B9" s="135"/>
      <c r="C9" s="64" t="s">
        <v>261</v>
      </c>
      <c r="D9" s="134"/>
      <c r="E9" s="137"/>
      <c r="F9" s="134"/>
      <c r="G9" s="137"/>
      <c r="H9" s="23"/>
      <c r="J9" s="51"/>
      <c r="K9" s="51"/>
    </row>
    <row r="10" spans="1:11" s="26" customFormat="1" ht="21" customHeight="1">
      <c r="A10" s="27">
        <v>7</v>
      </c>
      <c r="B10" s="135"/>
      <c r="C10" s="64" t="s">
        <v>262</v>
      </c>
      <c r="D10" s="134"/>
      <c r="E10" s="137"/>
      <c r="F10" s="134"/>
      <c r="G10" s="137"/>
      <c r="H10" s="23"/>
      <c r="J10" s="51"/>
      <c r="K10" s="51"/>
    </row>
    <row r="11" spans="1:11" s="26" customFormat="1" ht="20.100000000000001" customHeight="1">
      <c r="A11" s="27">
        <v>8</v>
      </c>
      <c r="B11" s="135"/>
      <c r="C11" s="64" t="s">
        <v>263</v>
      </c>
      <c r="D11" s="141"/>
      <c r="E11" s="143"/>
      <c r="F11" s="134"/>
      <c r="G11" s="137"/>
      <c r="H11" s="23"/>
      <c r="J11" s="51"/>
      <c r="K11" s="51"/>
    </row>
    <row r="12" spans="1:11" s="26" customFormat="1" ht="21" customHeight="1">
      <c r="A12" s="27">
        <v>9</v>
      </c>
      <c r="B12" s="135"/>
      <c r="C12" s="60" t="s">
        <v>101</v>
      </c>
      <c r="D12" s="62" t="s">
        <v>102</v>
      </c>
      <c r="E12" s="63" t="s">
        <v>103</v>
      </c>
      <c r="F12" s="134"/>
      <c r="G12" s="137"/>
      <c r="H12" s="23"/>
      <c r="J12" s="51"/>
      <c r="K12" s="51"/>
    </row>
    <row r="13" spans="1:11" s="26" customFormat="1" ht="21" customHeight="1">
      <c r="A13" s="27">
        <v>10</v>
      </c>
      <c r="B13" s="135"/>
      <c r="C13" s="60" t="s">
        <v>104</v>
      </c>
      <c r="D13" s="62" t="s">
        <v>105</v>
      </c>
      <c r="E13" s="63" t="s">
        <v>106</v>
      </c>
      <c r="F13" s="134"/>
      <c r="G13" s="137"/>
      <c r="H13" s="23"/>
      <c r="J13" s="51"/>
      <c r="K13" s="51"/>
    </row>
    <row r="14" spans="1:11" s="26" customFormat="1" ht="20.100000000000001" customHeight="1">
      <c r="A14" s="27">
        <v>11</v>
      </c>
      <c r="B14" s="135" t="s">
        <v>280</v>
      </c>
      <c r="C14" s="48" t="s">
        <v>48</v>
      </c>
      <c r="D14" s="46" t="s">
        <v>97</v>
      </c>
      <c r="E14" s="48" t="s">
        <v>98</v>
      </c>
      <c r="F14" s="133" t="s">
        <v>170</v>
      </c>
      <c r="G14" s="136" t="s">
        <v>341</v>
      </c>
      <c r="H14" s="23"/>
      <c r="J14" s="51"/>
      <c r="K14" s="51"/>
    </row>
    <row r="15" spans="1:11" s="26" customFormat="1" ht="20.100000000000001" customHeight="1">
      <c r="A15" s="27">
        <v>12</v>
      </c>
      <c r="B15" s="135"/>
      <c r="C15" s="64" t="s">
        <v>77</v>
      </c>
      <c r="D15" s="133" t="s">
        <v>99</v>
      </c>
      <c r="E15" s="136" t="s">
        <v>100</v>
      </c>
      <c r="F15" s="134"/>
      <c r="G15" s="137"/>
      <c r="H15" s="23"/>
      <c r="J15" s="51"/>
      <c r="K15" s="51"/>
    </row>
    <row r="16" spans="1:11" s="26" customFormat="1" ht="21" customHeight="1">
      <c r="A16" s="27">
        <v>13</v>
      </c>
      <c r="B16" s="135"/>
      <c r="C16" s="64" t="s">
        <v>250</v>
      </c>
      <c r="D16" s="134"/>
      <c r="E16" s="137"/>
      <c r="F16" s="134"/>
      <c r="G16" s="137"/>
      <c r="H16" s="23"/>
      <c r="J16" s="51"/>
      <c r="K16" s="51"/>
    </row>
    <row r="17" spans="1:11" s="26" customFormat="1" ht="21" customHeight="1">
      <c r="A17" s="27">
        <v>14</v>
      </c>
      <c r="B17" s="135"/>
      <c r="C17" s="64" t="s">
        <v>148</v>
      </c>
      <c r="D17" s="134"/>
      <c r="E17" s="137"/>
      <c r="F17" s="134"/>
      <c r="G17" s="137"/>
      <c r="H17" s="23"/>
      <c r="J17" s="51"/>
      <c r="K17" s="51"/>
    </row>
    <row r="18" spans="1:11" s="26" customFormat="1" ht="21" customHeight="1">
      <c r="A18" s="27">
        <v>15</v>
      </c>
      <c r="B18" s="135"/>
      <c r="C18" s="48" t="s">
        <v>70</v>
      </c>
      <c r="D18" s="58" t="s">
        <v>79</v>
      </c>
      <c r="E18" s="59" t="s">
        <v>103</v>
      </c>
      <c r="F18" s="134"/>
      <c r="G18" s="137"/>
      <c r="H18" s="23"/>
      <c r="J18" s="51"/>
      <c r="K18" s="51"/>
    </row>
    <row r="19" spans="1:11" s="26" customFormat="1" ht="21" customHeight="1">
      <c r="A19" s="27">
        <v>16</v>
      </c>
      <c r="B19" s="135"/>
      <c r="C19" s="48" t="s">
        <v>58</v>
      </c>
      <c r="D19" s="58" t="s">
        <v>105</v>
      </c>
      <c r="E19" s="59" t="s">
        <v>106</v>
      </c>
      <c r="F19" s="134"/>
      <c r="G19" s="137"/>
      <c r="H19" s="23"/>
      <c r="J19" s="51"/>
      <c r="K19" s="51"/>
    </row>
    <row r="20" spans="1:11" s="26" customFormat="1" ht="20.100000000000001" customHeight="1">
      <c r="A20" s="27">
        <v>17</v>
      </c>
      <c r="B20" s="135" t="s">
        <v>281</v>
      </c>
      <c r="C20" s="48" t="s">
        <v>96</v>
      </c>
      <c r="D20" s="46" t="s">
        <v>97</v>
      </c>
      <c r="E20" s="48" t="s">
        <v>98</v>
      </c>
      <c r="F20" s="136" t="s">
        <v>169</v>
      </c>
      <c r="G20" s="136" t="s">
        <v>338</v>
      </c>
      <c r="H20" s="23"/>
      <c r="J20" s="51"/>
      <c r="K20" s="51"/>
    </row>
    <row r="21" spans="1:11" s="26" customFormat="1" ht="20.100000000000001" customHeight="1">
      <c r="A21" s="27">
        <v>18</v>
      </c>
      <c r="B21" s="135"/>
      <c r="C21" s="64" t="s">
        <v>264</v>
      </c>
      <c r="D21" s="133" t="s">
        <v>99</v>
      </c>
      <c r="E21" s="136" t="s">
        <v>100</v>
      </c>
      <c r="F21" s="137"/>
      <c r="G21" s="137"/>
      <c r="H21" s="23"/>
      <c r="J21" s="51"/>
      <c r="K21" s="51"/>
    </row>
    <row r="22" spans="1:11" s="26" customFormat="1" ht="21" customHeight="1">
      <c r="A22" s="27">
        <v>19</v>
      </c>
      <c r="B22" s="135"/>
      <c r="C22" s="64" t="s">
        <v>147</v>
      </c>
      <c r="D22" s="134"/>
      <c r="E22" s="137"/>
      <c r="F22" s="137"/>
      <c r="G22" s="137"/>
      <c r="H22" s="23"/>
      <c r="J22" s="51"/>
      <c r="K22" s="51"/>
    </row>
    <row r="23" spans="1:11" s="26" customFormat="1" ht="21" customHeight="1">
      <c r="A23" s="27">
        <v>20</v>
      </c>
      <c r="B23" s="135"/>
      <c r="C23" s="64" t="s">
        <v>265</v>
      </c>
      <c r="D23" s="134"/>
      <c r="E23" s="137"/>
      <c r="F23" s="137"/>
      <c r="G23" s="137"/>
      <c r="H23" s="65" t="s">
        <v>149</v>
      </c>
      <c r="J23" s="51"/>
      <c r="K23" s="51"/>
    </row>
    <row r="24" spans="1:11" s="26" customFormat="1" ht="21" customHeight="1">
      <c r="A24" s="27">
        <v>21</v>
      </c>
      <c r="B24" s="135"/>
      <c r="C24" s="64" t="s">
        <v>130</v>
      </c>
      <c r="D24" s="134"/>
      <c r="E24" s="137"/>
      <c r="F24" s="137"/>
      <c r="G24" s="137"/>
      <c r="H24" s="65" t="s">
        <v>150</v>
      </c>
      <c r="J24" s="51"/>
      <c r="K24" s="51"/>
    </row>
    <row r="25" spans="1:11" s="26" customFormat="1" ht="21" customHeight="1">
      <c r="A25" s="27">
        <v>22</v>
      </c>
      <c r="B25" s="135"/>
      <c r="C25" s="48" t="s">
        <v>70</v>
      </c>
      <c r="D25" s="58" t="s">
        <v>79</v>
      </c>
      <c r="E25" s="59" t="s">
        <v>103</v>
      </c>
      <c r="F25" s="137"/>
      <c r="G25" s="137"/>
      <c r="H25" s="23"/>
      <c r="J25" s="51"/>
      <c r="K25" s="51"/>
    </row>
    <row r="26" spans="1:11" s="26" customFormat="1" ht="21" customHeight="1">
      <c r="A26" s="27">
        <v>23</v>
      </c>
      <c r="B26" s="135"/>
      <c r="C26" s="48" t="s">
        <v>104</v>
      </c>
      <c r="D26" s="58" t="s">
        <v>105</v>
      </c>
      <c r="E26" s="59" t="s">
        <v>106</v>
      </c>
      <c r="F26" s="137"/>
      <c r="G26" s="137"/>
      <c r="H26" s="23"/>
      <c r="J26" s="51"/>
      <c r="K26" s="51"/>
    </row>
    <row r="27" spans="1:11" s="26" customFormat="1" ht="20.100000000000001" customHeight="1">
      <c r="A27" s="27">
        <v>24</v>
      </c>
      <c r="B27" s="135" t="s">
        <v>112</v>
      </c>
      <c r="C27" s="48" t="s">
        <v>48</v>
      </c>
      <c r="D27" s="46" t="s">
        <v>97</v>
      </c>
      <c r="E27" s="48" t="s">
        <v>98</v>
      </c>
      <c r="F27" s="136" t="s">
        <v>168</v>
      </c>
      <c r="G27" s="136" t="s">
        <v>340</v>
      </c>
      <c r="H27" s="23"/>
      <c r="J27" s="51"/>
      <c r="K27" s="51"/>
    </row>
    <row r="28" spans="1:11" s="26" customFormat="1" ht="20.100000000000001" customHeight="1">
      <c r="A28" s="27">
        <v>25</v>
      </c>
      <c r="B28" s="135"/>
      <c r="C28" s="64" t="s">
        <v>266</v>
      </c>
      <c r="D28" s="133" t="s">
        <v>99</v>
      </c>
      <c r="E28" s="136" t="s">
        <v>100</v>
      </c>
      <c r="F28" s="137"/>
      <c r="G28" s="137"/>
      <c r="H28" s="23"/>
      <c r="J28" s="51"/>
      <c r="K28" s="51"/>
    </row>
    <row r="29" spans="1:11" s="26" customFormat="1" ht="21" customHeight="1">
      <c r="A29" s="27">
        <v>26</v>
      </c>
      <c r="B29" s="135"/>
      <c r="C29" s="64" t="s">
        <v>267</v>
      </c>
      <c r="D29" s="134"/>
      <c r="E29" s="137"/>
      <c r="F29" s="137"/>
      <c r="G29" s="137"/>
      <c r="H29" s="23"/>
      <c r="J29" s="51"/>
      <c r="K29" s="51"/>
    </row>
    <row r="30" spans="1:11" s="26" customFormat="1" ht="21" customHeight="1">
      <c r="A30" s="27">
        <v>27</v>
      </c>
      <c r="B30" s="135"/>
      <c r="C30" s="64" t="s">
        <v>268</v>
      </c>
      <c r="D30" s="134"/>
      <c r="E30" s="137"/>
      <c r="F30" s="137"/>
      <c r="G30" s="137"/>
      <c r="H30" s="23"/>
      <c r="J30" s="51"/>
      <c r="K30" s="51"/>
    </row>
    <row r="31" spans="1:11" s="26" customFormat="1" ht="21" customHeight="1">
      <c r="A31" s="27">
        <v>28</v>
      </c>
      <c r="B31" s="135"/>
      <c r="C31" s="64" t="s">
        <v>148</v>
      </c>
      <c r="D31" s="134"/>
      <c r="E31" s="137"/>
      <c r="F31" s="137"/>
      <c r="G31" s="137"/>
      <c r="H31" s="23"/>
      <c r="J31" s="51"/>
      <c r="K31" s="51"/>
    </row>
    <row r="32" spans="1:11" s="26" customFormat="1" ht="21" customHeight="1">
      <c r="A32" s="27">
        <v>29</v>
      </c>
      <c r="B32" s="135"/>
      <c r="C32" s="48" t="s">
        <v>70</v>
      </c>
      <c r="D32" s="58" t="s">
        <v>79</v>
      </c>
      <c r="E32" s="59" t="s">
        <v>103</v>
      </c>
      <c r="F32" s="137"/>
      <c r="G32" s="137"/>
      <c r="H32" s="23"/>
      <c r="J32" s="51"/>
      <c r="K32" s="51"/>
    </row>
    <row r="33" spans="1:11" s="26" customFormat="1" ht="21" customHeight="1">
      <c r="A33" s="27">
        <v>30</v>
      </c>
      <c r="B33" s="135"/>
      <c r="C33" s="48" t="s">
        <v>58</v>
      </c>
      <c r="D33" s="58" t="s">
        <v>105</v>
      </c>
      <c r="E33" s="59" t="s">
        <v>106</v>
      </c>
      <c r="F33" s="137"/>
      <c r="G33" s="137"/>
      <c r="H33" s="23"/>
      <c r="J33" s="51"/>
      <c r="K33" s="51"/>
    </row>
    <row r="34" spans="1:11" s="26" customFormat="1" ht="20.100000000000001" customHeight="1">
      <c r="A34" s="27">
        <v>31</v>
      </c>
      <c r="B34" s="135" t="s">
        <v>353</v>
      </c>
      <c r="C34" s="48" t="s">
        <v>96</v>
      </c>
      <c r="D34" s="46" t="s">
        <v>97</v>
      </c>
      <c r="E34" s="48" t="s">
        <v>98</v>
      </c>
      <c r="F34" s="133" t="s">
        <v>167</v>
      </c>
      <c r="G34" s="136" t="s">
        <v>339</v>
      </c>
      <c r="H34" s="125"/>
      <c r="J34" s="51"/>
      <c r="K34" s="51"/>
    </row>
    <row r="35" spans="1:11" s="26" customFormat="1" ht="20.100000000000001" customHeight="1">
      <c r="A35" s="27">
        <v>32</v>
      </c>
      <c r="B35" s="135"/>
      <c r="C35" s="64" t="s">
        <v>151</v>
      </c>
      <c r="D35" s="133" t="s">
        <v>99</v>
      </c>
      <c r="E35" s="136" t="s">
        <v>100</v>
      </c>
      <c r="F35" s="134"/>
      <c r="G35" s="137"/>
      <c r="H35" s="125"/>
      <c r="J35" s="51"/>
      <c r="K35" s="51"/>
    </row>
    <row r="36" spans="1:11" s="26" customFormat="1" ht="21" customHeight="1">
      <c r="A36" s="27">
        <v>33</v>
      </c>
      <c r="B36" s="135"/>
      <c r="C36" s="64" t="s">
        <v>152</v>
      </c>
      <c r="D36" s="134"/>
      <c r="E36" s="137"/>
      <c r="F36" s="134"/>
      <c r="G36" s="137"/>
      <c r="H36" s="125"/>
      <c r="J36" s="51"/>
      <c r="K36" s="51"/>
    </row>
    <row r="37" spans="1:11" s="26" customFormat="1" ht="20.100000000000001" customHeight="1">
      <c r="A37" s="27">
        <v>34</v>
      </c>
      <c r="B37" s="135"/>
      <c r="C37" s="64" t="s">
        <v>153</v>
      </c>
      <c r="D37" s="134"/>
      <c r="E37" s="137"/>
      <c r="F37" s="134"/>
      <c r="G37" s="137"/>
      <c r="H37" s="125"/>
      <c r="J37" s="51"/>
      <c r="K37" s="51"/>
    </row>
    <row r="38" spans="1:11" s="26" customFormat="1" ht="20.100000000000001" customHeight="1">
      <c r="A38" s="27">
        <v>35</v>
      </c>
      <c r="B38" s="135"/>
      <c r="C38" s="64" t="s">
        <v>154</v>
      </c>
      <c r="D38" s="134"/>
      <c r="E38" s="137"/>
      <c r="F38" s="134"/>
      <c r="G38" s="137"/>
      <c r="H38" s="125"/>
      <c r="J38" s="51"/>
      <c r="K38" s="51"/>
    </row>
    <row r="39" spans="1:11" s="26" customFormat="1" ht="21" customHeight="1">
      <c r="A39" s="27">
        <v>36</v>
      </c>
      <c r="B39" s="135"/>
      <c r="C39" s="64" t="s">
        <v>155</v>
      </c>
      <c r="D39" s="134"/>
      <c r="E39" s="137"/>
      <c r="F39" s="134"/>
      <c r="G39" s="137"/>
      <c r="H39" s="125"/>
      <c r="J39" s="51"/>
      <c r="K39" s="51"/>
    </row>
    <row r="40" spans="1:11" s="26" customFormat="1" ht="21" customHeight="1">
      <c r="A40" s="27">
        <v>37</v>
      </c>
      <c r="B40" s="135"/>
      <c r="C40" s="64" t="s">
        <v>156</v>
      </c>
      <c r="D40" s="141"/>
      <c r="E40" s="143"/>
      <c r="F40" s="134"/>
      <c r="G40" s="137"/>
      <c r="H40" s="125"/>
      <c r="J40" s="51"/>
      <c r="K40" s="51"/>
    </row>
    <row r="41" spans="1:11" s="26" customFormat="1" ht="21" customHeight="1">
      <c r="A41" s="27">
        <v>38</v>
      </c>
      <c r="B41" s="135"/>
      <c r="C41" s="48" t="s">
        <v>70</v>
      </c>
      <c r="D41" s="58" t="s">
        <v>79</v>
      </c>
      <c r="E41" s="59" t="s">
        <v>103</v>
      </c>
      <c r="F41" s="134"/>
      <c r="G41" s="137"/>
      <c r="H41" s="125"/>
      <c r="J41" s="51"/>
      <c r="K41" s="51"/>
    </row>
    <row r="42" spans="1:11" s="26" customFormat="1" ht="21" customHeight="1">
      <c r="A42" s="27">
        <v>39</v>
      </c>
      <c r="B42" s="135"/>
      <c r="C42" s="48" t="s">
        <v>104</v>
      </c>
      <c r="D42" s="58" t="s">
        <v>105</v>
      </c>
      <c r="E42" s="59" t="s">
        <v>106</v>
      </c>
      <c r="F42" s="134"/>
      <c r="G42" s="137"/>
      <c r="H42" s="125"/>
      <c r="J42" s="51"/>
      <c r="K42" s="51"/>
    </row>
    <row r="43" spans="1:11" s="26" customFormat="1" ht="20.100000000000001" customHeight="1">
      <c r="A43" s="27">
        <v>40</v>
      </c>
      <c r="B43" s="135" t="s">
        <v>120</v>
      </c>
      <c r="C43" s="48" t="s">
        <v>48</v>
      </c>
      <c r="D43" s="46" t="s">
        <v>97</v>
      </c>
      <c r="E43" s="48" t="s">
        <v>98</v>
      </c>
      <c r="F43" s="133" t="s">
        <v>166</v>
      </c>
      <c r="G43" s="136" t="s">
        <v>343</v>
      </c>
      <c r="H43" s="125"/>
      <c r="J43" s="51"/>
      <c r="K43" s="51"/>
    </row>
    <row r="44" spans="1:11" s="26" customFormat="1" ht="20.100000000000001" customHeight="1">
      <c r="A44" s="27">
        <v>41</v>
      </c>
      <c r="B44" s="135"/>
      <c r="C44" s="64" t="s">
        <v>195</v>
      </c>
      <c r="D44" s="133" t="s">
        <v>99</v>
      </c>
      <c r="E44" s="136" t="s">
        <v>100</v>
      </c>
      <c r="F44" s="134"/>
      <c r="G44" s="137"/>
      <c r="H44" s="125"/>
      <c r="J44" s="51"/>
      <c r="K44" s="51"/>
    </row>
    <row r="45" spans="1:11" s="26" customFormat="1" ht="21" customHeight="1">
      <c r="A45" s="27">
        <v>42</v>
      </c>
      <c r="B45" s="135"/>
      <c r="C45" s="64" t="s">
        <v>147</v>
      </c>
      <c r="D45" s="134"/>
      <c r="E45" s="137"/>
      <c r="F45" s="134"/>
      <c r="G45" s="137"/>
      <c r="H45" s="125"/>
      <c r="J45" s="51"/>
      <c r="K45" s="51"/>
    </row>
    <row r="46" spans="1:11" s="26" customFormat="1" ht="21" customHeight="1">
      <c r="A46" s="27">
        <v>43</v>
      </c>
      <c r="B46" s="135"/>
      <c r="C46" s="64" t="s">
        <v>196</v>
      </c>
      <c r="D46" s="134"/>
      <c r="E46" s="137"/>
      <c r="F46" s="134"/>
      <c r="G46" s="137"/>
      <c r="H46" s="125"/>
      <c r="J46" s="51"/>
      <c r="K46" s="51"/>
    </row>
    <row r="47" spans="1:11" s="26" customFormat="1" ht="21" customHeight="1">
      <c r="A47" s="27">
        <v>44</v>
      </c>
      <c r="B47" s="135"/>
      <c r="C47" s="64" t="s">
        <v>197</v>
      </c>
      <c r="D47" s="134"/>
      <c r="E47" s="137"/>
      <c r="F47" s="134"/>
      <c r="G47" s="137"/>
      <c r="H47" s="125"/>
      <c r="J47" s="51"/>
      <c r="K47" s="51"/>
    </row>
    <row r="48" spans="1:11" s="26" customFormat="1" ht="21" customHeight="1">
      <c r="A48" s="27">
        <v>45</v>
      </c>
      <c r="B48" s="135"/>
      <c r="C48" s="48" t="s">
        <v>70</v>
      </c>
      <c r="D48" s="58" t="s">
        <v>79</v>
      </c>
      <c r="E48" s="59" t="s">
        <v>103</v>
      </c>
      <c r="F48" s="134"/>
      <c r="G48" s="137"/>
      <c r="H48" s="125"/>
      <c r="J48" s="51"/>
      <c r="K48" s="51"/>
    </row>
    <row r="49" spans="1:11" s="26" customFormat="1" ht="21" customHeight="1">
      <c r="A49" s="27">
        <v>46</v>
      </c>
      <c r="B49" s="135"/>
      <c r="C49" s="48" t="s">
        <v>58</v>
      </c>
      <c r="D49" s="58" t="s">
        <v>105</v>
      </c>
      <c r="E49" s="59" t="s">
        <v>106</v>
      </c>
      <c r="F49" s="134"/>
      <c r="G49" s="137"/>
      <c r="H49" s="125"/>
      <c r="J49" s="51"/>
      <c r="K49" s="51"/>
    </row>
    <row r="50" spans="1:11" s="26" customFormat="1" ht="20.100000000000001" customHeight="1">
      <c r="A50" s="27">
        <v>47</v>
      </c>
      <c r="B50" s="135" t="s">
        <v>119</v>
      </c>
      <c r="C50" s="48" t="s">
        <v>48</v>
      </c>
      <c r="D50" s="46" t="s">
        <v>97</v>
      </c>
      <c r="E50" s="48" t="s">
        <v>98</v>
      </c>
      <c r="F50" s="133" t="s">
        <v>165</v>
      </c>
      <c r="G50" s="136" t="s">
        <v>342</v>
      </c>
      <c r="H50" s="125"/>
      <c r="J50" s="51"/>
      <c r="K50" s="51"/>
    </row>
    <row r="51" spans="1:11" s="26" customFormat="1" ht="20.100000000000001" customHeight="1">
      <c r="A51" s="27">
        <v>48</v>
      </c>
      <c r="B51" s="135"/>
      <c r="C51" s="64" t="s">
        <v>270</v>
      </c>
      <c r="D51" s="133" t="s">
        <v>99</v>
      </c>
      <c r="E51" s="136" t="s">
        <v>100</v>
      </c>
      <c r="F51" s="134"/>
      <c r="G51" s="137"/>
      <c r="H51" s="125"/>
      <c r="J51" s="51"/>
      <c r="K51" s="51"/>
    </row>
    <row r="52" spans="1:11" s="26" customFormat="1" ht="21" customHeight="1">
      <c r="A52" s="27">
        <v>49</v>
      </c>
      <c r="B52" s="135"/>
      <c r="C52" s="64" t="s">
        <v>147</v>
      </c>
      <c r="D52" s="134"/>
      <c r="E52" s="137"/>
      <c r="F52" s="134"/>
      <c r="G52" s="137"/>
      <c r="H52" s="125"/>
      <c r="J52" s="51"/>
      <c r="K52" s="51"/>
    </row>
    <row r="53" spans="1:11" s="26" customFormat="1" ht="21" customHeight="1">
      <c r="A53" s="27">
        <v>50</v>
      </c>
      <c r="B53" s="135"/>
      <c r="C53" s="64" t="s">
        <v>271</v>
      </c>
      <c r="D53" s="134"/>
      <c r="E53" s="137"/>
      <c r="F53" s="134"/>
      <c r="G53" s="137"/>
      <c r="H53" s="125"/>
      <c r="J53" s="51"/>
      <c r="K53" s="51"/>
    </row>
    <row r="54" spans="1:11" s="26" customFormat="1" ht="21" customHeight="1">
      <c r="A54" s="27">
        <v>51</v>
      </c>
      <c r="B54" s="135"/>
      <c r="C54" s="64" t="s">
        <v>199</v>
      </c>
      <c r="D54" s="134"/>
      <c r="E54" s="137"/>
      <c r="F54" s="134"/>
      <c r="G54" s="137"/>
      <c r="H54" s="125"/>
      <c r="J54" s="51"/>
      <c r="K54" s="51"/>
    </row>
    <row r="55" spans="1:11" s="26" customFormat="1" ht="21" customHeight="1">
      <c r="A55" s="27">
        <v>52</v>
      </c>
      <c r="B55" s="135"/>
      <c r="C55" s="48" t="s">
        <v>70</v>
      </c>
      <c r="D55" s="58" t="s">
        <v>79</v>
      </c>
      <c r="E55" s="59" t="s">
        <v>103</v>
      </c>
      <c r="F55" s="134"/>
      <c r="G55" s="137"/>
      <c r="H55" s="125"/>
      <c r="J55" s="51"/>
      <c r="K55" s="51"/>
    </row>
    <row r="56" spans="1:11" s="26" customFormat="1" ht="21" customHeight="1">
      <c r="A56" s="27">
        <v>53</v>
      </c>
      <c r="B56" s="135"/>
      <c r="C56" s="48" t="s">
        <v>104</v>
      </c>
      <c r="D56" s="58" t="s">
        <v>105</v>
      </c>
      <c r="E56" s="59" t="s">
        <v>106</v>
      </c>
      <c r="F56" s="134"/>
      <c r="G56" s="137"/>
      <c r="H56" s="125"/>
      <c r="J56" s="51"/>
      <c r="K56" s="51"/>
    </row>
    <row r="57" spans="1:11" s="26" customFormat="1" ht="20.100000000000001" customHeight="1">
      <c r="A57" s="27">
        <v>54</v>
      </c>
      <c r="B57" s="135" t="s">
        <v>269</v>
      </c>
      <c r="C57" s="48" t="s">
        <v>48</v>
      </c>
      <c r="D57" s="46" t="s">
        <v>97</v>
      </c>
      <c r="E57" s="48" t="s">
        <v>98</v>
      </c>
      <c r="F57" s="133" t="s">
        <v>164</v>
      </c>
      <c r="G57" s="136" t="s">
        <v>344</v>
      </c>
      <c r="H57" s="125"/>
      <c r="J57" s="51"/>
      <c r="K57" s="51"/>
    </row>
    <row r="58" spans="1:11" s="26" customFormat="1" ht="20.100000000000001" customHeight="1">
      <c r="A58" s="27">
        <v>55</v>
      </c>
      <c r="B58" s="135"/>
      <c r="C58" s="64" t="s">
        <v>151</v>
      </c>
      <c r="D58" s="133" t="s">
        <v>99</v>
      </c>
      <c r="E58" s="136" t="s">
        <v>116</v>
      </c>
      <c r="F58" s="134"/>
      <c r="G58" s="137"/>
      <c r="H58" s="125"/>
      <c r="J58" s="51"/>
      <c r="K58" s="51"/>
    </row>
    <row r="59" spans="1:11" s="26" customFormat="1" ht="21" customHeight="1">
      <c r="A59" s="27">
        <v>56</v>
      </c>
      <c r="B59" s="135"/>
      <c r="C59" s="64" t="s">
        <v>157</v>
      </c>
      <c r="D59" s="134"/>
      <c r="E59" s="137"/>
      <c r="F59" s="134"/>
      <c r="G59" s="137"/>
      <c r="H59" s="125"/>
      <c r="J59" s="51"/>
      <c r="K59" s="51"/>
    </row>
    <row r="60" spans="1:11" s="26" customFormat="1" ht="20.100000000000001" customHeight="1">
      <c r="A60" s="27">
        <v>57</v>
      </c>
      <c r="B60" s="135"/>
      <c r="C60" s="64" t="s">
        <v>152</v>
      </c>
      <c r="D60" s="134"/>
      <c r="E60" s="137"/>
      <c r="F60" s="134"/>
      <c r="G60" s="137"/>
      <c r="H60" s="125"/>
      <c r="J60" s="51"/>
      <c r="K60" s="51"/>
    </row>
    <row r="61" spans="1:11" s="26" customFormat="1" ht="21" customHeight="1">
      <c r="A61" s="27">
        <v>58</v>
      </c>
      <c r="B61" s="135"/>
      <c r="C61" s="64" t="s">
        <v>158</v>
      </c>
      <c r="D61" s="134"/>
      <c r="E61" s="137"/>
      <c r="F61" s="134"/>
      <c r="G61" s="137"/>
      <c r="H61" s="125"/>
      <c r="J61" s="51"/>
      <c r="K61" s="51"/>
    </row>
    <row r="62" spans="1:11" s="26" customFormat="1" ht="21" customHeight="1">
      <c r="A62" s="27">
        <v>59</v>
      </c>
      <c r="B62" s="135"/>
      <c r="C62" s="64" t="s">
        <v>155</v>
      </c>
      <c r="D62" s="134"/>
      <c r="E62" s="137"/>
      <c r="F62" s="134"/>
      <c r="G62" s="137"/>
      <c r="H62" s="125"/>
      <c r="J62" s="51"/>
      <c r="K62" s="51"/>
    </row>
    <row r="63" spans="1:11" s="26" customFormat="1" ht="21" customHeight="1">
      <c r="A63" s="27">
        <v>60</v>
      </c>
      <c r="B63" s="135"/>
      <c r="C63" s="64" t="s">
        <v>156</v>
      </c>
      <c r="D63" s="134"/>
      <c r="E63" s="137"/>
      <c r="F63" s="134"/>
      <c r="G63" s="137"/>
      <c r="H63" s="125"/>
      <c r="J63" s="51"/>
      <c r="K63" s="51"/>
    </row>
    <row r="64" spans="1:11" s="26" customFormat="1" ht="21" customHeight="1">
      <c r="A64" s="27">
        <v>61</v>
      </c>
      <c r="B64" s="135"/>
      <c r="C64" s="48" t="s">
        <v>70</v>
      </c>
      <c r="D64" s="58" t="s">
        <v>79</v>
      </c>
      <c r="E64" s="59" t="s">
        <v>103</v>
      </c>
      <c r="F64" s="134"/>
      <c r="G64" s="137"/>
      <c r="H64" s="125"/>
      <c r="J64" s="51"/>
      <c r="K64" s="51"/>
    </row>
    <row r="65" spans="1:11" s="26" customFormat="1" ht="21" customHeight="1">
      <c r="A65" s="27">
        <v>62</v>
      </c>
      <c r="B65" s="135"/>
      <c r="C65" s="48" t="s">
        <v>58</v>
      </c>
      <c r="D65" s="58" t="s">
        <v>105</v>
      </c>
      <c r="E65" s="59" t="s">
        <v>106</v>
      </c>
      <c r="F65" s="134"/>
      <c r="G65" s="137"/>
      <c r="H65" s="125"/>
      <c r="J65" s="51"/>
      <c r="K65" s="51"/>
    </row>
    <row r="66" spans="1:11" s="26" customFormat="1" ht="27">
      <c r="A66" s="27">
        <v>63</v>
      </c>
      <c r="B66" s="130" t="s">
        <v>379</v>
      </c>
      <c r="C66" s="64" t="s">
        <v>380</v>
      </c>
      <c r="D66" s="46" t="s">
        <v>99</v>
      </c>
      <c r="E66" s="48" t="s">
        <v>115</v>
      </c>
      <c r="F66" s="126" t="s">
        <v>381</v>
      </c>
      <c r="G66" s="127" t="s">
        <v>370</v>
      </c>
      <c r="H66" s="128" t="s">
        <v>382</v>
      </c>
      <c r="J66" s="51"/>
      <c r="K66" s="51"/>
    </row>
    <row r="67" spans="1:11" s="26" customFormat="1" ht="27">
      <c r="A67" s="27">
        <v>64</v>
      </c>
      <c r="B67" s="129" t="s">
        <v>383</v>
      </c>
      <c r="C67" s="64" t="s">
        <v>384</v>
      </c>
      <c r="D67" s="46" t="s">
        <v>300</v>
      </c>
      <c r="E67" s="48" t="s">
        <v>115</v>
      </c>
      <c r="F67" s="126" t="s">
        <v>376</v>
      </c>
      <c r="G67" s="127" t="s">
        <v>371</v>
      </c>
      <c r="H67" s="128" t="s">
        <v>373</v>
      </c>
      <c r="J67" s="51"/>
      <c r="K67" s="51"/>
    </row>
    <row r="68" spans="1:11" s="26" customFormat="1" ht="27">
      <c r="A68" s="27">
        <v>65</v>
      </c>
      <c r="B68" s="131" t="s">
        <v>385</v>
      </c>
      <c r="C68" s="64" t="s">
        <v>385</v>
      </c>
      <c r="D68" s="46" t="s">
        <v>99</v>
      </c>
      <c r="E68" s="48" t="s">
        <v>115</v>
      </c>
      <c r="F68" s="126" t="s">
        <v>377</v>
      </c>
      <c r="G68" s="127" t="s">
        <v>372</v>
      </c>
      <c r="H68" s="128" t="s">
        <v>374</v>
      </c>
      <c r="J68" s="51"/>
      <c r="K68" s="51"/>
    </row>
    <row r="69" spans="1:11" s="26" customFormat="1" ht="21" customHeight="1">
      <c r="A69" s="27">
        <v>66</v>
      </c>
      <c r="B69" s="110" t="s">
        <v>386</v>
      </c>
      <c r="C69" s="64" t="s">
        <v>387</v>
      </c>
      <c r="D69" s="108" t="s">
        <v>300</v>
      </c>
      <c r="E69" s="109" t="s">
        <v>115</v>
      </c>
      <c r="F69" s="123" t="s">
        <v>378</v>
      </c>
      <c r="G69" s="124" t="s">
        <v>352</v>
      </c>
      <c r="H69" s="112" t="s">
        <v>375</v>
      </c>
      <c r="J69" s="51"/>
      <c r="K69" s="51"/>
    </row>
    <row r="70" spans="1:11" s="30" customFormat="1" ht="18" customHeight="1">
      <c r="A70" s="56" t="s">
        <v>107</v>
      </c>
      <c r="B70" s="56">
        <f>COUNTA(B4:B69)</f>
        <v>12</v>
      </c>
      <c r="C70" s="56">
        <f>COUNTA(C4:C69)</f>
        <v>66</v>
      </c>
      <c r="D70" s="47"/>
      <c r="E70" s="47"/>
      <c r="F70" s="47"/>
      <c r="G70" s="47"/>
      <c r="H70" s="47"/>
      <c r="J70" s="51"/>
      <c r="K70" s="32"/>
    </row>
  </sheetData>
  <mergeCells count="47">
    <mergeCell ref="F14:F19"/>
    <mergeCell ref="G14:G19"/>
    <mergeCell ref="F20:F26"/>
    <mergeCell ref="G20:G26"/>
    <mergeCell ref="F57:F65"/>
    <mergeCell ref="G57:G65"/>
    <mergeCell ref="G27:G33"/>
    <mergeCell ref="G34:G42"/>
    <mergeCell ref="G43:G49"/>
    <mergeCell ref="G50:G56"/>
    <mergeCell ref="F27:F33"/>
    <mergeCell ref="B34:B42"/>
    <mergeCell ref="D35:D40"/>
    <mergeCell ref="E35:E40"/>
    <mergeCell ref="F34:F42"/>
    <mergeCell ref="B27:B33"/>
    <mergeCell ref="D28:D31"/>
    <mergeCell ref="A1:E1"/>
    <mergeCell ref="A2:A3"/>
    <mergeCell ref="B2:B3"/>
    <mergeCell ref="C2:C3"/>
    <mergeCell ref="D2:E2"/>
    <mergeCell ref="H2:H3"/>
    <mergeCell ref="B4:B13"/>
    <mergeCell ref="F2:G2"/>
    <mergeCell ref="F4:F13"/>
    <mergeCell ref="G4:G13"/>
    <mergeCell ref="D5:D11"/>
    <mergeCell ref="E5:E11"/>
    <mergeCell ref="B57:B65"/>
    <mergeCell ref="D58:D63"/>
    <mergeCell ref="E58:E63"/>
    <mergeCell ref="E44:E47"/>
    <mergeCell ref="D15:D17"/>
    <mergeCell ref="E15:E17"/>
    <mergeCell ref="B14:B19"/>
    <mergeCell ref="B20:B26"/>
    <mergeCell ref="D21:D24"/>
    <mergeCell ref="E21:E24"/>
    <mergeCell ref="E28:E31"/>
    <mergeCell ref="F43:F49"/>
    <mergeCell ref="B50:B56"/>
    <mergeCell ref="D51:D54"/>
    <mergeCell ref="E51:E54"/>
    <mergeCell ref="F50:F56"/>
    <mergeCell ref="B43:B49"/>
    <mergeCell ref="D44:D47"/>
  </mergeCells>
  <phoneticPr fontId="1" type="noConversion"/>
  <pageMargins left="0.7" right="0.7" top="0.75" bottom="0.75" header="0.3" footer="0.3"/>
  <pageSetup paperSize="9" scale="61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95"/>
  <sheetViews>
    <sheetView zoomScale="85" zoomScaleNormal="85" workbookViewId="0">
      <selection activeCell="I6" sqref="I6"/>
    </sheetView>
  </sheetViews>
  <sheetFormatPr defaultColWidth="9" defaultRowHeight="16.5"/>
  <cols>
    <col min="1" max="1" width="4.75" style="25" bestFit="1" customWidth="1"/>
    <col min="2" max="2" width="19.625" style="25" customWidth="1"/>
    <col min="3" max="3" width="15.25" style="25" bestFit="1" customWidth="1"/>
    <col min="4" max="4" width="13.375" style="45" customWidth="1"/>
    <col min="5" max="7" width="13.375" style="29" customWidth="1"/>
    <col min="8" max="8" width="13.375" style="28" customWidth="1"/>
    <col min="9" max="9" width="9" style="21"/>
    <col min="10" max="13" width="7.125" style="21" customWidth="1"/>
    <col min="14" max="14" width="5.75" style="21" customWidth="1"/>
    <col min="15" max="18" width="7.125" style="21" customWidth="1"/>
    <col min="19" max="19" width="5.75" style="21" customWidth="1"/>
    <col min="20" max="23" width="7.125" style="21" customWidth="1"/>
    <col min="24" max="25" width="5.75" style="72" customWidth="1"/>
    <col min="26" max="29" width="5.75" style="21" customWidth="1"/>
    <col min="30" max="33" width="7.125" style="21" customWidth="1"/>
    <col min="34" max="35" width="5.75" style="21" customWidth="1"/>
    <col min="36" max="37" width="5.75" style="72" customWidth="1"/>
    <col min="38" max="40" width="5.75" style="21" customWidth="1"/>
    <col min="41" max="16384" width="9" style="21"/>
  </cols>
  <sheetData>
    <row r="1" spans="1:37" ht="39.950000000000003" customHeight="1">
      <c r="A1" s="144" t="s">
        <v>204</v>
      </c>
      <c r="B1" s="144"/>
      <c r="C1" s="144"/>
      <c r="D1" s="144"/>
      <c r="E1" s="144"/>
      <c r="F1" s="144"/>
      <c r="G1" s="67"/>
      <c r="H1" s="20" t="s">
        <v>390</v>
      </c>
    </row>
    <row r="2" spans="1:37" s="26" customFormat="1" ht="20.100000000000001" customHeight="1">
      <c r="A2" s="55" t="s">
        <v>10</v>
      </c>
      <c r="B2" s="55" t="s">
        <v>88</v>
      </c>
      <c r="C2" s="55" t="s">
        <v>89</v>
      </c>
      <c r="D2" s="66" t="s">
        <v>209</v>
      </c>
      <c r="E2" s="35" t="s">
        <v>172</v>
      </c>
      <c r="F2" s="35" t="s">
        <v>173</v>
      </c>
      <c r="G2" s="35" t="s">
        <v>200</v>
      </c>
      <c r="H2" s="55" t="s">
        <v>12</v>
      </c>
      <c r="J2" s="71" t="s">
        <v>118</v>
      </c>
      <c r="K2" s="71"/>
      <c r="L2" s="71"/>
      <c r="M2" s="71"/>
      <c r="O2" s="76" t="s">
        <v>214</v>
      </c>
      <c r="P2" s="76"/>
      <c r="Q2" s="76"/>
      <c r="R2" s="76"/>
      <c r="T2" s="77" t="s">
        <v>217</v>
      </c>
      <c r="U2" s="77"/>
      <c r="V2" s="77"/>
      <c r="W2" s="77"/>
      <c r="X2" s="73"/>
      <c r="Y2" s="74" t="s">
        <v>234</v>
      </c>
      <c r="Z2" s="74"/>
      <c r="AA2" s="74"/>
      <c r="AB2" s="74"/>
      <c r="AD2" s="82" t="s">
        <v>237</v>
      </c>
      <c r="AE2" s="82"/>
      <c r="AF2" s="82"/>
      <c r="AG2" s="82"/>
      <c r="AJ2" s="73"/>
      <c r="AK2" s="73"/>
    </row>
    <row r="3" spans="1:37" s="26" customFormat="1" ht="20.100000000000001" customHeight="1">
      <c r="A3" s="27">
        <v>1</v>
      </c>
      <c r="B3" s="142" t="s">
        <v>118</v>
      </c>
      <c r="C3" s="68" t="s">
        <v>77</v>
      </c>
      <c r="D3" s="95">
        <v>12</v>
      </c>
      <c r="E3" s="96">
        <v>196</v>
      </c>
      <c r="F3" s="96">
        <v>48</v>
      </c>
      <c r="G3" s="96">
        <v>784</v>
      </c>
      <c r="H3" s="69" t="s">
        <v>219</v>
      </c>
      <c r="J3" s="68" t="s">
        <v>77</v>
      </c>
      <c r="K3" s="68">
        <f>SUM(K4:K15)</f>
        <v>196</v>
      </c>
      <c r="L3" s="68">
        <f t="shared" ref="L3" si="0">SUM(L4:L15)</f>
        <v>48</v>
      </c>
      <c r="M3" s="68">
        <f>SUM(M4:M15)</f>
        <v>784</v>
      </c>
      <c r="N3" s="51"/>
      <c r="O3" s="75" t="s">
        <v>77</v>
      </c>
      <c r="P3" s="75">
        <f>SUM(P4:P13)</f>
        <v>72</v>
      </c>
      <c r="Q3" s="75">
        <f t="shared" ref="Q3:R3" si="1">SUM(Q4:Q13)</f>
        <v>20</v>
      </c>
      <c r="R3" s="75">
        <f t="shared" si="1"/>
        <v>154</v>
      </c>
      <c r="S3" s="51"/>
      <c r="T3" s="78" t="s">
        <v>77</v>
      </c>
      <c r="U3" s="78">
        <f t="shared" ref="U3" si="2">SUM(U4:U22)</f>
        <v>38</v>
      </c>
      <c r="V3" s="78">
        <f>SUM(V4:V22)</f>
        <v>49</v>
      </c>
      <c r="W3" s="78">
        <f>SUM(W4:W22)</f>
        <v>87</v>
      </c>
      <c r="X3" s="51"/>
      <c r="Y3" s="70" t="s">
        <v>77</v>
      </c>
      <c r="Z3" s="70">
        <f>SUM(Z4:Z10)</f>
        <v>58</v>
      </c>
      <c r="AA3" s="70">
        <f t="shared" ref="AA3:AB3" si="3">SUM(AA4:AA10)</f>
        <v>28</v>
      </c>
      <c r="AB3" s="70">
        <f t="shared" si="3"/>
        <v>232</v>
      </c>
      <c r="AD3" s="52" t="s">
        <v>238</v>
      </c>
      <c r="AE3" s="52">
        <f>SUM(AE4:AE8)</f>
        <v>9</v>
      </c>
      <c r="AF3" s="52">
        <f>SUM(AF4:AF8)</f>
        <v>7</v>
      </c>
      <c r="AG3" s="52">
        <f>SUM(AG4:AG8)</f>
        <v>20</v>
      </c>
    </row>
    <row r="4" spans="1:37" s="26" customFormat="1" ht="20.100000000000001" customHeight="1">
      <c r="A4" s="27">
        <v>2</v>
      </c>
      <c r="B4" s="137"/>
      <c r="C4" s="68" t="s">
        <v>143</v>
      </c>
      <c r="D4" s="95">
        <v>8</v>
      </c>
      <c r="E4" s="96">
        <v>119</v>
      </c>
      <c r="F4" s="96">
        <v>24</v>
      </c>
      <c r="G4" s="96">
        <v>357</v>
      </c>
      <c r="H4" s="69" t="s">
        <v>207</v>
      </c>
      <c r="J4" s="48" t="s">
        <v>125</v>
      </c>
      <c r="K4" s="48">
        <v>24</v>
      </c>
      <c r="L4" s="48">
        <v>4</v>
      </c>
      <c r="M4" s="48">
        <f>K4*L4</f>
        <v>96</v>
      </c>
      <c r="N4" s="51"/>
      <c r="O4" s="48" t="s">
        <v>227</v>
      </c>
      <c r="P4" s="48">
        <v>10</v>
      </c>
      <c r="Q4" s="48">
        <v>2</v>
      </c>
      <c r="R4" s="48">
        <f>P4*Q4</f>
        <v>20</v>
      </c>
      <c r="S4" s="51"/>
      <c r="T4" s="48" t="s">
        <v>227</v>
      </c>
      <c r="U4" s="48">
        <v>7</v>
      </c>
      <c r="V4" s="48">
        <v>2</v>
      </c>
      <c r="W4" s="48">
        <f>U4*V4</f>
        <v>14</v>
      </c>
      <c r="X4" s="51"/>
      <c r="Y4" s="48" t="s">
        <v>227</v>
      </c>
      <c r="Z4" s="48">
        <v>8</v>
      </c>
      <c r="AA4" s="48">
        <v>4</v>
      </c>
      <c r="AB4" s="48">
        <f>Z4*AA4</f>
        <v>32</v>
      </c>
      <c r="AD4" s="48" t="s">
        <v>125</v>
      </c>
      <c r="AE4" s="48">
        <v>4</v>
      </c>
      <c r="AF4" s="48">
        <v>3</v>
      </c>
      <c r="AG4" s="48">
        <f>AE4*AF4</f>
        <v>12</v>
      </c>
    </row>
    <row r="5" spans="1:37" s="26" customFormat="1" ht="20.100000000000001" customHeight="1">
      <c r="A5" s="27">
        <v>3</v>
      </c>
      <c r="B5" s="137"/>
      <c r="C5" s="68" t="s">
        <v>191</v>
      </c>
      <c r="D5" s="95">
        <v>10</v>
      </c>
      <c r="E5" s="96">
        <v>149</v>
      </c>
      <c r="F5" s="96">
        <v>30</v>
      </c>
      <c r="G5" s="96">
        <v>447</v>
      </c>
      <c r="H5" s="69" t="s">
        <v>208</v>
      </c>
      <c r="J5" s="48" t="s">
        <v>126</v>
      </c>
      <c r="K5" s="48">
        <v>16</v>
      </c>
      <c r="L5" s="48">
        <v>4</v>
      </c>
      <c r="M5" s="48">
        <f>K5*L5</f>
        <v>64</v>
      </c>
      <c r="N5" s="51"/>
      <c r="O5" s="48" t="s">
        <v>228</v>
      </c>
      <c r="P5" s="48">
        <v>10</v>
      </c>
      <c r="Q5" s="48">
        <v>3</v>
      </c>
      <c r="R5" s="48">
        <v>26</v>
      </c>
      <c r="S5" s="51"/>
      <c r="T5" s="48" t="s">
        <v>228</v>
      </c>
      <c r="U5" s="48">
        <v>5</v>
      </c>
      <c r="V5" s="48">
        <v>2</v>
      </c>
      <c r="W5" s="48">
        <f>U5*V5</f>
        <v>10</v>
      </c>
      <c r="X5" s="51"/>
      <c r="Y5" s="48" t="s">
        <v>228</v>
      </c>
      <c r="Z5" s="48">
        <v>8</v>
      </c>
      <c r="AA5" s="48">
        <v>4</v>
      </c>
      <c r="AB5" s="48">
        <f>Z5*AA5</f>
        <v>32</v>
      </c>
      <c r="AD5" s="48" t="s">
        <v>126</v>
      </c>
      <c r="AE5" s="48">
        <v>3</v>
      </c>
      <c r="AF5" s="48">
        <v>2</v>
      </c>
      <c r="AG5" s="48">
        <f>AE5*AF5</f>
        <v>6</v>
      </c>
    </row>
    <row r="6" spans="1:37" s="26" customFormat="1" ht="20.100000000000001" customHeight="1">
      <c r="A6" s="27">
        <v>4</v>
      </c>
      <c r="B6" s="137"/>
      <c r="C6" s="68" t="s">
        <v>145</v>
      </c>
      <c r="D6" s="95">
        <v>9</v>
      </c>
      <c r="E6" s="96">
        <v>125</v>
      </c>
      <c r="F6" s="96">
        <v>27</v>
      </c>
      <c r="G6" s="96">
        <v>375</v>
      </c>
      <c r="H6" s="69" t="s">
        <v>208</v>
      </c>
      <c r="J6" s="48" t="s">
        <v>127</v>
      </c>
      <c r="K6" s="48">
        <v>16</v>
      </c>
      <c r="L6" s="48">
        <v>4</v>
      </c>
      <c r="M6" s="48">
        <f t="shared" ref="M6:M9" si="4">K6*L6</f>
        <v>64</v>
      </c>
      <c r="N6" s="51"/>
      <c r="O6" s="48" t="s">
        <v>229</v>
      </c>
      <c r="P6" s="48">
        <v>10</v>
      </c>
      <c r="Q6" s="48">
        <v>3</v>
      </c>
      <c r="R6" s="48">
        <v>26</v>
      </c>
      <c r="S6" s="51"/>
      <c r="T6" s="48" t="s">
        <v>229</v>
      </c>
      <c r="U6" s="48">
        <v>7</v>
      </c>
      <c r="V6" s="48">
        <v>2</v>
      </c>
      <c r="W6" s="48">
        <f t="shared" ref="W6:W9" si="5">U6*V6</f>
        <v>14</v>
      </c>
      <c r="X6" s="51"/>
      <c r="Y6" s="48" t="s">
        <v>229</v>
      </c>
      <c r="Z6" s="48">
        <v>8</v>
      </c>
      <c r="AA6" s="48">
        <v>4</v>
      </c>
      <c r="AB6" s="48">
        <f t="shared" ref="AB6:AB10" si="6">Z6*AA6</f>
        <v>32</v>
      </c>
      <c r="AD6" s="48" t="s">
        <v>127</v>
      </c>
      <c r="AE6" s="48">
        <v>1</v>
      </c>
      <c r="AF6" s="48">
        <v>1</v>
      </c>
      <c r="AG6" s="48">
        <v>1</v>
      </c>
    </row>
    <row r="7" spans="1:37" s="26" customFormat="1" ht="20.100000000000001" customHeight="1">
      <c r="A7" s="27">
        <v>5</v>
      </c>
      <c r="B7" s="137"/>
      <c r="C7" s="68" t="s">
        <v>146</v>
      </c>
      <c r="D7" s="95">
        <v>1</v>
      </c>
      <c r="E7" s="96">
        <v>16</v>
      </c>
      <c r="F7" s="96">
        <v>3</v>
      </c>
      <c r="G7" s="96">
        <v>48</v>
      </c>
      <c r="H7" s="69" t="s">
        <v>208</v>
      </c>
      <c r="J7" s="48" t="s">
        <v>128</v>
      </c>
      <c r="K7" s="48">
        <v>14</v>
      </c>
      <c r="L7" s="48">
        <v>4</v>
      </c>
      <c r="M7" s="48">
        <f t="shared" si="4"/>
        <v>56</v>
      </c>
      <c r="N7" s="51"/>
      <c r="O7" s="48" t="s">
        <v>230</v>
      </c>
      <c r="P7" s="48">
        <v>8</v>
      </c>
      <c r="Q7" s="48">
        <v>2</v>
      </c>
      <c r="R7" s="48">
        <f t="shared" ref="R7:R9" si="7">P7*Q7</f>
        <v>16</v>
      </c>
      <c r="S7" s="51"/>
      <c r="T7" s="48" t="s">
        <v>230</v>
      </c>
      <c r="U7" s="48">
        <v>4</v>
      </c>
      <c r="V7" s="48">
        <v>2</v>
      </c>
      <c r="W7" s="48">
        <f t="shared" si="5"/>
        <v>8</v>
      </c>
      <c r="X7" s="51"/>
      <c r="Y7" s="48" t="s">
        <v>230</v>
      </c>
      <c r="Z7" s="48">
        <v>8</v>
      </c>
      <c r="AA7" s="48">
        <v>4</v>
      </c>
      <c r="AB7" s="48">
        <f t="shared" si="6"/>
        <v>32</v>
      </c>
      <c r="AD7" s="48" t="s">
        <v>128</v>
      </c>
      <c r="AE7" s="48">
        <v>1</v>
      </c>
      <c r="AF7" s="48">
        <v>1</v>
      </c>
      <c r="AG7" s="48">
        <v>1</v>
      </c>
    </row>
    <row r="8" spans="1:37" s="26" customFormat="1" ht="20.100000000000001" customHeight="1">
      <c r="A8" s="27">
        <v>6</v>
      </c>
      <c r="B8" s="137"/>
      <c r="C8" s="68" t="s">
        <v>117</v>
      </c>
      <c r="D8" s="95">
        <v>6</v>
      </c>
      <c r="E8" s="97">
        <v>6</v>
      </c>
      <c r="F8" s="97">
        <v>6</v>
      </c>
      <c r="G8" s="96">
        <v>6</v>
      </c>
      <c r="H8" s="69" t="s">
        <v>218</v>
      </c>
      <c r="J8" s="36" t="s">
        <v>129</v>
      </c>
      <c r="K8" s="48">
        <v>16</v>
      </c>
      <c r="L8" s="48">
        <v>4</v>
      </c>
      <c r="M8" s="48">
        <f t="shared" si="4"/>
        <v>64</v>
      </c>
      <c r="N8" s="51"/>
      <c r="O8" s="36" t="s">
        <v>129</v>
      </c>
      <c r="P8" s="48">
        <v>8</v>
      </c>
      <c r="Q8" s="48">
        <v>2</v>
      </c>
      <c r="R8" s="48">
        <f t="shared" si="7"/>
        <v>16</v>
      </c>
      <c r="S8" s="51"/>
      <c r="T8" s="36" t="s">
        <v>129</v>
      </c>
      <c r="U8" s="48">
        <v>1</v>
      </c>
      <c r="V8" s="48">
        <v>1</v>
      </c>
      <c r="W8" s="48">
        <f t="shared" si="5"/>
        <v>1</v>
      </c>
      <c r="X8" s="51"/>
      <c r="Y8" s="36" t="s">
        <v>129</v>
      </c>
      <c r="Z8" s="48">
        <v>8</v>
      </c>
      <c r="AA8" s="48">
        <v>4</v>
      </c>
      <c r="AB8" s="48">
        <f t="shared" si="6"/>
        <v>32</v>
      </c>
      <c r="AE8" s="51"/>
      <c r="AF8" s="51"/>
      <c r="AG8" s="51"/>
    </row>
    <row r="9" spans="1:37" s="26" customFormat="1" ht="20.100000000000001" customHeight="1">
      <c r="A9" s="27">
        <v>7</v>
      </c>
      <c r="B9" s="137"/>
      <c r="C9" s="68" t="s">
        <v>130</v>
      </c>
      <c r="D9" s="95">
        <v>6</v>
      </c>
      <c r="E9" s="97">
        <v>6</v>
      </c>
      <c r="F9" s="97">
        <v>6</v>
      </c>
      <c r="G9" s="96">
        <v>6</v>
      </c>
      <c r="H9" s="69" t="s">
        <v>206</v>
      </c>
      <c r="J9" s="48" t="s">
        <v>174</v>
      </c>
      <c r="K9" s="48">
        <v>16</v>
      </c>
      <c r="L9" s="48">
        <v>4</v>
      </c>
      <c r="M9" s="48">
        <f t="shared" si="4"/>
        <v>64</v>
      </c>
      <c r="N9" s="51"/>
      <c r="O9" s="48" t="s">
        <v>231</v>
      </c>
      <c r="P9" s="48">
        <v>8</v>
      </c>
      <c r="Q9" s="48">
        <v>2</v>
      </c>
      <c r="R9" s="48">
        <f t="shared" si="7"/>
        <v>16</v>
      </c>
      <c r="S9" s="51"/>
      <c r="T9" s="48" t="s">
        <v>231</v>
      </c>
      <c r="U9" s="48">
        <v>1</v>
      </c>
      <c r="V9" s="48">
        <v>3</v>
      </c>
      <c r="W9" s="48">
        <f t="shared" si="5"/>
        <v>3</v>
      </c>
      <c r="X9" s="51"/>
      <c r="Y9" s="48" t="s">
        <v>231</v>
      </c>
      <c r="Z9" s="48">
        <v>8</v>
      </c>
      <c r="AA9" s="48">
        <v>4</v>
      </c>
      <c r="AB9" s="48">
        <f t="shared" si="6"/>
        <v>32</v>
      </c>
      <c r="AD9" s="52" t="s">
        <v>239</v>
      </c>
      <c r="AE9" s="52">
        <f>SUM(AE10:AE16)</f>
        <v>9</v>
      </c>
      <c r="AF9" s="52">
        <f t="shared" ref="AF9:AG9" si="8">SUM(AF10:AF16)</f>
        <v>8</v>
      </c>
      <c r="AG9" s="52">
        <f t="shared" si="8"/>
        <v>12</v>
      </c>
    </row>
    <row r="10" spans="1:37" s="26" customFormat="1" ht="20.100000000000001" customHeight="1">
      <c r="A10" s="27">
        <v>8</v>
      </c>
      <c r="B10" s="137"/>
      <c r="C10" s="48" t="s">
        <v>48</v>
      </c>
      <c r="D10" s="98" t="s">
        <v>201</v>
      </c>
      <c r="E10" s="98" t="s">
        <v>201</v>
      </c>
      <c r="F10" s="98" t="s">
        <v>201</v>
      </c>
      <c r="G10" s="99">
        <v>1</v>
      </c>
      <c r="H10" s="23" t="s">
        <v>210</v>
      </c>
      <c r="J10" s="48" t="s">
        <v>175</v>
      </c>
      <c r="K10" s="48">
        <v>16</v>
      </c>
      <c r="L10" s="48">
        <v>4</v>
      </c>
      <c r="M10" s="48">
        <f>K10*L10</f>
        <v>64</v>
      </c>
      <c r="N10" s="51"/>
      <c r="O10" s="48" t="s">
        <v>232</v>
      </c>
      <c r="P10" s="48">
        <v>8</v>
      </c>
      <c r="Q10" s="48">
        <v>2</v>
      </c>
      <c r="R10" s="48">
        <f>P10*Q10</f>
        <v>16</v>
      </c>
      <c r="S10" s="51"/>
      <c r="T10" s="48" t="s">
        <v>232</v>
      </c>
      <c r="U10" s="48">
        <v>1</v>
      </c>
      <c r="V10" s="48">
        <v>3</v>
      </c>
      <c r="W10" s="48">
        <f t="shared" ref="W10:W22" si="9">U10*V10</f>
        <v>3</v>
      </c>
      <c r="X10" s="51"/>
      <c r="Y10" s="48" t="s">
        <v>232</v>
      </c>
      <c r="Z10" s="48">
        <v>10</v>
      </c>
      <c r="AA10" s="48">
        <v>4</v>
      </c>
      <c r="AB10" s="48">
        <f t="shared" si="6"/>
        <v>40</v>
      </c>
      <c r="AD10" s="48" t="s">
        <v>125</v>
      </c>
      <c r="AE10" s="48">
        <v>3</v>
      </c>
      <c r="AF10" s="48">
        <v>2</v>
      </c>
      <c r="AG10" s="48">
        <f>AE10*AF10</f>
        <v>6</v>
      </c>
    </row>
    <row r="11" spans="1:37" s="26" customFormat="1" ht="20.100000000000001" customHeight="1">
      <c r="A11" s="27">
        <v>9</v>
      </c>
      <c r="B11" s="137"/>
      <c r="C11" s="48" t="s">
        <v>70</v>
      </c>
      <c r="D11" s="98" t="s">
        <v>201</v>
      </c>
      <c r="E11" s="98" t="s">
        <v>201</v>
      </c>
      <c r="F11" s="98" t="s">
        <v>201</v>
      </c>
      <c r="G11" s="99">
        <v>1</v>
      </c>
      <c r="H11" s="23" t="s">
        <v>210</v>
      </c>
      <c r="J11" s="48" t="s">
        <v>176</v>
      </c>
      <c r="K11" s="48">
        <v>16</v>
      </c>
      <c r="L11" s="48">
        <v>4</v>
      </c>
      <c r="M11" s="48">
        <f>K11*L11</f>
        <v>64</v>
      </c>
      <c r="N11" s="51"/>
      <c r="O11" s="48" t="s">
        <v>233</v>
      </c>
      <c r="P11" s="48">
        <v>8</v>
      </c>
      <c r="Q11" s="48">
        <v>2</v>
      </c>
      <c r="R11" s="48">
        <f>P11*Q11</f>
        <v>16</v>
      </c>
      <c r="S11" s="51"/>
      <c r="T11" s="48" t="s">
        <v>233</v>
      </c>
      <c r="U11" s="48">
        <v>1</v>
      </c>
      <c r="V11" s="48">
        <v>3</v>
      </c>
      <c r="W11" s="48">
        <f t="shared" si="9"/>
        <v>3</v>
      </c>
      <c r="X11" s="51"/>
      <c r="Y11" s="48"/>
      <c r="Z11" s="48"/>
      <c r="AA11" s="48"/>
      <c r="AB11" s="48"/>
      <c r="AD11" s="48" t="s">
        <v>126</v>
      </c>
      <c r="AE11" s="48">
        <v>1</v>
      </c>
      <c r="AF11" s="48">
        <v>1</v>
      </c>
      <c r="AG11" s="48">
        <f>AE11*AF11</f>
        <v>1</v>
      </c>
    </row>
    <row r="12" spans="1:37" s="26" customFormat="1" ht="20.100000000000001" customHeight="1">
      <c r="A12" s="27">
        <v>10</v>
      </c>
      <c r="B12" s="143"/>
      <c r="C12" s="48" t="s">
        <v>58</v>
      </c>
      <c r="D12" s="98" t="s">
        <v>201</v>
      </c>
      <c r="E12" s="98" t="s">
        <v>201</v>
      </c>
      <c r="F12" s="98" t="s">
        <v>201</v>
      </c>
      <c r="G12" s="99">
        <v>2</v>
      </c>
      <c r="H12" s="23" t="s">
        <v>211</v>
      </c>
      <c r="J12" s="48" t="s">
        <v>181</v>
      </c>
      <c r="K12" s="48">
        <v>14</v>
      </c>
      <c r="L12" s="48">
        <v>4</v>
      </c>
      <c r="M12" s="48">
        <f>K12*L12</f>
        <v>56</v>
      </c>
      <c r="N12" s="51"/>
      <c r="O12" s="48" t="s">
        <v>202</v>
      </c>
      <c r="P12" s="48">
        <v>1</v>
      </c>
      <c r="Q12" s="48">
        <v>1</v>
      </c>
      <c r="R12" s="48">
        <f>P12*Q12</f>
        <v>1</v>
      </c>
      <c r="S12" s="51"/>
      <c r="T12" s="48" t="s">
        <v>202</v>
      </c>
      <c r="U12" s="48">
        <v>1</v>
      </c>
      <c r="V12" s="48">
        <v>3</v>
      </c>
      <c r="W12" s="48">
        <f t="shared" si="9"/>
        <v>3</v>
      </c>
      <c r="X12" s="51"/>
      <c r="Y12" s="70" t="s">
        <v>235</v>
      </c>
      <c r="Z12" s="70">
        <f>SUM(Z13:Z29)</f>
        <v>64</v>
      </c>
      <c r="AA12" s="70">
        <f>SUM(AA13:AA29)</f>
        <v>36</v>
      </c>
      <c r="AB12" s="70">
        <f>SUM(AB13:AB29)</f>
        <v>187</v>
      </c>
      <c r="AD12" s="48" t="s">
        <v>127</v>
      </c>
      <c r="AE12" s="48">
        <v>1</v>
      </c>
      <c r="AF12" s="48">
        <v>1</v>
      </c>
      <c r="AG12" s="48">
        <f t="shared" ref="AG12:AG16" si="10">AE12*AF12</f>
        <v>1</v>
      </c>
    </row>
    <row r="13" spans="1:37" s="26" customFormat="1" ht="20.100000000000001" customHeight="1">
      <c r="A13" s="27">
        <v>11</v>
      </c>
      <c r="B13" s="135" t="s">
        <v>213</v>
      </c>
      <c r="C13" s="75" t="s">
        <v>77</v>
      </c>
      <c r="D13" s="100">
        <v>10</v>
      </c>
      <c r="E13" s="100">
        <v>72</v>
      </c>
      <c r="F13" s="100">
        <v>20</v>
      </c>
      <c r="G13" s="100">
        <v>154</v>
      </c>
      <c r="H13" s="80" t="s">
        <v>216</v>
      </c>
      <c r="J13" s="48" t="s">
        <v>203</v>
      </c>
      <c r="K13" s="48">
        <v>16</v>
      </c>
      <c r="L13" s="48">
        <v>4</v>
      </c>
      <c r="M13" s="48">
        <f>K13*L13</f>
        <v>64</v>
      </c>
      <c r="N13" s="51"/>
      <c r="O13" s="48" t="s">
        <v>203</v>
      </c>
      <c r="P13" s="48">
        <v>1</v>
      </c>
      <c r="Q13" s="48">
        <v>1</v>
      </c>
      <c r="R13" s="48">
        <v>1</v>
      </c>
      <c r="S13" s="51"/>
      <c r="T13" s="48" t="s">
        <v>203</v>
      </c>
      <c r="U13" s="48">
        <v>1</v>
      </c>
      <c r="V13" s="48">
        <v>3</v>
      </c>
      <c r="W13" s="48">
        <f t="shared" si="9"/>
        <v>3</v>
      </c>
      <c r="X13" s="51"/>
      <c r="Y13" s="48" t="s">
        <v>227</v>
      </c>
      <c r="Z13" s="48">
        <v>10</v>
      </c>
      <c r="AA13" s="48">
        <v>3</v>
      </c>
      <c r="AB13" s="48">
        <f>Z13*AA13</f>
        <v>30</v>
      </c>
      <c r="AD13" s="48" t="s">
        <v>128</v>
      </c>
      <c r="AE13" s="48">
        <v>1</v>
      </c>
      <c r="AF13" s="48">
        <v>1</v>
      </c>
      <c r="AG13" s="48">
        <f t="shared" si="10"/>
        <v>1</v>
      </c>
    </row>
    <row r="14" spans="1:37" s="26" customFormat="1" ht="20.100000000000001" customHeight="1">
      <c r="A14" s="27">
        <v>12</v>
      </c>
      <c r="B14" s="135"/>
      <c r="C14" s="75" t="s">
        <v>147</v>
      </c>
      <c r="D14" s="101">
        <v>7</v>
      </c>
      <c r="E14" s="101">
        <v>47</v>
      </c>
      <c r="F14" s="101">
        <v>15</v>
      </c>
      <c r="G14" s="101">
        <v>103</v>
      </c>
      <c r="H14" s="80" t="s">
        <v>221</v>
      </c>
      <c r="J14" s="48" t="s">
        <v>212</v>
      </c>
      <c r="K14" s="48">
        <v>16</v>
      </c>
      <c r="L14" s="48">
        <v>4</v>
      </c>
      <c r="M14" s="48">
        <f t="shared" ref="M14:M15" si="11">K14*L14</f>
        <v>64</v>
      </c>
      <c r="N14" s="51"/>
      <c r="O14" s="51"/>
      <c r="P14" s="51"/>
      <c r="Q14" s="51"/>
      <c r="R14" s="51"/>
      <c r="S14" s="51"/>
      <c r="T14" s="48" t="s">
        <v>212</v>
      </c>
      <c r="U14" s="48">
        <v>1</v>
      </c>
      <c r="V14" s="48">
        <v>3</v>
      </c>
      <c r="W14" s="48">
        <f t="shared" si="9"/>
        <v>3</v>
      </c>
      <c r="X14" s="51"/>
      <c r="Y14" s="48" t="s">
        <v>228</v>
      </c>
      <c r="Z14" s="48">
        <v>6</v>
      </c>
      <c r="AA14" s="48">
        <v>3</v>
      </c>
      <c r="AB14" s="48">
        <f>Z14*AA14</f>
        <v>18</v>
      </c>
      <c r="AD14" s="36" t="s">
        <v>129</v>
      </c>
      <c r="AE14" s="48">
        <v>1</v>
      </c>
      <c r="AF14" s="48">
        <v>1</v>
      </c>
      <c r="AG14" s="48">
        <f t="shared" si="10"/>
        <v>1</v>
      </c>
    </row>
    <row r="15" spans="1:37" s="26" customFormat="1" ht="20.100000000000001" customHeight="1">
      <c r="A15" s="27">
        <v>13</v>
      </c>
      <c r="B15" s="135"/>
      <c r="C15" s="75" t="s">
        <v>148</v>
      </c>
      <c r="D15" s="101">
        <v>8</v>
      </c>
      <c r="E15" s="101">
        <v>76</v>
      </c>
      <c r="F15" s="101">
        <v>24</v>
      </c>
      <c r="G15" s="101">
        <v>228</v>
      </c>
      <c r="H15" s="80" t="s">
        <v>207</v>
      </c>
      <c r="J15" s="48" t="s">
        <v>177</v>
      </c>
      <c r="K15" s="48">
        <v>16</v>
      </c>
      <c r="L15" s="48">
        <v>4</v>
      </c>
      <c r="M15" s="48">
        <f t="shared" si="11"/>
        <v>64</v>
      </c>
      <c r="N15" s="51"/>
      <c r="O15" s="75" t="s">
        <v>147</v>
      </c>
      <c r="P15" s="75">
        <f>SUM(P16:P22)</f>
        <v>47</v>
      </c>
      <c r="Q15" s="75">
        <f t="shared" ref="Q15:R15" si="12">SUM(Q16:Q22)</f>
        <v>15</v>
      </c>
      <c r="R15" s="75">
        <f t="shared" si="12"/>
        <v>103</v>
      </c>
      <c r="S15" s="51"/>
      <c r="T15" s="48" t="s">
        <v>222</v>
      </c>
      <c r="U15" s="48">
        <v>1</v>
      </c>
      <c r="V15" s="48">
        <v>3</v>
      </c>
      <c r="W15" s="48">
        <f t="shared" si="9"/>
        <v>3</v>
      </c>
      <c r="X15" s="51"/>
      <c r="Y15" s="48" t="s">
        <v>229</v>
      </c>
      <c r="Z15" s="48">
        <v>6</v>
      </c>
      <c r="AA15" s="48">
        <v>3</v>
      </c>
      <c r="AB15" s="48">
        <f t="shared" ref="AB15:AB20" si="13">Z15*AA15</f>
        <v>18</v>
      </c>
      <c r="AD15" s="48" t="s">
        <v>174</v>
      </c>
      <c r="AE15" s="48">
        <v>1</v>
      </c>
      <c r="AF15" s="48">
        <v>1</v>
      </c>
      <c r="AG15" s="48">
        <f t="shared" si="10"/>
        <v>1</v>
      </c>
    </row>
    <row r="16" spans="1:37" s="26" customFormat="1" ht="20.100000000000001" customHeight="1">
      <c r="A16" s="27">
        <v>14</v>
      </c>
      <c r="B16" s="135"/>
      <c r="C16" s="48" t="s">
        <v>48</v>
      </c>
      <c r="D16" s="98" t="s">
        <v>201</v>
      </c>
      <c r="E16" s="98" t="s">
        <v>201</v>
      </c>
      <c r="F16" s="98" t="s">
        <v>201</v>
      </c>
      <c r="G16" s="99">
        <v>1</v>
      </c>
      <c r="H16" s="23" t="s">
        <v>210</v>
      </c>
      <c r="N16" s="51"/>
      <c r="O16" s="48" t="s">
        <v>227</v>
      </c>
      <c r="P16" s="48">
        <v>13</v>
      </c>
      <c r="Q16" s="48">
        <v>3</v>
      </c>
      <c r="R16" s="48">
        <v>27</v>
      </c>
      <c r="S16" s="51"/>
      <c r="T16" s="48" t="s">
        <v>223</v>
      </c>
      <c r="U16" s="48">
        <v>1</v>
      </c>
      <c r="V16" s="48">
        <v>3</v>
      </c>
      <c r="W16" s="48">
        <f t="shared" si="9"/>
        <v>3</v>
      </c>
      <c r="X16" s="51"/>
      <c r="Y16" s="48" t="s">
        <v>230</v>
      </c>
      <c r="Z16" s="48">
        <v>6</v>
      </c>
      <c r="AA16" s="48">
        <v>3</v>
      </c>
      <c r="AB16" s="48">
        <f t="shared" si="13"/>
        <v>18</v>
      </c>
      <c r="AD16" s="48" t="s">
        <v>175</v>
      </c>
      <c r="AE16" s="48">
        <v>1</v>
      </c>
      <c r="AF16" s="48">
        <v>1</v>
      </c>
      <c r="AG16" s="48">
        <f t="shared" si="10"/>
        <v>1</v>
      </c>
    </row>
    <row r="17" spans="1:37" s="26" customFormat="1" ht="20.100000000000001" customHeight="1">
      <c r="A17" s="27">
        <v>15</v>
      </c>
      <c r="B17" s="135"/>
      <c r="C17" s="48" t="s">
        <v>70</v>
      </c>
      <c r="D17" s="98" t="s">
        <v>201</v>
      </c>
      <c r="E17" s="98" t="s">
        <v>201</v>
      </c>
      <c r="F17" s="98" t="s">
        <v>201</v>
      </c>
      <c r="G17" s="99">
        <v>1</v>
      </c>
      <c r="H17" s="23" t="s">
        <v>210</v>
      </c>
      <c r="J17" s="68" t="s">
        <v>143</v>
      </c>
      <c r="K17" s="68">
        <f>SUM(K18:K25)</f>
        <v>119</v>
      </c>
      <c r="L17" s="68">
        <f t="shared" ref="L17" si="14">SUM(L18:L25)</f>
        <v>24</v>
      </c>
      <c r="M17" s="68">
        <f>SUM(M18:M25)</f>
        <v>357</v>
      </c>
      <c r="N17" s="51"/>
      <c r="O17" s="48" t="s">
        <v>228</v>
      </c>
      <c r="P17" s="48">
        <v>10</v>
      </c>
      <c r="Q17" s="48">
        <v>3</v>
      </c>
      <c r="R17" s="48">
        <v>24</v>
      </c>
      <c r="S17" s="51"/>
      <c r="T17" s="48" t="s">
        <v>178</v>
      </c>
      <c r="U17" s="48">
        <v>1</v>
      </c>
      <c r="V17" s="48">
        <v>3</v>
      </c>
      <c r="W17" s="48">
        <f t="shared" si="9"/>
        <v>3</v>
      </c>
      <c r="X17" s="51"/>
      <c r="Y17" s="36" t="s">
        <v>129</v>
      </c>
      <c r="Z17" s="48">
        <v>6</v>
      </c>
      <c r="AA17" s="48">
        <v>3</v>
      </c>
      <c r="AB17" s="48">
        <f t="shared" si="13"/>
        <v>18</v>
      </c>
      <c r="AD17" s="51"/>
      <c r="AE17" s="51"/>
      <c r="AF17" s="51"/>
      <c r="AG17" s="51"/>
    </row>
    <row r="18" spans="1:37" s="26" customFormat="1" ht="20.100000000000001" customHeight="1">
      <c r="A18" s="27">
        <v>16</v>
      </c>
      <c r="B18" s="135"/>
      <c r="C18" s="48" t="s">
        <v>58</v>
      </c>
      <c r="D18" s="98" t="s">
        <v>201</v>
      </c>
      <c r="E18" s="98" t="s">
        <v>201</v>
      </c>
      <c r="F18" s="98" t="s">
        <v>201</v>
      </c>
      <c r="G18" s="99">
        <v>2</v>
      </c>
      <c r="H18" s="23" t="s">
        <v>211</v>
      </c>
      <c r="J18" s="48" t="s">
        <v>125</v>
      </c>
      <c r="K18" s="48">
        <v>17</v>
      </c>
      <c r="L18" s="48">
        <v>3</v>
      </c>
      <c r="M18" s="48">
        <f>K18*L18</f>
        <v>51</v>
      </c>
      <c r="N18" s="51"/>
      <c r="O18" s="48" t="s">
        <v>229</v>
      </c>
      <c r="P18" s="48">
        <v>10</v>
      </c>
      <c r="Q18" s="48">
        <v>3</v>
      </c>
      <c r="R18" s="48">
        <v>24</v>
      </c>
      <c r="S18" s="51"/>
      <c r="T18" s="48" t="s">
        <v>224</v>
      </c>
      <c r="U18" s="48">
        <v>1</v>
      </c>
      <c r="V18" s="48">
        <v>3</v>
      </c>
      <c r="W18" s="48">
        <f t="shared" si="9"/>
        <v>3</v>
      </c>
      <c r="X18" s="79"/>
      <c r="Y18" s="48" t="s">
        <v>231</v>
      </c>
      <c r="Z18" s="48">
        <v>6</v>
      </c>
      <c r="AA18" s="48">
        <v>3</v>
      </c>
      <c r="AB18" s="48">
        <f t="shared" si="13"/>
        <v>18</v>
      </c>
      <c r="AD18" s="52" t="s">
        <v>143</v>
      </c>
      <c r="AE18" s="52">
        <f>SUM(AE19:AE23)</f>
        <v>10</v>
      </c>
      <c r="AF18" s="52">
        <f t="shared" ref="AF18:AG18" si="15">SUM(AF19:AF23)</f>
        <v>6</v>
      </c>
      <c r="AG18" s="52">
        <f t="shared" si="15"/>
        <v>16</v>
      </c>
      <c r="AJ18" s="73"/>
      <c r="AK18" s="73"/>
    </row>
    <row r="19" spans="1:37" s="26" customFormat="1" ht="20.100000000000001" customHeight="1">
      <c r="A19" s="27">
        <v>17</v>
      </c>
      <c r="B19" s="135" t="s">
        <v>111</v>
      </c>
      <c r="C19" s="78" t="s">
        <v>77</v>
      </c>
      <c r="D19" s="102">
        <v>19</v>
      </c>
      <c r="E19" s="102">
        <v>38</v>
      </c>
      <c r="F19" s="102">
        <v>49</v>
      </c>
      <c r="G19" s="102">
        <v>87</v>
      </c>
      <c r="H19" s="81" t="s">
        <v>216</v>
      </c>
      <c r="J19" s="48" t="s">
        <v>126</v>
      </c>
      <c r="K19" s="48">
        <v>6</v>
      </c>
      <c r="L19" s="48">
        <v>3</v>
      </c>
      <c r="M19" s="48">
        <f>K19*L19</f>
        <v>18</v>
      </c>
      <c r="N19" s="51"/>
      <c r="O19" s="48" t="s">
        <v>230</v>
      </c>
      <c r="P19" s="48">
        <v>11</v>
      </c>
      <c r="Q19" s="48">
        <v>3</v>
      </c>
      <c r="R19" s="48">
        <v>25</v>
      </c>
      <c r="S19" s="51"/>
      <c r="T19" s="48" t="s">
        <v>225</v>
      </c>
      <c r="U19" s="48">
        <v>1</v>
      </c>
      <c r="V19" s="48">
        <v>3</v>
      </c>
      <c r="W19" s="48">
        <f t="shared" si="9"/>
        <v>3</v>
      </c>
      <c r="X19" s="79"/>
      <c r="Y19" s="48" t="s">
        <v>232</v>
      </c>
      <c r="Z19" s="48">
        <v>3</v>
      </c>
      <c r="AA19" s="48">
        <v>3</v>
      </c>
      <c r="AB19" s="48">
        <f t="shared" ref="AB19" si="16">Z19*AA19</f>
        <v>9</v>
      </c>
      <c r="AD19" s="48" t="s">
        <v>125</v>
      </c>
      <c r="AE19" s="48">
        <v>6</v>
      </c>
      <c r="AF19" s="48">
        <v>2</v>
      </c>
      <c r="AG19" s="48">
        <f>AE19*AF19</f>
        <v>12</v>
      </c>
      <c r="AJ19" s="73"/>
      <c r="AK19" s="73"/>
    </row>
    <row r="20" spans="1:37" s="26" customFormat="1" ht="20.100000000000001" customHeight="1">
      <c r="A20" s="27">
        <v>18</v>
      </c>
      <c r="B20" s="135"/>
      <c r="C20" s="78" t="s">
        <v>147</v>
      </c>
      <c r="D20" s="102">
        <v>3</v>
      </c>
      <c r="E20" s="102">
        <v>3</v>
      </c>
      <c r="F20" s="102">
        <v>3</v>
      </c>
      <c r="G20" s="102">
        <v>3</v>
      </c>
      <c r="H20" s="81" t="s">
        <v>218</v>
      </c>
      <c r="J20" s="48" t="s">
        <v>127</v>
      </c>
      <c r="K20" s="48">
        <v>14</v>
      </c>
      <c r="L20" s="48">
        <v>3</v>
      </c>
      <c r="M20" s="48">
        <f t="shared" ref="M20:M23" si="17">K20*L20</f>
        <v>42</v>
      </c>
      <c r="N20" s="51"/>
      <c r="O20" s="36" t="s">
        <v>129</v>
      </c>
      <c r="P20" s="48">
        <v>1</v>
      </c>
      <c r="Q20" s="48">
        <v>1</v>
      </c>
      <c r="R20" s="48">
        <f t="shared" ref="R20:R21" si="18">P20*Q20</f>
        <v>1</v>
      </c>
      <c r="S20" s="51"/>
      <c r="T20" s="48" t="s">
        <v>226</v>
      </c>
      <c r="U20" s="48">
        <v>1</v>
      </c>
      <c r="V20" s="48">
        <v>3</v>
      </c>
      <c r="W20" s="48">
        <f t="shared" si="9"/>
        <v>3</v>
      </c>
      <c r="X20" s="79"/>
      <c r="Y20" s="48" t="s">
        <v>233</v>
      </c>
      <c r="Z20" s="48">
        <v>3</v>
      </c>
      <c r="AA20" s="48">
        <v>3</v>
      </c>
      <c r="AB20" s="48">
        <f t="shared" si="13"/>
        <v>9</v>
      </c>
      <c r="AD20" s="48" t="s">
        <v>126</v>
      </c>
      <c r="AE20" s="48">
        <v>1</v>
      </c>
      <c r="AF20" s="48">
        <v>1</v>
      </c>
      <c r="AG20" s="48">
        <f>AE20*AF20</f>
        <v>1</v>
      </c>
      <c r="AJ20" s="73"/>
      <c r="AK20" s="73"/>
    </row>
    <row r="21" spans="1:37" s="26" customFormat="1" ht="20.100000000000001" customHeight="1">
      <c r="A21" s="27">
        <v>19</v>
      </c>
      <c r="B21" s="135"/>
      <c r="C21" s="78" t="s">
        <v>117</v>
      </c>
      <c r="D21" s="102">
        <v>2</v>
      </c>
      <c r="E21" s="102">
        <v>2</v>
      </c>
      <c r="F21" s="102">
        <v>2</v>
      </c>
      <c r="G21" s="102">
        <v>2</v>
      </c>
      <c r="H21" s="81" t="s">
        <v>205</v>
      </c>
      <c r="J21" s="48" t="s">
        <v>128</v>
      </c>
      <c r="K21" s="48">
        <v>14</v>
      </c>
      <c r="L21" s="48">
        <v>3</v>
      </c>
      <c r="M21" s="48">
        <f t="shared" si="17"/>
        <v>42</v>
      </c>
      <c r="N21" s="51"/>
      <c r="O21" s="48" t="s">
        <v>231</v>
      </c>
      <c r="P21" s="48">
        <v>1</v>
      </c>
      <c r="Q21" s="48">
        <v>1</v>
      </c>
      <c r="R21" s="48">
        <f t="shared" si="18"/>
        <v>1</v>
      </c>
      <c r="S21" s="51"/>
      <c r="T21" s="48" t="s">
        <v>179</v>
      </c>
      <c r="U21" s="48">
        <v>1</v>
      </c>
      <c r="V21" s="48">
        <v>3</v>
      </c>
      <c r="W21" s="48">
        <f t="shared" si="9"/>
        <v>3</v>
      </c>
      <c r="X21" s="79"/>
      <c r="Y21" s="48" t="s">
        <v>202</v>
      </c>
      <c r="Z21" s="48">
        <v>10</v>
      </c>
      <c r="AA21" s="48">
        <v>4</v>
      </c>
      <c r="AB21" s="48">
        <v>41</v>
      </c>
      <c r="AD21" s="48" t="s">
        <v>127</v>
      </c>
      <c r="AE21" s="48">
        <v>1</v>
      </c>
      <c r="AF21" s="48">
        <v>1</v>
      </c>
      <c r="AG21" s="48">
        <f t="shared" ref="AG21:AG23" si="19">AE21*AF21</f>
        <v>1</v>
      </c>
      <c r="AJ21" s="73"/>
      <c r="AK21" s="73"/>
    </row>
    <row r="22" spans="1:37" s="26" customFormat="1" ht="20.100000000000001" customHeight="1">
      <c r="A22" s="27">
        <v>20</v>
      </c>
      <c r="B22" s="135"/>
      <c r="C22" s="78" t="s">
        <v>130</v>
      </c>
      <c r="D22" s="102">
        <v>2</v>
      </c>
      <c r="E22" s="102">
        <v>12</v>
      </c>
      <c r="F22" s="102">
        <v>7</v>
      </c>
      <c r="G22" s="102">
        <v>34</v>
      </c>
      <c r="H22" s="81" t="s">
        <v>220</v>
      </c>
      <c r="J22" s="36" t="s">
        <v>129</v>
      </c>
      <c r="K22" s="48">
        <v>4</v>
      </c>
      <c r="L22" s="48">
        <v>3</v>
      </c>
      <c r="M22" s="48">
        <f t="shared" si="17"/>
        <v>12</v>
      </c>
      <c r="N22" s="51"/>
      <c r="O22" s="48" t="s">
        <v>232</v>
      </c>
      <c r="P22" s="48">
        <v>1</v>
      </c>
      <c r="Q22" s="48">
        <v>1</v>
      </c>
      <c r="R22" s="48">
        <f>P22*Q22</f>
        <v>1</v>
      </c>
      <c r="S22" s="51"/>
      <c r="T22" s="48" t="s">
        <v>180</v>
      </c>
      <c r="U22" s="48">
        <v>1</v>
      </c>
      <c r="V22" s="48">
        <v>1</v>
      </c>
      <c r="W22" s="48">
        <f t="shared" si="9"/>
        <v>1</v>
      </c>
      <c r="X22" s="79"/>
      <c r="Y22" s="48" t="s">
        <v>203</v>
      </c>
      <c r="Z22" s="48">
        <v>1</v>
      </c>
      <c r="AA22" s="48">
        <v>1</v>
      </c>
      <c r="AB22" s="48">
        <v>1</v>
      </c>
      <c r="AD22" s="48" t="s">
        <v>128</v>
      </c>
      <c r="AE22" s="48">
        <v>1</v>
      </c>
      <c r="AF22" s="48">
        <v>1</v>
      </c>
      <c r="AG22" s="48">
        <f t="shared" si="19"/>
        <v>1</v>
      </c>
      <c r="AJ22" s="73"/>
      <c r="AK22" s="73"/>
    </row>
    <row r="23" spans="1:37" s="26" customFormat="1" ht="20.100000000000001" customHeight="1">
      <c r="A23" s="27">
        <v>21</v>
      </c>
      <c r="B23" s="135"/>
      <c r="C23" s="48" t="s">
        <v>48</v>
      </c>
      <c r="D23" s="98" t="s">
        <v>201</v>
      </c>
      <c r="E23" s="98" t="s">
        <v>201</v>
      </c>
      <c r="F23" s="98" t="s">
        <v>201</v>
      </c>
      <c r="G23" s="99">
        <v>1</v>
      </c>
      <c r="H23" s="23" t="s">
        <v>210</v>
      </c>
      <c r="J23" s="48" t="s">
        <v>174</v>
      </c>
      <c r="K23" s="48">
        <v>20</v>
      </c>
      <c r="L23" s="48">
        <v>3</v>
      </c>
      <c r="M23" s="48">
        <f t="shared" si="17"/>
        <v>60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79"/>
      <c r="Y23" s="48" t="s">
        <v>212</v>
      </c>
      <c r="Z23" s="48">
        <v>1</v>
      </c>
      <c r="AA23" s="48">
        <v>1</v>
      </c>
      <c r="AB23" s="48">
        <v>1</v>
      </c>
      <c r="AD23" s="36" t="s">
        <v>129</v>
      </c>
      <c r="AE23" s="48">
        <v>1</v>
      </c>
      <c r="AF23" s="48">
        <v>1</v>
      </c>
      <c r="AG23" s="48">
        <f t="shared" si="19"/>
        <v>1</v>
      </c>
      <c r="AJ23" s="73"/>
      <c r="AK23" s="73"/>
    </row>
    <row r="24" spans="1:37" s="26" customFormat="1" ht="20.100000000000001" customHeight="1">
      <c r="A24" s="27">
        <v>22</v>
      </c>
      <c r="B24" s="135"/>
      <c r="C24" s="48" t="s">
        <v>70</v>
      </c>
      <c r="D24" s="98" t="s">
        <v>201</v>
      </c>
      <c r="E24" s="98" t="s">
        <v>201</v>
      </c>
      <c r="F24" s="98" t="s">
        <v>201</v>
      </c>
      <c r="G24" s="99">
        <v>1</v>
      </c>
      <c r="H24" s="23" t="s">
        <v>210</v>
      </c>
      <c r="J24" s="48" t="s">
        <v>175</v>
      </c>
      <c r="K24" s="48">
        <v>22</v>
      </c>
      <c r="L24" s="48">
        <v>3</v>
      </c>
      <c r="M24" s="48">
        <f>K24*L24</f>
        <v>66</v>
      </c>
      <c r="N24" s="51"/>
      <c r="O24" s="75" t="s">
        <v>148</v>
      </c>
      <c r="P24" s="75">
        <f>SUM(P25:P32)</f>
        <v>76</v>
      </c>
      <c r="Q24" s="75">
        <f t="shared" ref="Q24:R24" si="20">SUM(Q25:Q32)</f>
        <v>24</v>
      </c>
      <c r="R24" s="75">
        <f t="shared" si="20"/>
        <v>228</v>
      </c>
      <c r="S24" s="51"/>
      <c r="T24" s="78" t="s">
        <v>130</v>
      </c>
      <c r="U24" s="78">
        <f>SUM(U25:U26)</f>
        <v>12</v>
      </c>
      <c r="V24" s="78">
        <f t="shared" ref="V24:W24" si="21">SUM(V25:V26)</f>
        <v>7</v>
      </c>
      <c r="W24" s="78">
        <f t="shared" si="21"/>
        <v>34</v>
      </c>
      <c r="X24" s="79"/>
      <c r="Y24" s="48" t="s">
        <v>222</v>
      </c>
      <c r="Z24" s="48">
        <v>1</v>
      </c>
      <c r="AA24" s="48">
        <v>1</v>
      </c>
      <c r="AB24" s="48">
        <v>1</v>
      </c>
      <c r="AJ24" s="73"/>
      <c r="AK24" s="73"/>
    </row>
    <row r="25" spans="1:37" s="26" customFormat="1" ht="20.100000000000001" customHeight="1">
      <c r="A25" s="27">
        <v>23</v>
      </c>
      <c r="B25" s="135"/>
      <c r="C25" s="48" t="s">
        <v>58</v>
      </c>
      <c r="D25" s="98" t="s">
        <v>201</v>
      </c>
      <c r="E25" s="98" t="s">
        <v>201</v>
      </c>
      <c r="F25" s="98" t="s">
        <v>201</v>
      </c>
      <c r="G25" s="99">
        <v>2</v>
      </c>
      <c r="H25" s="23" t="s">
        <v>211</v>
      </c>
      <c r="J25" s="48" t="s">
        <v>176</v>
      </c>
      <c r="K25" s="48">
        <v>22</v>
      </c>
      <c r="L25" s="48">
        <v>3</v>
      </c>
      <c r="M25" s="48">
        <f>K25*L25</f>
        <v>66</v>
      </c>
      <c r="N25" s="51"/>
      <c r="O25" s="48" t="s">
        <v>227</v>
      </c>
      <c r="P25" s="48">
        <v>10</v>
      </c>
      <c r="Q25" s="48">
        <v>3</v>
      </c>
      <c r="R25" s="48">
        <f>P25*Q25</f>
        <v>30</v>
      </c>
      <c r="S25" s="51"/>
      <c r="T25" s="48" t="s">
        <v>227</v>
      </c>
      <c r="U25" s="48">
        <v>6</v>
      </c>
      <c r="V25" s="48">
        <v>4</v>
      </c>
      <c r="W25" s="48">
        <v>18</v>
      </c>
      <c r="X25" s="51"/>
      <c r="Y25" s="48" t="s">
        <v>223</v>
      </c>
      <c r="Z25" s="48">
        <v>1</v>
      </c>
      <c r="AA25" s="48">
        <v>1</v>
      </c>
      <c r="AB25" s="48">
        <v>1</v>
      </c>
      <c r="AD25" s="52" t="s">
        <v>240</v>
      </c>
      <c r="AE25" s="52">
        <f>SUM(AE26:AE28)</f>
        <v>21</v>
      </c>
      <c r="AF25" s="52">
        <f t="shared" ref="AF25:AG25" si="22">SUM(AF26:AF28)</f>
        <v>6</v>
      </c>
      <c r="AG25" s="52">
        <f t="shared" si="22"/>
        <v>42</v>
      </c>
      <c r="AJ25" s="73"/>
      <c r="AK25" s="73"/>
    </row>
    <row r="26" spans="1:37" s="26" customFormat="1" ht="20.100000000000001" customHeight="1">
      <c r="A26" s="27">
        <v>24</v>
      </c>
      <c r="B26" s="135" t="s">
        <v>112</v>
      </c>
      <c r="C26" s="70" t="s">
        <v>190</v>
      </c>
      <c r="D26" s="99">
        <v>7</v>
      </c>
      <c r="E26" s="99">
        <v>58</v>
      </c>
      <c r="F26" s="99">
        <v>28</v>
      </c>
      <c r="G26" s="99">
        <v>232</v>
      </c>
      <c r="H26" s="70" t="s">
        <v>207</v>
      </c>
      <c r="J26" s="51"/>
      <c r="K26" s="51"/>
      <c r="L26" s="51"/>
      <c r="M26" s="51"/>
      <c r="N26" s="51"/>
      <c r="O26" s="48" t="s">
        <v>228</v>
      </c>
      <c r="P26" s="48">
        <v>10</v>
      </c>
      <c r="Q26" s="48">
        <v>3</v>
      </c>
      <c r="R26" s="48">
        <f>P26*Q26</f>
        <v>30</v>
      </c>
      <c r="S26" s="51"/>
      <c r="T26" s="48" t="s">
        <v>228</v>
      </c>
      <c r="U26" s="48">
        <v>6</v>
      </c>
      <c r="V26" s="48">
        <v>3</v>
      </c>
      <c r="W26" s="48">
        <v>16</v>
      </c>
      <c r="X26" s="51"/>
      <c r="Y26" s="48" t="s">
        <v>178</v>
      </c>
      <c r="Z26" s="48">
        <v>1</v>
      </c>
      <c r="AA26" s="48">
        <v>1</v>
      </c>
      <c r="AB26" s="48">
        <v>1</v>
      </c>
      <c r="AD26" s="48" t="s">
        <v>125</v>
      </c>
      <c r="AE26" s="48">
        <v>6</v>
      </c>
      <c r="AF26" s="48">
        <v>2</v>
      </c>
      <c r="AG26" s="48">
        <f>AE26*AF26</f>
        <v>12</v>
      </c>
      <c r="AJ26" s="73"/>
      <c r="AK26" s="73"/>
    </row>
    <row r="27" spans="1:37" s="26" customFormat="1" ht="20.100000000000001" customHeight="1">
      <c r="A27" s="27">
        <v>25</v>
      </c>
      <c r="B27" s="135"/>
      <c r="C27" s="70" t="s">
        <v>192</v>
      </c>
      <c r="D27" s="99">
        <v>6</v>
      </c>
      <c r="E27" s="99">
        <v>40</v>
      </c>
      <c r="F27" s="99">
        <v>18</v>
      </c>
      <c r="G27" s="99">
        <v>120</v>
      </c>
      <c r="H27" s="70" t="s">
        <v>207</v>
      </c>
      <c r="J27" s="68" t="s">
        <v>144</v>
      </c>
      <c r="K27" s="68">
        <f>SUM(K28:K37)</f>
        <v>149</v>
      </c>
      <c r="L27" s="68">
        <f t="shared" ref="L27:M27" si="23">SUM(L28:L37)</f>
        <v>30</v>
      </c>
      <c r="M27" s="68">
        <f t="shared" si="23"/>
        <v>447</v>
      </c>
      <c r="N27" s="51"/>
      <c r="O27" s="48" t="s">
        <v>229</v>
      </c>
      <c r="P27" s="48">
        <v>10</v>
      </c>
      <c r="Q27" s="48">
        <v>3</v>
      </c>
      <c r="R27" s="48">
        <f t="shared" ref="R27:R30" si="24">P27*Q27</f>
        <v>30</v>
      </c>
      <c r="S27" s="51"/>
      <c r="T27" s="51"/>
      <c r="U27" s="51"/>
      <c r="V27" s="51"/>
      <c r="W27" s="51"/>
      <c r="X27" s="51"/>
      <c r="Y27" s="48" t="s">
        <v>224</v>
      </c>
      <c r="Z27" s="48">
        <v>1</v>
      </c>
      <c r="AA27" s="48">
        <v>1</v>
      </c>
      <c r="AB27" s="48">
        <v>1</v>
      </c>
      <c r="AD27" s="48" t="s">
        <v>126</v>
      </c>
      <c r="AE27" s="48">
        <v>9</v>
      </c>
      <c r="AF27" s="48">
        <v>2</v>
      </c>
      <c r="AG27" s="48">
        <f>AE27*AF27</f>
        <v>18</v>
      </c>
      <c r="AJ27" s="73"/>
      <c r="AK27" s="73"/>
    </row>
    <row r="28" spans="1:37" s="26" customFormat="1" ht="20.100000000000001" customHeight="1">
      <c r="A28" s="27">
        <v>26</v>
      </c>
      <c r="B28" s="135"/>
      <c r="C28" s="70" t="s">
        <v>193</v>
      </c>
      <c r="D28" s="99">
        <v>6</v>
      </c>
      <c r="E28" s="99">
        <v>40</v>
      </c>
      <c r="F28" s="99">
        <v>18</v>
      </c>
      <c r="G28" s="99">
        <v>120</v>
      </c>
      <c r="H28" s="70" t="s">
        <v>207</v>
      </c>
      <c r="J28" s="48" t="s">
        <v>125</v>
      </c>
      <c r="K28" s="48">
        <v>24</v>
      </c>
      <c r="L28" s="48">
        <v>3</v>
      </c>
      <c r="M28" s="48">
        <f>K28*L28</f>
        <v>72</v>
      </c>
      <c r="N28" s="51"/>
      <c r="O28" s="48" t="s">
        <v>230</v>
      </c>
      <c r="P28" s="48">
        <v>10</v>
      </c>
      <c r="Q28" s="48">
        <v>3</v>
      </c>
      <c r="R28" s="48">
        <f t="shared" si="24"/>
        <v>30</v>
      </c>
      <c r="S28" s="51"/>
      <c r="T28" s="51"/>
      <c r="U28" s="51"/>
      <c r="V28" s="51"/>
      <c r="W28" s="51"/>
      <c r="X28" s="51"/>
      <c r="Y28" s="48" t="s">
        <v>225</v>
      </c>
      <c r="Z28" s="48">
        <v>1</v>
      </c>
      <c r="AA28" s="48">
        <v>1</v>
      </c>
      <c r="AB28" s="48">
        <v>1</v>
      </c>
      <c r="AD28" s="48" t="s">
        <v>127</v>
      </c>
      <c r="AE28" s="48">
        <v>6</v>
      </c>
      <c r="AF28" s="48">
        <v>2</v>
      </c>
      <c r="AG28" s="48">
        <f t="shared" ref="AG28" si="25">AE28*AF28</f>
        <v>12</v>
      </c>
      <c r="AJ28" s="73"/>
      <c r="AK28" s="73"/>
    </row>
    <row r="29" spans="1:37" s="26" customFormat="1" ht="20.100000000000001" customHeight="1">
      <c r="A29" s="27">
        <v>27</v>
      </c>
      <c r="B29" s="135"/>
      <c r="C29" s="70" t="s">
        <v>194</v>
      </c>
      <c r="D29" s="99">
        <v>17</v>
      </c>
      <c r="E29" s="99">
        <v>64</v>
      </c>
      <c r="F29" s="99">
        <v>36</v>
      </c>
      <c r="G29" s="99">
        <v>187</v>
      </c>
      <c r="H29" s="70" t="s">
        <v>215</v>
      </c>
      <c r="J29" s="48" t="s">
        <v>126</v>
      </c>
      <c r="K29" s="48">
        <v>4</v>
      </c>
      <c r="L29" s="48">
        <v>3</v>
      </c>
      <c r="M29" s="48">
        <f>K29*L29</f>
        <v>12</v>
      </c>
      <c r="N29" s="51"/>
      <c r="O29" s="36" t="s">
        <v>129</v>
      </c>
      <c r="P29" s="48">
        <v>10</v>
      </c>
      <c r="Q29" s="48">
        <v>3</v>
      </c>
      <c r="R29" s="48">
        <f t="shared" si="24"/>
        <v>30</v>
      </c>
      <c r="S29" s="51"/>
      <c r="T29" s="51"/>
      <c r="U29" s="51"/>
      <c r="V29" s="51"/>
      <c r="W29" s="51"/>
      <c r="X29" s="79"/>
      <c r="Y29" s="48" t="s">
        <v>226</v>
      </c>
      <c r="Z29" s="48">
        <v>1</v>
      </c>
      <c r="AA29" s="48">
        <v>1</v>
      </c>
      <c r="AB29" s="48">
        <v>1</v>
      </c>
      <c r="AJ29" s="73"/>
      <c r="AK29" s="73"/>
    </row>
    <row r="30" spans="1:37" s="26" customFormat="1" ht="20.100000000000001" customHeight="1">
      <c r="A30" s="27">
        <v>28</v>
      </c>
      <c r="B30" s="135"/>
      <c r="C30" s="48" t="s">
        <v>48</v>
      </c>
      <c r="D30" s="98" t="s">
        <v>201</v>
      </c>
      <c r="E30" s="98" t="s">
        <v>201</v>
      </c>
      <c r="F30" s="98" t="s">
        <v>201</v>
      </c>
      <c r="G30" s="99">
        <v>1</v>
      </c>
      <c r="H30" s="23" t="s">
        <v>210</v>
      </c>
      <c r="J30" s="48" t="s">
        <v>127</v>
      </c>
      <c r="K30" s="48">
        <v>14</v>
      </c>
      <c r="L30" s="48">
        <v>3</v>
      </c>
      <c r="M30" s="48">
        <f t="shared" ref="M30:M33" si="26">K30*L30</f>
        <v>42</v>
      </c>
      <c r="N30" s="51"/>
      <c r="O30" s="48" t="s">
        <v>231</v>
      </c>
      <c r="P30" s="48">
        <v>10</v>
      </c>
      <c r="Q30" s="48">
        <v>3</v>
      </c>
      <c r="R30" s="48">
        <f t="shared" si="24"/>
        <v>30</v>
      </c>
      <c r="S30" s="51"/>
      <c r="T30" s="51"/>
      <c r="U30" s="51"/>
      <c r="V30" s="51"/>
      <c r="W30" s="51"/>
      <c r="X30" s="79"/>
      <c r="Y30" s="79"/>
      <c r="Z30" s="51"/>
      <c r="AD30" s="52" t="s">
        <v>241</v>
      </c>
      <c r="AE30" s="52">
        <f>SUM(AE31:AE36)</f>
        <v>48</v>
      </c>
      <c r="AF30" s="52">
        <f>SUM(AF31:AF36)</f>
        <v>24</v>
      </c>
      <c r="AG30" s="52">
        <f>SUM(AG31:AG36)</f>
        <v>192</v>
      </c>
      <c r="AJ30" s="73"/>
      <c r="AK30" s="73"/>
    </row>
    <row r="31" spans="1:37" s="26" customFormat="1" ht="20.100000000000001" customHeight="1">
      <c r="A31" s="27">
        <v>29</v>
      </c>
      <c r="B31" s="135"/>
      <c r="C31" s="48" t="s">
        <v>70</v>
      </c>
      <c r="D31" s="98" t="s">
        <v>201</v>
      </c>
      <c r="E31" s="98" t="s">
        <v>201</v>
      </c>
      <c r="F31" s="98" t="s">
        <v>201</v>
      </c>
      <c r="G31" s="99">
        <v>1</v>
      </c>
      <c r="H31" s="23" t="s">
        <v>210</v>
      </c>
      <c r="J31" s="48" t="s">
        <v>128</v>
      </c>
      <c r="K31" s="48">
        <v>14</v>
      </c>
      <c r="L31" s="48">
        <v>3</v>
      </c>
      <c r="M31" s="48">
        <f t="shared" si="26"/>
        <v>42</v>
      </c>
      <c r="N31" s="51"/>
      <c r="O31" s="48" t="s">
        <v>232</v>
      </c>
      <c r="P31" s="48">
        <v>8</v>
      </c>
      <c r="Q31" s="48">
        <v>3</v>
      </c>
      <c r="R31" s="48">
        <f>P31*Q31</f>
        <v>24</v>
      </c>
      <c r="S31" s="51"/>
      <c r="T31" s="51"/>
      <c r="U31" s="51"/>
      <c r="V31" s="51"/>
      <c r="W31" s="51"/>
      <c r="X31" s="79"/>
      <c r="Y31" s="70" t="s">
        <v>143</v>
      </c>
      <c r="Z31" s="70">
        <f>SUM(Z32:Z37)</f>
        <v>40</v>
      </c>
      <c r="AA31" s="70">
        <f t="shared" ref="AA31:AB31" si="27">SUM(AA32:AA37)</f>
        <v>18</v>
      </c>
      <c r="AB31" s="70">
        <f t="shared" si="27"/>
        <v>120</v>
      </c>
      <c r="AD31" s="48" t="s">
        <v>125</v>
      </c>
      <c r="AE31" s="48">
        <v>8</v>
      </c>
      <c r="AF31" s="48">
        <v>4</v>
      </c>
      <c r="AG31" s="48">
        <f>AE31*AF31</f>
        <v>32</v>
      </c>
      <c r="AJ31" s="73"/>
      <c r="AK31" s="73"/>
    </row>
    <row r="32" spans="1:37" s="26" customFormat="1" ht="20.100000000000001" customHeight="1">
      <c r="A32" s="27">
        <v>30</v>
      </c>
      <c r="B32" s="135"/>
      <c r="C32" s="48" t="s">
        <v>58</v>
      </c>
      <c r="D32" s="98" t="s">
        <v>201</v>
      </c>
      <c r="E32" s="98" t="s">
        <v>201</v>
      </c>
      <c r="F32" s="98" t="s">
        <v>201</v>
      </c>
      <c r="G32" s="99">
        <v>2</v>
      </c>
      <c r="H32" s="23" t="s">
        <v>211</v>
      </c>
      <c r="J32" s="36" t="s">
        <v>129</v>
      </c>
      <c r="K32" s="48">
        <v>4</v>
      </c>
      <c r="L32" s="48">
        <v>3</v>
      </c>
      <c r="M32" s="48">
        <f t="shared" si="26"/>
        <v>12</v>
      </c>
      <c r="N32" s="51"/>
      <c r="O32" s="48" t="s">
        <v>233</v>
      </c>
      <c r="P32" s="48">
        <v>8</v>
      </c>
      <c r="Q32" s="48">
        <v>3</v>
      </c>
      <c r="R32" s="48">
        <f>P32*Q32</f>
        <v>24</v>
      </c>
      <c r="S32" s="51"/>
      <c r="T32" s="51"/>
      <c r="U32" s="51"/>
      <c r="V32" s="51"/>
      <c r="W32" s="51"/>
      <c r="X32" s="79"/>
      <c r="Y32" s="48" t="s">
        <v>227</v>
      </c>
      <c r="Z32" s="48">
        <v>9</v>
      </c>
      <c r="AA32" s="48">
        <v>3</v>
      </c>
      <c r="AB32" s="48">
        <f>Z32*AA32</f>
        <v>27</v>
      </c>
      <c r="AD32" s="48" t="s">
        <v>126</v>
      </c>
      <c r="AE32" s="48">
        <v>8</v>
      </c>
      <c r="AF32" s="48">
        <v>4</v>
      </c>
      <c r="AG32" s="48">
        <f>AE32*AF32</f>
        <v>32</v>
      </c>
      <c r="AJ32" s="73"/>
      <c r="AK32" s="73"/>
    </row>
    <row r="33" spans="1:37" s="26" customFormat="1" ht="20.100000000000001" customHeight="1">
      <c r="A33" s="27">
        <v>31</v>
      </c>
      <c r="B33" s="135" t="s">
        <v>113</v>
      </c>
      <c r="C33" s="52" t="s">
        <v>151</v>
      </c>
      <c r="D33" s="99">
        <v>3</v>
      </c>
      <c r="E33" s="99">
        <v>21</v>
      </c>
      <c r="F33" s="99">
        <v>6</v>
      </c>
      <c r="G33" s="99">
        <v>42</v>
      </c>
      <c r="H33" s="83" t="s">
        <v>247</v>
      </c>
      <c r="J33" s="48" t="s">
        <v>174</v>
      </c>
      <c r="K33" s="48">
        <v>17</v>
      </c>
      <c r="L33" s="48">
        <v>3</v>
      </c>
      <c r="M33" s="48">
        <f t="shared" si="26"/>
        <v>51</v>
      </c>
      <c r="N33" s="51"/>
      <c r="O33" s="51"/>
      <c r="P33" s="51"/>
      <c r="Q33" s="51"/>
      <c r="R33" s="51"/>
      <c r="S33" s="51"/>
      <c r="T33" s="51"/>
      <c r="U33" s="51" t="s">
        <v>46</v>
      </c>
      <c r="V33" s="51"/>
      <c r="W33" s="51"/>
      <c r="X33" s="79"/>
      <c r="Y33" s="48" t="s">
        <v>228</v>
      </c>
      <c r="Z33" s="48">
        <v>3</v>
      </c>
      <c r="AA33" s="48">
        <v>3</v>
      </c>
      <c r="AB33" s="48">
        <f>Z33*AA33</f>
        <v>9</v>
      </c>
      <c r="AD33" s="48" t="s">
        <v>127</v>
      </c>
      <c r="AE33" s="48">
        <v>8</v>
      </c>
      <c r="AF33" s="48">
        <v>4</v>
      </c>
      <c r="AG33" s="48">
        <f t="shared" ref="AG33:AG36" si="28">AE33*AF33</f>
        <v>32</v>
      </c>
      <c r="AJ33" s="73"/>
      <c r="AK33" s="73"/>
    </row>
    <row r="34" spans="1:37" s="26" customFormat="1" ht="20.100000000000001" customHeight="1">
      <c r="A34" s="27">
        <v>32</v>
      </c>
      <c r="B34" s="135"/>
      <c r="C34" s="52" t="s">
        <v>152</v>
      </c>
      <c r="D34" s="99">
        <v>6</v>
      </c>
      <c r="E34" s="99">
        <v>48</v>
      </c>
      <c r="F34" s="99">
        <v>24</v>
      </c>
      <c r="G34" s="99">
        <v>192</v>
      </c>
      <c r="H34" s="83" t="s">
        <v>246</v>
      </c>
      <c r="J34" s="48" t="s">
        <v>175</v>
      </c>
      <c r="K34" s="48">
        <v>18</v>
      </c>
      <c r="L34" s="48">
        <v>3</v>
      </c>
      <c r="M34" s="48">
        <f>K34*L34</f>
        <v>54</v>
      </c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79"/>
      <c r="Y34" s="48" t="s">
        <v>229</v>
      </c>
      <c r="Z34" s="48">
        <v>8</v>
      </c>
      <c r="AA34" s="48">
        <v>3</v>
      </c>
      <c r="AB34" s="48">
        <f t="shared" ref="AB34:AB37" si="29">Z34*AA34</f>
        <v>24</v>
      </c>
      <c r="AD34" s="48" t="s">
        <v>128</v>
      </c>
      <c r="AE34" s="48">
        <v>8</v>
      </c>
      <c r="AF34" s="48">
        <v>4</v>
      </c>
      <c r="AG34" s="48">
        <f t="shared" si="28"/>
        <v>32</v>
      </c>
      <c r="AJ34" s="73"/>
      <c r="AK34" s="73"/>
    </row>
    <row r="35" spans="1:37" s="26" customFormat="1" ht="20.100000000000001" customHeight="1">
      <c r="A35" s="27">
        <v>33</v>
      </c>
      <c r="B35" s="135"/>
      <c r="C35" s="52" t="s">
        <v>153</v>
      </c>
      <c r="D35" s="99">
        <v>5</v>
      </c>
      <c r="E35" s="99">
        <v>30</v>
      </c>
      <c r="F35" s="99">
        <v>15</v>
      </c>
      <c r="G35" s="99">
        <v>90</v>
      </c>
      <c r="H35" s="83" t="s">
        <v>245</v>
      </c>
      <c r="J35" s="48" t="s">
        <v>176</v>
      </c>
      <c r="K35" s="48">
        <v>18</v>
      </c>
      <c r="L35" s="48">
        <v>3</v>
      </c>
      <c r="M35" s="48">
        <f>K35*L35</f>
        <v>54</v>
      </c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79"/>
      <c r="Y35" s="48" t="s">
        <v>230</v>
      </c>
      <c r="Z35" s="48">
        <v>8</v>
      </c>
      <c r="AA35" s="48">
        <v>3</v>
      </c>
      <c r="AB35" s="48">
        <f t="shared" si="29"/>
        <v>24</v>
      </c>
      <c r="AD35" s="36" t="s">
        <v>129</v>
      </c>
      <c r="AE35" s="48">
        <v>8</v>
      </c>
      <c r="AF35" s="48">
        <v>4</v>
      </c>
      <c r="AG35" s="48">
        <f t="shared" si="28"/>
        <v>32</v>
      </c>
      <c r="AJ35" s="73"/>
      <c r="AK35" s="73"/>
    </row>
    <row r="36" spans="1:37" s="26" customFormat="1" ht="20.100000000000001" customHeight="1">
      <c r="A36" s="27">
        <v>34</v>
      </c>
      <c r="B36" s="135"/>
      <c r="C36" s="52" t="s">
        <v>154</v>
      </c>
      <c r="D36" s="99">
        <v>5</v>
      </c>
      <c r="E36" s="99">
        <v>10</v>
      </c>
      <c r="F36" s="99">
        <v>6</v>
      </c>
      <c r="G36" s="99">
        <v>16</v>
      </c>
      <c r="H36" s="52" t="s">
        <v>243</v>
      </c>
      <c r="J36" s="48" t="s">
        <v>181</v>
      </c>
      <c r="K36" s="48">
        <v>18</v>
      </c>
      <c r="L36" s="48">
        <v>3</v>
      </c>
      <c r="M36" s="48">
        <f>K36*L36</f>
        <v>54</v>
      </c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79"/>
      <c r="Y36" s="36" t="s">
        <v>129</v>
      </c>
      <c r="Z36" s="48">
        <v>3</v>
      </c>
      <c r="AA36" s="48">
        <v>3</v>
      </c>
      <c r="AB36" s="48">
        <f t="shared" si="29"/>
        <v>9</v>
      </c>
      <c r="AD36" s="48" t="s">
        <v>174</v>
      </c>
      <c r="AE36" s="48">
        <v>8</v>
      </c>
      <c r="AF36" s="48">
        <v>4</v>
      </c>
      <c r="AG36" s="48">
        <f t="shared" si="28"/>
        <v>32</v>
      </c>
      <c r="AJ36" s="73"/>
      <c r="AK36" s="73"/>
    </row>
    <row r="37" spans="1:37" s="26" customFormat="1" ht="20.100000000000001" customHeight="1">
      <c r="A37" s="27">
        <v>35</v>
      </c>
      <c r="B37" s="135"/>
      <c r="C37" s="52" t="s">
        <v>155</v>
      </c>
      <c r="D37" s="99">
        <v>4</v>
      </c>
      <c r="E37" s="99">
        <v>9</v>
      </c>
      <c r="F37" s="99">
        <v>7</v>
      </c>
      <c r="G37" s="99">
        <v>20</v>
      </c>
      <c r="H37" s="52" t="s">
        <v>215</v>
      </c>
      <c r="J37" s="48" t="s">
        <v>203</v>
      </c>
      <c r="K37" s="48">
        <v>18</v>
      </c>
      <c r="L37" s="48">
        <v>3</v>
      </c>
      <c r="M37" s="48">
        <f>K37*L37</f>
        <v>54</v>
      </c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79"/>
      <c r="Y37" s="48" t="s">
        <v>231</v>
      </c>
      <c r="Z37" s="48">
        <v>9</v>
      </c>
      <c r="AA37" s="48">
        <v>3</v>
      </c>
      <c r="AB37" s="48">
        <f t="shared" si="29"/>
        <v>27</v>
      </c>
      <c r="AJ37" s="73"/>
      <c r="AK37" s="73"/>
    </row>
    <row r="38" spans="1:37" s="26" customFormat="1" ht="20.100000000000001" customHeight="1">
      <c r="A38" s="27">
        <v>36</v>
      </c>
      <c r="B38" s="135"/>
      <c r="C38" s="52" t="s">
        <v>156</v>
      </c>
      <c r="D38" s="99">
        <v>7</v>
      </c>
      <c r="E38" s="99">
        <v>9</v>
      </c>
      <c r="F38" s="99">
        <v>8</v>
      </c>
      <c r="G38" s="99">
        <v>12</v>
      </c>
      <c r="H38" s="52" t="s">
        <v>215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79"/>
      <c r="Y38" s="51"/>
      <c r="Z38" s="51"/>
      <c r="AA38" s="51"/>
      <c r="AB38" s="51"/>
      <c r="AJ38" s="73"/>
      <c r="AK38" s="73"/>
    </row>
    <row r="39" spans="1:37" s="26" customFormat="1" ht="20.100000000000001" customHeight="1">
      <c r="A39" s="27">
        <v>37</v>
      </c>
      <c r="B39" s="135"/>
      <c r="C39" s="48" t="s">
        <v>48</v>
      </c>
      <c r="D39" s="98" t="s">
        <v>201</v>
      </c>
      <c r="E39" s="98" t="s">
        <v>201</v>
      </c>
      <c r="F39" s="98" t="s">
        <v>201</v>
      </c>
      <c r="G39" s="99">
        <v>1</v>
      </c>
      <c r="H39" s="23" t="s">
        <v>210</v>
      </c>
      <c r="J39" s="68" t="s">
        <v>145</v>
      </c>
      <c r="K39" s="68">
        <f>SUM(K40:K48)</f>
        <v>125</v>
      </c>
      <c r="L39" s="68">
        <f t="shared" ref="L39:M39" si="30">SUM(L40:L48)</f>
        <v>27</v>
      </c>
      <c r="M39" s="68">
        <f t="shared" si="30"/>
        <v>375</v>
      </c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79"/>
      <c r="Y39" s="70" t="s">
        <v>236</v>
      </c>
      <c r="Z39" s="70">
        <f>SUM(Z40:Z45)</f>
        <v>40</v>
      </c>
      <c r="AA39" s="70">
        <f t="shared" ref="AA39" si="31">SUM(AA40:AA45)</f>
        <v>18</v>
      </c>
      <c r="AB39" s="70">
        <f t="shared" ref="AB39" si="32">SUM(AB40:AB45)</f>
        <v>120</v>
      </c>
      <c r="AD39" s="52" t="s">
        <v>242</v>
      </c>
      <c r="AE39" s="52">
        <f>SUM(AE40:AE44)</f>
        <v>30</v>
      </c>
      <c r="AF39" s="52">
        <f t="shared" ref="AF39:AG39" si="33">SUM(AF40:AF44)</f>
        <v>15</v>
      </c>
      <c r="AG39" s="52">
        <f t="shared" si="33"/>
        <v>90</v>
      </c>
      <c r="AJ39" s="73"/>
      <c r="AK39" s="73"/>
    </row>
    <row r="40" spans="1:37" s="26" customFormat="1" ht="20.100000000000001" customHeight="1">
      <c r="A40" s="27">
        <v>38</v>
      </c>
      <c r="B40" s="135"/>
      <c r="C40" s="48" t="s">
        <v>70</v>
      </c>
      <c r="D40" s="98" t="s">
        <v>201</v>
      </c>
      <c r="E40" s="98" t="s">
        <v>201</v>
      </c>
      <c r="F40" s="98" t="s">
        <v>201</v>
      </c>
      <c r="G40" s="99">
        <v>1</v>
      </c>
      <c r="H40" s="23" t="s">
        <v>210</v>
      </c>
      <c r="J40" s="48" t="s">
        <v>125</v>
      </c>
      <c r="K40" s="48">
        <v>20</v>
      </c>
      <c r="L40" s="48">
        <v>3</v>
      </c>
      <c r="M40" s="48">
        <f>K40*L40</f>
        <v>60</v>
      </c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79"/>
      <c r="Y40" s="48" t="s">
        <v>227</v>
      </c>
      <c r="Z40" s="48">
        <v>9</v>
      </c>
      <c r="AA40" s="48">
        <v>3</v>
      </c>
      <c r="AB40" s="48">
        <f>Z40*AA40</f>
        <v>27</v>
      </c>
      <c r="AD40" s="48" t="s">
        <v>125</v>
      </c>
      <c r="AE40" s="48">
        <v>12</v>
      </c>
      <c r="AF40" s="48">
        <v>3</v>
      </c>
      <c r="AG40" s="48">
        <f>AE40*AF40</f>
        <v>36</v>
      </c>
      <c r="AJ40" s="73"/>
      <c r="AK40" s="73"/>
    </row>
    <row r="41" spans="1:37" s="26" customFormat="1" ht="20.100000000000001" customHeight="1">
      <c r="A41" s="27">
        <v>39</v>
      </c>
      <c r="B41" s="135"/>
      <c r="C41" s="48" t="s">
        <v>58</v>
      </c>
      <c r="D41" s="98" t="s">
        <v>201</v>
      </c>
      <c r="E41" s="98" t="s">
        <v>201</v>
      </c>
      <c r="F41" s="98" t="s">
        <v>201</v>
      </c>
      <c r="G41" s="99">
        <v>2</v>
      </c>
      <c r="H41" s="23" t="s">
        <v>211</v>
      </c>
      <c r="J41" s="48" t="s">
        <v>126</v>
      </c>
      <c r="K41" s="48">
        <v>8</v>
      </c>
      <c r="L41" s="48">
        <v>3</v>
      </c>
      <c r="M41" s="48">
        <f>K41*L41</f>
        <v>24</v>
      </c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79"/>
      <c r="Y41" s="48" t="s">
        <v>228</v>
      </c>
      <c r="Z41" s="48">
        <v>3</v>
      </c>
      <c r="AA41" s="48">
        <v>3</v>
      </c>
      <c r="AB41" s="48">
        <f>Z41*AA41</f>
        <v>9</v>
      </c>
      <c r="AD41" s="48" t="s">
        <v>126</v>
      </c>
      <c r="AE41" s="48">
        <v>5</v>
      </c>
      <c r="AF41" s="48">
        <v>3</v>
      </c>
      <c r="AG41" s="48">
        <f>AE41*AF41</f>
        <v>15</v>
      </c>
      <c r="AJ41" s="73"/>
      <c r="AK41" s="73"/>
    </row>
    <row r="42" spans="1:37" s="26" customFormat="1" ht="20.100000000000001" customHeight="1">
      <c r="A42" s="27">
        <v>40</v>
      </c>
      <c r="B42" s="135" t="s">
        <v>249</v>
      </c>
      <c r="C42" s="86" t="s">
        <v>195</v>
      </c>
      <c r="D42" s="99">
        <v>5</v>
      </c>
      <c r="E42" s="99">
        <v>8</v>
      </c>
      <c r="F42" s="99">
        <v>8</v>
      </c>
      <c r="G42" s="99">
        <v>14</v>
      </c>
      <c r="H42" s="86" t="s">
        <v>253</v>
      </c>
      <c r="J42" s="48" t="s">
        <v>127</v>
      </c>
      <c r="K42" s="48">
        <v>14</v>
      </c>
      <c r="L42" s="48">
        <v>3</v>
      </c>
      <c r="M42" s="48">
        <f t="shared" ref="M42:M45" si="34">K42*L42</f>
        <v>42</v>
      </c>
      <c r="N42" s="51"/>
      <c r="O42" s="51"/>
      <c r="P42" s="51" t="s">
        <v>46</v>
      </c>
      <c r="Q42" s="51"/>
      <c r="R42" s="51"/>
      <c r="S42" s="51"/>
      <c r="T42" s="51"/>
      <c r="U42" s="51" t="s">
        <v>46</v>
      </c>
      <c r="V42" s="51"/>
      <c r="W42" s="51"/>
      <c r="X42" s="79"/>
      <c r="Y42" s="48" t="s">
        <v>229</v>
      </c>
      <c r="Z42" s="48">
        <v>8</v>
      </c>
      <c r="AA42" s="48">
        <v>3</v>
      </c>
      <c r="AB42" s="48">
        <f t="shared" ref="AB42:AB45" si="35">Z42*AA42</f>
        <v>24</v>
      </c>
      <c r="AD42" s="48" t="s">
        <v>127</v>
      </c>
      <c r="AE42" s="48">
        <v>4</v>
      </c>
      <c r="AF42" s="48">
        <v>3</v>
      </c>
      <c r="AG42" s="48">
        <f t="shared" ref="AG42" si="36">AE42*AF42</f>
        <v>12</v>
      </c>
      <c r="AJ42" s="73"/>
      <c r="AK42" s="73"/>
    </row>
    <row r="43" spans="1:37" s="26" customFormat="1" ht="20.100000000000001" customHeight="1">
      <c r="A43" s="27">
        <v>41</v>
      </c>
      <c r="B43" s="135"/>
      <c r="C43" s="86" t="s">
        <v>147</v>
      </c>
      <c r="D43" s="99">
        <v>3</v>
      </c>
      <c r="E43" s="99">
        <v>3</v>
      </c>
      <c r="F43" s="99">
        <v>3</v>
      </c>
      <c r="G43" s="99">
        <v>3</v>
      </c>
      <c r="H43" s="86" t="s">
        <v>206</v>
      </c>
      <c r="J43" s="48" t="s">
        <v>128</v>
      </c>
      <c r="K43" s="48">
        <v>17</v>
      </c>
      <c r="L43" s="48">
        <v>3</v>
      </c>
      <c r="M43" s="48">
        <f t="shared" si="34"/>
        <v>51</v>
      </c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79"/>
      <c r="Y43" s="48" t="s">
        <v>230</v>
      </c>
      <c r="Z43" s="48">
        <v>8</v>
      </c>
      <c r="AA43" s="48">
        <v>3</v>
      </c>
      <c r="AB43" s="48">
        <f t="shared" si="35"/>
        <v>24</v>
      </c>
      <c r="AD43" s="48" t="s">
        <v>128</v>
      </c>
      <c r="AE43" s="48">
        <v>5</v>
      </c>
      <c r="AF43" s="48">
        <v>3</v>
      </c>
      <c r="AG43" s="48">
        <f>AE43*AF43</f>
        <v>15</v>
      </c>
      <c r="AJ43" s="73"/>
      <c r="AK43" s="73"/>
    </row>
    <row r="44" spans="1:37" s="26" customFormat="1" ht="20.100000000000001" customHeight="1">
      <c r="A44" s="27">
        <v>42</v>
      </c>
      <c r="B44" s="135"/>
      <c r="C44" s="86" t="s">
        <v>196</v>
      </c>
      <c r="D44" s="99">
        <v>1</v>
      </c>
      <c r="E44" s="99">
        <v>1</v>
      </c>
      <c r="F44" s="99">
        <v>1</v>
      </c>
      <c r="G44" s="99">
        <v>1</v>
      </c>
      <c r="H44" s="86" t="s">
        <v>206</v>
      </c>
      <c r="J44" s="36" t="s">
        <v>129</v>
      </c>
      <c r="K44" s="48">
        <v>17</v>
      </c>
      <c r="L44" s="48">
        <v>3</v>
      </c>
      <c r="M44" s="48">
        <f t="shared" si="34"/>
        <v>51</v>
      </c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79"/>
      <c r="Y44" s="36" t="s">
        <v>129</v>
      </c>
      <c r="Z44" s="48">
        <v>3</v>
      </c>
      <c r="AA44" s="48">
        <v>3</v>
      </c>
      <c r="AB44" s="48">
        <f t="shared" si="35"/>
        <v>9</v>
      </c>
      <c r="AD44" s="36" t="s">
        <v>129</v>
      </c>
      <c r="AE44" s="48">
        <v>4</v>
      </c>
      <c r="AF44" s="48">
        <v>3</v>
      </c>
      <c r="AG44" s="48">
        <f>AE44*AF44</f>
        <v>12</v>
      </c>
      <c r="AJ44" s="73"/>
      <c r="AK44" s="73"/>
    </row>
    <row r="45" spans="1:37" s="26" customFormat="1" ht="20.100000000000001" customHeight="1">
      <c r="A45" s="27">
        <v>43</v>
      </c>
      <c r="B45" s="135"/>
      <c r="C45" s="86" t="s">
        <v>197</v>
      </c>
      <c r="D45" s="99">
        <v>2</v>
      </c>
      <c r="E45" s="99">
        <v>4</v>
      </c>
      <c r="F45" s="99">
        <v>3</v>
      </c>
      <c r="G45" s="99">
        <v>7</v>
      </c>
      <c r="H45" s="86" t="s">
        <v>251</v>
      </c>
      <c r="J45" s="48" t="s">
        <v>174</v>
      </c>
      <c r="K45" s="48">
        <v>12</v>
      </c>
      <c r="L45" s="48">
        <v>3</v>
      </c>
      <c r="M45" s="48">
        <f t="shared" si="34"/>
        <v>36</v>
      </c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79"/>
      <c r="Y45" s="48" t="s">
        <v>231</v>
      </c>
      <c r="Z45" s="48">
        <v>9</v>
      </c>
      <c r="AA45" s="48">
        <v>3</v>
      </c>
      <c r="AB45" s="48">
        <f t="shared" si="35"/>
        <v>27</v>
      </c>
      <c r="AJ45" s="73"/>
      <c r="AK45" s="73"/>
    </row>
    <row r="46" spans="1:37" s="26" customFormat="1" ht="20.100000000000001" customHeight="1">
      <c r="A46" s="27">
        <v>44</v>
      </c>
      <c r="B46" s="135"/>
      <c r="C46" s="48" t="s">
        <v>48</v>
      </c>
      <c r="D46" s="98" t="s">
        <v>201</v>
      </c>
      <c r="E46" s="98" t="s">
        <v>201</v>
      </c>
      <c r="F46" s="98" t="s">
        <v>201</v>
      </c>
      <c r="G46" s="99">
        <v>1</v>
      </c>
      <c r="H46" s="23" t="s">
        <v>210</v>
      </c>
      <c r="J46" s="48" t="s">
        <v>175</v>
      </c>
      <c r="K46" s="48">
        <v>11</v>
      </c>
      <c r="L46" s="48">
        <v>3</v>
      </c>
      <c r="M46" s="48">
        <f>K46*L46</f>
        <v>33</v>
      </c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79"/>
      <c r="Y46" s="79"/>
      <c r="Z46" s="51"/>
      <c r="AJ46" s="73"/>
      <c r="AK46" s="73"/>
    </row>
    <row r="47" spans="1:37" s="26" customFormat="1" ht="20.100000000000001" customHeight="1">
      <c r="A47" s="27">
        <v>45</v>
      </c>
      <c r="B47" s="135"/>
      <c r="C47" s="48" t="s">
        <v>70</v>
      </c>
      <c r="D47" s="98" t="s">
        <v>201</v>
      </c>
      <c r="E47" s="98" t="s">
        <v>201</v>
      </c>
      <c r="F47" s="98" t="s">
        <v>201</v>
      </c>
      <c r="G47" s="99">
        <v>1</v>
      </c>
      <c r="H47" s="23" t="s">
        <v>210</v>
      </c>
      <c r="J47" s="48" t="s">
        <v>176</v>
      </c>
      <c r="K47" s="48">
        <v>13</v>
      </c>
      <c r="L47" s="48">
        <v>3</v>
      </c>
      <c r="M47" s="48">
        <f>K47*L47</f>
        <v>39</v>
      </c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79"/>
      <c r="Y47" s="79"/>
      <c r="Z47" s="51"/>
      <c r="AJ47" s="73"/>
      <c r="AK47" s="73"/>
    </row>
    <row r="48" spans="1:37" s="26" customFormat="1" ht="20.100000000000001" customHeight="1">
      <c r="A48" s="27">
        <v>46</v>
      </c>
      <c r="B48" s="135"/>
      <c r="C48" s="48" t="s">
        <v>58</v>
      </c>
      <c r="D48" s="98" t="s">
        <v>201</v>
      </c>
      <c r="E48" s="98" t="s">
        <v>201</v>
      </c>
      <c r="F48" s="98" t="s">
        <v>201</v>
      </c>
      <c r="G48" s="99">
        <v>2</v>
      </c>
      <c r="H48" s="23" t="s">
        <v>211</v>
      </c>
      <c r="J48" s="48" t="s">
        <v>181</v>
      </c>
      <c r="K48" s="48">
        <v>13</v>
      </c>
      <c r="L48" s="48">
        <v>3</v>
      </c>
      <c r="M48" s="48">
        <f>K48*L48</f>
        <v>39</v>
      </c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79"/>
      <c r="Y48" s="79"/>
      <c r="Z48" s="51"/>
      <c r="AJ48" s="73"/>
      <c r="AK48" s="73"/>
    </row>
    <row r="49" spans="1:37" s="26" customFormat="1" ht="20.100000000000001" customHeight="1">
      <c r="A49" s="27">
        <v>47</v>
      </c>
      <c r="B49" s="135" t="s">
        <v>119</v>
      </c>
      <c r="C49" s="88" t="s">
        <v>198</v>
      </c>
      <c r="D49" s="99">
        <v>4</v>
      </c>
      <c r="E49" s="99">
        <v>39</v>
      </c>
      <c r="F49" s="99">
        <v>16</v>
      </c>
      <c r="G49" s="99">
        <v>156</v>
      </c>
      <c r="H49" s="89" t="s">
        <v>244</v>
      </c>
      <c r="J49" s="51"/>
      <c r="K49" s="51"/>
      <c r="L49" s="51"/>
      <c r="M49" s="51"/>
      <c r="N49" s="51"/>
      <c r="O49" s="51"/>
      <c r="P49" s="51" t="s">
        <v>46</v>
      </c>
      <c r="Q49" s="51"/>
      <c r="R49" s="51"/>
      <c r="S49" s="51"/>
      <c r="T49" s="51"/>
      <c r="U49" s="51" t="s">
        <v>46</v>
      </c>
      <c r="V49" s="51"/>
      <c r="W49" s="51"/>
      <c r="X49" s="79"/>
      <c r="Y49" s="79"/>
      <c r="Z49" s="51"/>
      <c r="AJ49" s="73"/>
      <c r="AK49" s="73"/>
    </row>
    <row r="50" spans="1:37" s="26" customFormat="1" ht="20.100000000000001" customHeight="1">
      <c r="A50" s="27">
        <v>48</v>
      </c>
      <c r="B50" s="135"/>
      <c r="C50" s="88" t="s">
        <v>147</v>
      </c>
      <c r="D50" s="99">
        <v>2</v>
      </c>
      <c r="E50" s="99">
        <v>26</v>
      </c>
      <c r="F50" s="99">
        <v>6</v>
      </c>
      <c r="G50" s="99">
        <v>78</v>
      </c>
      <c r="H50" s="89" t="s">
        <v>244</v>
      </c>
      <c r="J50" s="68" t="s">
        <v>146</v>
      </c>
      <c r="K50" s="68">
        <f>SUM(K51)</f>
        <v>16</v>
      </c>
      <c r="L50" s="68">
        <f t="shared" ref="L50:M50" si="37">SUM(L51)</f>
        <v>3</v>
      </c>
      <c r="M50" s="68">
        <f t="shared" si="37"/>
        <v>48</v>
      </c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79"/>
      <c r="Y50" s="79"/>
      <c r="Z50" s="51"/>
      <c r="AJ50" s="73"/>
      <c r="AK50" s="73"/>
    </row>
    <row r="51" spans="1:37" s="26" customFormat="1" ht="20.100000000000001" customHeight="1">
      <c r="A51" s="27">
        <v>49</v>
      </c>
      <c r="B51" s="135"/>
      <c r="C51" s="88" t="s">
        <v>117</v>
      </c>
      <c r="D51" s="99">
        <v>1</v>
      </c>
      <c r="E51" s="99">
        <v>12</v>
      </c>
      <c r="F51" s="99">
        <v>3</v>
      </c>
      <c r="G51" s="99">
        <v>36</v>
      </c>
      <c r="H51" s="89" t="s">
        <v>244</v>
      </c>
      <c r="J51" s="48" t="s">
        <v>203</v>
      </c>
      <c r="K51" s="48">
        <v>16</v>
      </c>
      <c r="L51" s="48">
        <v>3</v>
      </c>
      <c r="M51" s="48">
        <f>K51*L51</f>
        <v>48</v>
      </c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79"/>
      <c r="Y51" s="79"/>
      <c r="Z51" s="51"/>
      <c r="AJ51" s="73"/>
      <c r="AK51" s="73"/>
    </row>
    <row r="52" spans="1:37" s="26" customFormat="1" ht="20.100000000000001" customHeight="1">
      <c r="A52" s="27">
        <v>50</v>
      </c>
      <c r="B52" s="135"/>
      <c r="C52" s="88" t="s">
        <v>199</v>
      </c>
      <c r="D52" s="99">
        <v>1</v>
      </c>
      <c r="E52" s="99">
        <v>8</v>
      </c>
      <c r="F52" s="99">
        <v>3</v>
      </c>
      <c r="G52" s="99">
        <v>24</v>
      </c>
      <c r="H52" s="89" t="s">
        <v>244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79"/>
      <c r="Y52" s="79"/>
      <c r="Z52" s="51"/>
      <c r="AJ52" s="73"/>
      <c r="AK52" s="73"/>
    </row>
    <row r="53" spans="1:37" s="26" customFormat="1" ht="20.100000000000001" customHeight="1">
      <c r="A53" s="27">
        <v>52</v>
      </c>
      <c r="B53" s="135"/>
      <c r="C53" s="48" t="s">
        <v>48</v>
      </c>
      <c r="D53" s="98" t="s">
        <v>201</v>
      </c>
      <c r="E53" s="98" t="s">
        <v>201</v>
      </c>
      <c r="F53" s="98" t="s">
        <v>201</v>
      </c>
      <c r="G53" s="99">
        <v>1</v>
      </c>
      <c r="H53" s="23" t="s">
        <v>210</v>
      </c>
      <c r="J53" s="85" t="s">
        <v>248</v>
      </c>
      <c r="K53" s="85"/>
      <c r="L53" s="85"/>
      <c r="M53" s="85"/>
      <c r="N53" s="51"/>
      <c r="O53" s="87" t="s">
        <v>119</v>
      </c>
      <c r="P53" s="87"/>
      <c r="Q53" s="87"/>
      <c r="R53" s="87"/>
      <c r="S53" s="51"/>
      <c r="T53" s="91" t="s">
        <v>114</v>
      </c>
      <c r="U53" s="91"/>
      <c r="V53" s="91"/>
      <c r="W53" s="91"/>
      <c r="X53" s="79"/>
      <c r="Y53" s="79"/>
      <c r="Z53" s="51"/>
      <c r="AD53" s="51"/>
      <c r="AE53" s="51"/>
      <c r="AF53" s="51"/>
      <c r="AG53" s="51"/>
      <c r="AJ53" s="73"/>
      <c r="AK53" s="73"/>
    </row>
    <row r="54" spans="1:37" s="26" customFormat="1" ht="20.100000000000001" customHeight="1">
      <c r="A54" s="27">
        <v>53</v>
      </c>
      <c r="B54" s="135"/>
      <c r="C54" s="48" t="s">
        <v>70</v>
      </c>
      <c r="D54" s="98" t="s">
        <v>201</v>
      </c>
      <c r="E54" s="98" t="s">
        <v>201</v>
      </c>
      <c r="F54" s="98" t="s">
        <v>201</v>
      </c>
      <c r="G54" s="99">
        <v>1</v>
      </c>
      <c r="H54" s="23" t="s">
        <v>210</v>
      </c>
      <c r="J54" s="86" t="s">
        <v>77</v>
      </c>
      <c r="K54" s="86">
        <f>SUM(K55:K60)</f>
        <v>8</v>
      </c>
      <c r="L54" s="86">
        <f>SUM(L55:L60)</f>
        <v>8</v>
      </c>
      <c r="M54" s="86">
        <f>SUM(M55:M60)</f>
        <v>14</v>
      </c>
      <c r="O54" s="88" t="s">
        <v>77</v>
      </c>
      <c r="P54" s="88">
        <f>SUM(P55:P58)</f>
        <v>39</v>
      </c>
      <c r="Q54" s="88">
        <f t="shared" ref="Q54:R54" si="38">SUM(Q55:Q58)</f>
        <v>16</v>
      </c>
      <c r="R54" s="88">
        <f t="shared" si="38"/>
        <v>156</v>
      </c>
      <c r="T54" s="90" t="s">
        <v>182</v>
      </c>
      <c r="U54" s="90">
        <f>SUM(U55:U61)</f>
        <v>10</v>
      </c>
      <c r="V54" s="90">
        <f t="shared" ref="V54:W54" si="39">SUM(V55:V61)</f>
        <v>9</v>
      </c>
      <c r="W54" s="90">
        <f t="shared" si="39"/>
        <v>14</v>
      </c>
      <c r="X54" s="73"/>
      <c r="Y54" s="79"/>
      <c r="Z54" s="51"/>
      <c r="AJ54" s="73"/>
      <c r="AK54" s="73"/>
    </row>
    <row r="55" spans="1:37" s="26" customFormat="1" ht="20.100000000000001" customHeight="1">
      <c r="A55" s="27">
        <v>54</v>
      </c>
      <c r="B55" s="135"/>
      <c r="C55" s="48" t="s">
        <v>58</v>
      </c>
      <c r="D55" s="98" t="s">
        <v>201</v>
      </c>
      <c r="E55" s="98" t="s">
        <v>201</v>
      </c>
      <c r="F55" s="98" t="s">
        <v>201</v>
      </c>
      <c r="G55" s="99">
        <v>2</v>
      </c>
      <c r="H55" s="23" t="s">
        <v>211</v>
      </c>
      <c r="J55" s="48" t="s">
        <v>125</v>
      </c>
      <c r="K55" s="48">
        <v>1</v>
      </c>
      <c r="L55" s="48">
        <v>1</v>
      </c>
      <c r="M55" s="48">
        <f>K55*L55</f>
        <v>1</v>
      </c>
      <c r="O55" s="48" t="s">
        <v>125</v>
      </c>
      <c r="P55" s="48">
        <v>13</v>
      </c>
      <c r="Q55" s="48">
        <v>4</v>
      </c>
      <c r="R55" s="48">
        <f>P55*Q55</f>
        <v>52</v>
      </c>
      <c r="T55" s="48" t="s">
        <v>125</v>
      </c>
      <c r="U55" s="48">
        <v>2</v>
      </c>
      <c r="V55" s="48">
        <v>2</v>
      </c>
      <c r="W55" s="48">
        <f>U55*V55</f>
        <v>4</v>
      </c>
      <c r="X55" s="73"/>
      <c r="Y55" s="73"/>
      <c r="AJ55" s="73"/>
      <c r="AK55" s="73"/>
    </row>
    <row r="56" spans="1:37" s="26" customFormat="1" ht="20.100000000000001" customHeight="1">
      <c r="A56" s="27">
        <v>55</v>
      </c>
      <c r="B56" s="135" t="s">
        <v>114</v>
      </c>
      <c r="C56" s="90" t="s">
        <v>151</v>
      </c>
      <c r="D56" s="99">
        <v>7</v>
      </c>
      <c r="E56" s="99">
        <v>10</v>
      </c>
      <c r="F56" s="99">
        <v>9</v>
      </c>
      <c r="G56" s="99">
        <v>14</v>
      </c>
      <c r="H56" s="90" t="s">
        <v>251</v>
      </c>
      <c r="J56" s="48" t="s">
        <v>126</v>
      </c>
      <c r="K56" s="48">
        <v>1</v>
      </c>
      <c r="L56" s="48">
        <v>1</v>
      </c>
      <c r="M56" s="48">
        <f>K56*L56</f>
        <v>1</v>
      </c>
      <c r="O56" s="48" t="s">
        <v>126</v>
      </c>
      <c r="P56" s="48">
        <v>10</v>
      </c>
      <c r="Q56" s="48">
        <v>4</v>
      </c>
      <c r="R56" s="48">
        <f>P56*Q56</f>
        <v>40</v>
      </c>
      <c r="T56" s="48" t="s">
        <v>126</v>
      </c>
      <c r="U56" s="48">
        <v>2</v>
      </c>
      <c r="V56" s="48">
        <v>2</v>
      </c>
      <c r="W56" s="48">
        <f>U56*V56</f>
        <v>4</v>
      </c>
      <c r="X56" s="73"/>
      <c r="Y56" s="73"/>
      <c r="AJ56" s="73"/>
      <c r="AK56" s="73"/>
    </row>
    <row r="57" spans="1:37" s="26" customFormat="1" ht="20.100000000000001" customHeight="1">
      <c r="A57" s="27">
        <v>56</v>
      </c>
      <c r="B57" s="135"/>
      <c r="C57" s="90" t="s">
        <v>157</v>
      </c>
      <c r="D57" s="99">
        <v>6</v>
      </c>
      <c r="E57" s="99">
        <v>9</v>
      </c>
      <c r="F57" s="99">
        <v>9</v>
      </c>
      <c r="G57" s="99">
        <v>15</v>
      </c>
      <c r="H57" s="90" t="s">
        <v>216</v>
      </c>
      <c r="I57" s="93"/>
      <c r="J57" s="48" t="s">
        <v>127</v>
      </c>
      <c r="K57" s="48">
        <v>1</v>
      </c>
      <c r="L57" s="48">
        <v>1</v>
      </c>
      <c r="M57" s="48">
        <f t="shared" ref="M57:M59" si="40">K57*L57</f>
        <v>1</v>
      </c>
      <c r="O57" s="48" t="s">
        <v>127</v>
      </c>
      <c r="P57" s="48">
        <v>10</v>
      </c>
      <c r="Q57" s="48">
        <v>4</v>
      </c>
      <c r="R57" s="48">
        <f t="shared" ref="R57:R58" si="41">P57*Q57</f>
        <v>40</v>
      </c>
      <c r="T57" s="48" t="s">
        <v>127</v>
      </c>
      <c r="U57" s="48">
        <v>2</v>
      </c>
      <c r="V57" s="48">
        <v>1</v>
      </c>
      <c r="W57" s="48">
        <f t="shared" ref="W57:W60" si="42">U57*V57</f>
        <v>2</v>
      </c>
      <c r="X57" s="73"/>
      <c r="Y57" s="73"/>
      <c r="AJ57" s="73"/>
      <c r="AK57" s="73"/>
    </row>
    <row r="58" spans="1:37" s="26" customFormat="1" ht="20.100000000000001" customHeight="1">
      <c r="A58" s="27">
        <v>57</v>
      </c>
      <c r="B58" s="135"/>
      <c r="C58" s="90" t="s">
        <v>256</v>
      </c>
      <c r="D58" s="99">
        <v>1</v>
      </c>
      <c r="E58" s="99">
        <v>6</v>
      </c>
      <c r="F58" s="99">
        <v>5</v>
      </c>
      <c r="G58" s="99">
        <v>21</v>
      </c>
      <c r="H58" s="92" t="s">
        <v>244</v>
      </c>
      <c r="J58" s="48" t="s">
        <v>128</v>
      </c>
      <c r="K58" s="48">
        <v>4</v>
      </c>
      <c r="L58" s="48">
        <v>2</v>
      </c>
      <c r="M58" s="48">
        <f t="shared" si="40"/>
        <v>8</v>
      </c>
      <c r="O58" s="48" t="s">
        <v>128</v>
      </c>
      <c r="P58" s="48">
        <v>6</v>
      </c>
      <c r="Q58" s="48">
        <v>4</v>
      </c>
      <c r="R58" s="48">
        <f t="shared" si="41"/>
        <v>24</v>
      </c>
      <c r="T58" s="48" t="s">
        <v>128</v>
      </c>
      <c r="U58" s="48">
        <v>1</v>
      </c>
      <c r="V58" s="48">
        <v>1</v>
      </c>
      <c r="W58" s="48">
        <f t="shared" si="42"/>
        <v>1</v>
      </c>
      <c r="X58" s="73"/>
      <c r="Y58" s="73"/>
      <c r="AJ58" s="73"/>
      <c r="AK58" s="73"/>
    </row>
    <row r="59" spans="1:37" s="26" customFormat="1" ht="20.100000000000001" customHeight="1">
      <c r="A59" s="27">
        <v>58</v>
      </c>
      <c r="B59" s="135"/>
      <c r="C59" s="90" t="s">
        <v>158</v>
      </c>
      <c r="D59" s="99">
        <v>5</v>
      </c>
      <c r="E59" s="99">
        <v>15</v>
      </c>
      <c r="F59" s="99">
        <v>7</v>
      </c>
      <c r="G59" s="99">
        <v>27</v>
      </c>
      <c r="H59" s="90" t="s">
        <v>216</v>
      </c>
      <c r="J59" s="36" t="s">
        <v>129</v>
      </c>
      <c r="K59" s="48">
        <v>1</v>
      </c>
      <c r="L59" s="48">
        <v>3</v>
      </c>
      <c r="M59" s="48">
        <f t="shared" si="40"/>
        <v>3</v>
      </c>
      <c r="O59" s="51"/>
      <c r="P59" s="51"/>
      <c r="Q59" s="51"/>
      <c r="R59" s="51"/>
      <c r="T59" s="36" t="s">
        <v>129</v>
      </c>
      <c r="U59" s="48">
        <v>1</v>
      </c>
      <c r="V59" s="48">
        <v>1</v>
      </c>
      <c r="W59" s="48">
        <f t="shared" si="42"/>
        <v>1</v>
      </c>
      <c r="X59" s="73"/>
      <c r="Y59" s="73"/>
      <c r="AJ59" s="73"/>
      <c r="AK59" s="73"/>
    </row>
    <row r="60" spans="1:37" s="26" customFormat="1" ht="20.100000000000001" customHeight="1">
      <c r="A60" s="27">
        <v>59</v>
      </c>
      <c r="B60" s="135"/>
      <c r="C60" s="90" t="s">
        <v>155</v>
      </c>
      <c r="D60" s="99">
        <v>6</v>
      </c>
      <c r="E60" s="99">
        <v>6</v>
      </c>
      <c r="F60" s="99">
        <v>6</v>
      </c>
      <c r="G60" s="99">
        <v>6</v>
      </c>
      <c r="H60" s="92" t="s">
        <v>205</v>
      </c>
      <c r="J60" s="51"/>
      <c r="K60" s="51"/>
      <c r="L60" s="51"/>
      <c r="M60" s="51"/>
      <c r="O60" s="88" t="s">
        <v>254</v>
      </c>
      <c r="P60" s="88">
        <f>SUM(P61)</f>
        <v>12</v>
      </c>
      <c r="Q60" s="88">
        <f t="shared" ref="Q60:R60" si="43">SUM(Q61)</f>
        <v>3</v>
      </c>
      <c r="R60" s="88">
        <f t="shared" si="43"/>
        <v>36</v>
      </c>
      <c r="T60" s="48" t="s">
        <v>174</v>
      </c>
      <c r="U60" s="48">
        <v>1</v>
      </c>
      <c r="V60" s="48">
        <v>1</v>
      </c>
      <c r="W60" s="48">
        <f t="shared" si="42"/>
        <v>1</v>
      </c>
      <c r="X60" s="73"/>
      <c r="Y60" s="73"/>
      <c r="AJ60" s="73"/>
      <c r="AK60" s="73"/>
    </row>
    <row r="61" spans="1:37" s="26" customFormat="1" ht="20.100000000000001" customHeight="1">
      <c r="A61" s="27">
        <v>60</v>
      </c>
      <c r="B61" s="135"/>
      <c r="C61" s="90" t="s">
        <v>156</v>
      </c>
      <c r="D61" s="99">
        <v>7</v>
      </c>
      <c r="E61" s="99">
        <v>17</v>
      </c>
      <c r="F61" s="99">
        <v>9</v>
      </c>
      <c r="G61" s="99">
        <v>29</v>
      </c>
      <c r="H61" s="90" t="s">
        <v>216</v>
      </c>
      <c r="J61" s="86" t="s">
        <v>250</v>
      </c>
      <c r="K61" s="86">
        <f>SUM(K62:K64)</f>
        <v>3</v>
      </c>
      <c r="L61" s="86">
        <f t="shared" ref="L61:M61" si="44">SUM(L62:L64)</f>
        <v>3</v>
      </c>
      <c r="M61" s="86">
        <f t="shared" si="44"/>
        <v>3</v>
      </c>
      <c r="O61" s="48" t="s">
        <v>125</v>
      </c>
      <c r="P61" s="48">
        <v>12</v>
      </c>
      <c r="Q61" s="48">
        <v>3</v>
      </c>
      <c r="R61" s="48">
        <f>P61*Q61</f>
        <v>36</v>
      </c>
      <c r="T61" s="48" t="s">
        <v>175</v>
      </c>
      <c r="U61" s="48">
        <v>1</v>
      </c>
      <c r="V61" s="48">
        <v>1</v>
      </c>
      <c r="W61" s="48">
        <f>U61*V61</f>
        <v>1</v>
      </c>
      <c r="X61" s="73"/>
      <c r="Y61" s="73"/>
      <c r="AJ61" s="73"/>
      <c r="AK61" s="73"/>
    </row>
    <row r="62" spans="1:37" s="26" customFormat="1" ht="20.100000000000001" customHeight="1">
      <c r="A62" s="27">
        <v>61</v>
      </c>
      <c r="B62" s="135"/>
      <c r="C62" s="48" t="s">
        <v>48</v>
      </c>
      <c r="D62" s="98" t="s">
        <v>201</v>
      </c>
      <c r="E62" s="98" t="s">
        <v>201</v>
      </c>
      <c r="F62" s="98" t="s">
        <v>201</v>
      </c>
      <c r="G62" s="99">
        <v>1</v>
      </c>
      <c r="H62" s="23" t="s">
        <v>210</v>
      </c>
      <c r="J62" s="48" t="s">
        <v>125</v>
      </c>
      <c r="K62" s="48">
        <v>1</v>
      </c>
      <c r="L62" s="48">
        <v>1</v>
      </c>
      <c r="M62" s="48">
        <f>K62*L62</f>
        <v>1</v>
      </c>
      <c r="O62" s="51"/>
      <c r="P62" s="51"/>
      <c r="Q62" s="51"/>
      <c r="R62" s="51"/>
      <c r="X62" s="73"/>
      <c r="Y62" s="73"/>
      <c r="AJ62" s="73"/>
      <c r="AK62" s="73"/>
    </row>
    <row r="63" spans="1:37" s="26" customFormat="1" ht="20.100000000000001" customHeight="1">
      <c r="A63" s="27">
        <v>62</v>
      </c>
      <c r="B63" s="135"/>
      <c r="C63" s="48" t="s">
        <v>70</v>
      </c>
      <c r="D63" s="98" t="s">
        <v>201</v>
      </c>
      <c r="E63" s="98" t="s">
        <v>201</v>
      </c>
      <c r="F63" s="98" t="s">
        <v>201</v>
      </c>
      <c r="G63" s="99">
        <v>1</v>
      </c>
      <c r="H63" s="23" t="s">
        <v>210</v>
      </c>
      <c r="J63" s="48" t="s">
        <v>126</v>
      </c>
      <c r="K63" s="48">
        <v>1</v>
      </c>
      <c r="L63" s="48">
        <v>1</v>
      </c>
      <c r="M63" s="48">
        <f>K63*L63</f>
        <v>1</v>
      </c>
      <c r="O63" s="88" t="s">
        <v>130</v>
      </c>
      <c r="P63" s="88">
        <f>SUM(P64)</f>
        <v>8</v>
      </c>
      <c r="Q63" s="88">
        <f t="shared" ref="Q63" si="45">SUM(Q64)</f>
        <v>3</v>
      </c>
      <c r="R63" s="88">
        <f t="shared" ref="R63" si="46">SUM(R64)</f>
        <v>24</v>
      </c>
      <c r="T63" s="90" t="s">
        <v>255</v>
      </c>
      <c r="U63" s="90">
        <f t="shared" ref="U63:V63" si="47">SUM(U64:U69)</f>
        <v>9</v>
      </c>
      <c r="V63" s="90">
        <f t="shared" si="47"/>
        <v>9</v>
      </c>
      <c r="W63" s="90">
        <f>SUM(W64:W69)</f>
        <v>15</v>
      </c>
      <c r="X63" s="73"/>
      <c r="Y63" s="73"/>
      <c r="AJ63" s="73"/>
      <c r="AK63" s="73"/>
    </row>
    <row r="64" spans="1:37" s="26" customFormat="1" ht="20.100000000000001" customHeight="1">
      <c r="A64" s="27">
        <v>63</v>
      </c>
      <c r="B64" s="135"/>
      <c r="C64" s="48" t="s">
        <v>58</v>
      </c>
      <c r="D64" s="98" t="s">
        <v>201</v>
      </c>
      <c r="E64" s="98" t="s">
        <v>201</v>
      </c>
      <c r="F64" s="98" t="s">
        <v>201</v>
      </c>
      <c r="G64" s="99">
        <v>2</v>
      </c>
      <c r="H64" s="23" t="s">
        <v>211</v>
      </c>
      <c r="J64" s="48" t="s">
        <v>127</v>
      </c>
      <c r="K64" s="48">
        <v>1</v>
      </c>
      <c r="L64" s="48">
        <v>1</v>
      </c>
      <c r="M64" s="48">
        <f>K64*L64</f>
        <v>1</v>
      </c>
      <c r="O64" s="48" t="s">
        <v>125</v>
      </c>
      <c r="P64" s="48">
        <v>8</v>
      </c>
      <c r="Q64" s="48">
        <v>3</v>
      </c>
      <c r="R64" s="48">
        <f>P64*Q64</f>
        <v>24</v>
      </c>
      <c r="T64" s="48" t="s">
        <v>128</v>
      </c>
      <c r="U64" s="48">
        <v>2</v>
      </c>
      <c r="V64" s="48">
        <v>2</v>
      </c>
      <c r="W64" s="48">
        <f>U64*V64</f>
        <v>4</v>
      </c>
      <c r="X64" s="73"/>
      <c r="Y64" s="73"/>
      <c r="AJ64" s="73"/>
      <c r="AK64" s="73"/>
    </row>
    <row r="65" spans="1:37" s="26" customFormat="1" ht="20.100000000000001" customHeight="1">
      <c r="A65" s="27">
        <v>64</v>
      </c>
      <c r="B65" s="145" t="s">
        <v>329</v>
      </c>
      <c r="C65" s="64" t="s">
        <v>297</v>
      </c>
      <c r="D65" s="98" t="s">
        <v>201</v>
      </c>
      <c r="E65" s="98" t="s">
        <v>201</v>
      </c>
      <c r="F65" s="98" t="s">
        <v>201</v>
      </c>
      <c r="G65" s="99">
        <v>1</v>
      </c>
      <c r="H65" s="23"/>
      <c r="O65" s="79"/>
      <c r="P65" s="51"/>
      <c r="T65" s="48" t="s">
        <v>174</v>
      </c>
      <c r="U65" s="48">
        <v>2</v>
      </c>
      <c r="V65" s="48">
        <v>2</v>
      </c>
      <c r="W65" s="48">
        <f>U65*V65</f>
        <v>4</v>
      </c>
      <c r="X65" s="73"/>
      <c r="Y65" s="73"/>
      <c r="AJ65" s="73"/>
      <c r="AK65" s="73"/>
    </row>
    <row r="66" spans="1:37" s="26" customFormat="1" ht="20.100000000000001" customHeight="1">
      <c r="A66" s="27">
        <v>65</v>
      </c>
      <c r="B66" s="135"/>
      <c r="C66" s="64" t="s">
        <v>298</v>
      </c>
      <c r="D66" s="98" t="s">
        <v>201</v>
      </c>
      <c r="E66" s="98" t="s">
        <v>201</v>
      </c>
      <c r="F66" s="98" t="s">
        <v>201</v>
      </c>
      <c r="G66" s="99">
        <v>1</v>
      </c>
      <c r="H66" s="23"/>
      <c r="J66" s="86" t="s">
        <v>117</v>
      </c>
      <c r="K66" s="86">
        <f>SUM(K67)</f>
        <v>1</v>
      </c>
      <c r="L66" s="86">
        <f t="shared" ref="L66:M66" si="48">SUM(L67)</f>
        <v>1</v>
      </c>
      <c r="M66" s="86">
        <f t="shared" si="48"/>
        <v>1</v>
      </c>
      <c r="O66" s="88" t="s">
        <v>147</v>
      </c>
      <c r="P66" s="88">
        <f>SUM(P67:P68)</f>
        <v>26</v>
      </c>
      <c r="Q66" s="88">
        <f t="shared" ref="Q66:R66" si="49">SUM(Q67:Q68)</f>
        <v>6</v>
      </c>
      <c r="R66" s="88">
        <f t="shared" si="49"/>
        <v>78</v>
      </c>
      <c r="T66" s="48" t="s">
        <v>175</v>
      </c>
      <c r="U66" s="48">
        <v>2</v>
      </c>
      <c r="V66" s="48">
        <v>2</v>
      </c>
      <c r="W66" s="48">
        <f>U66*V66</f>
        <v>4</v>
      </c>
      <c r="X66" s="73"/>
      <c r="Y66" s="73"/>
      <c r="AE66" s="26" t="s">
        <v>46</v>
      </c>
      <c r="AJ66" s="73"/>
      <c r="AK66" s="73"/>
    </row>
    <row r="67" spans="1:37" s="26" customFormat="1" ht="20.100000000000001" customHeight="1">
      <c r="A67" s="27">
        <v>66</v>
      </c>
      <c r="B67" s="135"/>
      <c r="C67" s="64" t="s">
        <v>299</v>
      </c>
      <c r="D67" s="98" t="s">
        <v>201</v>
      </c>
      <c r="E67" s="98" t="s">
        <v>201</v>
      </c>
      <c r="F67" s="98" t="s">
        <v>201</v>
      </c>
      <c r="G67" s="99">
        <v>1</v>
      </c>
      <c r="H67" s="23"/>
      <c r="J67" s="48" t="s">
        <v>125</v>
      </c>
      <c r="K67" s="48">
        <v>1</v>
      </c>
      <c r="L67" s="48">
        <v>1</v>
      </c>
      <c r="M67" s="48">
        <v>1</v>
      </c>
      <c r="O67" s="48" t="s">
        <v>125</v>
      </c>
      <c r="P67" s="48">
        <v>13</v>
      </c>
      <c r="Q67" s="48">
        <v>3</v>
      </c>
      <c r="R67" s="48">
        <f>P67*Q67</f>
        <v>39</v>
      </c>
      <c r="T67" s="48" t="s">
        <v>176</v>
      </c>
      <c r="U67" s="48">
        <v>1</v>
      </c>
      <c r="V67" s="48">
        <v>1</v>
      </c>
      <c r="W67" s="48">
        <f>U67*V67</f>
        <v>1</v>
      </c>
      <c r="X67" s="73"/>
      <c r="Y67" s="73"/>
      <c r="AJ67" s="73"/>
      <c r="AK67" s="73"/>
    </row>
    <row r="68" spans="1:37" s="26" customFormat="1" ht="20.100000000000001" customHeight="1">
      <c r="A68" s="27">
        <v>67</v>
      </c>
      <c r="B68" s="135"/>
      <c r="C68" s="64" t="s">
        <v>301</v>
      </c>
      <c r="D68" s="98" t="s">
        <v>201</v>
      </c>
      <c r="E68" s="98" t="s">
        <v>201</v>
      </c>
      <c r="F68" s="98" t="s">
        <v>201</v>
      </c>
      <c r="G68" s="99">
        <v>1</v>
      </c>
      <c r="H68" s="23"/>
      <c r="J68" s="51"/>
      <c r="K68" s="51"/>
      <c r="L68" s="51"/>
      <c r="M68" s="51"/>
      <c r="O68" s="48" t="s">
        <v>126</v>
      </c>
      <c r="P68" s="48">
        <v>13</v>
      </c>
      <c r="Q68" s="48">
        <v>3</v>
      </c>
      <c r="R68" s="48">
        <f>P68*Q68</f>
        <v>39</v>
      </c>
      <c r="T68" s="48" t="s">
        <v>272</v>
      </c>
      <c r="U68" s="48">
        <v>1</v>
      </c>
      <c r="V68" s="48">
        <v>1</v>
      </c>
      <c r="W68" s="48">
        <v>1</v>
      </c>
      <c r="X68" s="73"/>
      <c r="Y68" s="73"/>
      <c r="AJ68" s="73"/>
      <c r="AK68" s="73"/>
    </row>
    <row r="69" spans="1:37" s="26" customFormat="1" ht="20.100000000000001" customHeight="1">
      <c r="A69" s="27">
        <v>68</v>
      </c>
      <c r="B69" s="135"/>
      <c r="C69" s="64" t="s">
        <v>302</v>
      </c>
      <c r="D69" s="98" t="s">
        <v>201</v>
      </c>
      <c r="E69" s="98" t="s">
        <v>201</v>
      </c>
      <c r="F69" s="98" t="s">
        <v>201</v>
      </c>
      <c r="G69" s="99">
        <v>1</v>
      </c>
      <c r="H69" s="23"/>
      <c r="J69" s="86" t="s">
        <v>252</v>
      </c>
      <c r="K69" s="86">
        <f>SUM(K70:K71)</f>
        <v>4</v>
      </c>
      <c r="L69" s="86">
        <f t="shared" ref="L69:M69" si="50">SUM(L70:L71)</f>
        <v>3</v>
      </c>
      <c r="M69" s="86">
        <f t="shared" si="50"/>
        <v>7</v>
      </c>
      <c r="O69" s="79"/>
      <c r="P69" s="51"/>
      <c r="T69" s="48" t="s">
        <v>203</v>
      </c>
      <c r="U69" s="48">
        <v>1</v>
      </c>
      <c r="V69" s="48">
        <v>1</v>
      </c>
      <c r="W69" s="48">
        <v>1</v>
      </c>
      <c r="X69" s="73"/>
      <c r="Y69" s="73"/>
      <c r="AJ69" s="73"/>
      <c r="AK69" s="73"/>
    </row>
    <row r="70" spans="1:37" s="26" customFormat="1" ht="20.100000000000001" customHeight="1">
      <c r="A70" s="27">
        <v>69</v>
      </c>
      <c r="B70" s="135"/>
      <c r="C70" s="64" t="s">
        <v>303</v>
      </c>
      <c r="D70" s="98" t="s">
        <v>201</v>
      </c>
      <c r="E70" s="98" t="s">
        <v>201</v>
      </c>
      <c r="F70" s="98" t="s">
        <v>201</v>
      </c>
      <c r="G70" s="99">
        <v>1</v>
      </c>
      <c r="H70" s="23"/>
      <c r="J70" s="48" t="s">
        <v>125</v>
      </c>
      <c r="K70" s="48">
        <v>3</v>
      </c>
      <c r="L70" s="48">
        <v>2</v>
      </c>
      <c r="M70" s="48">
        <f>K70*L70</f>
        <v>6</v>
      </c>
      <c r="O70" s="79"/>
      <c r="P70" s="51"/>
      <c r="X70" s="73"/>
      <c r="Y70" s="73"/>
      <c r="AJ70" s="73"/>
      <c r="AK70" s="73"/>
    </row>
    <row r="71" spans="1:37" s="26" customFormat="1" ht="20.100000000000001" customHeight="1">
      <c r="A71" s="27">
        <v>70</v>
      </c>
      <c r="B71" s="135"/>
      <c r="C71" s="64" t="s">
        <v>304</v>
      </c>
      <c r="D71" s="98" t="s">
        <v>201</v>
      </c>
      <c r="E71" s="98" t="s">
        <v>201</v>
      </c>
      <c r="F71" s="98" t="s">
        <v>201</v>
      </c>
      <c r="G71" s="99">
        <v>1</v>
      </c>
      <c r="H71" s="23"/>
      <c r="J71" s="48" t="s">
        <v>126</v>
      </c>
      <c r="K71" s="48">
        <v>1</v>
      </c>
      <c r="L71" s="48">
        <v>1</v>
      </c>
      <c r="M71" s="48">
        <f>K71*L71</f>
        <v>1</v>
      </c>
      <c r="O71" s="79"/>
      <c r="P71" s="51"/>
      <c r="T71" s="90" t="s">
        <v>158</v>
      </c>
      <c r="U71" s="90">
        <f>SUM(U72:U76)</f>
        <v>15</v>
      </c>
      <c r="V71" s="90">
        <f t="shared" ref="V71" si="51">SUM(V72:V76)</f>
        <v>7</v>
      </c>
      <c r="W71" s="90">
        <f>SUM(W72:W76)</f>
        <v>27</v>
      </c>
      <c r="X71" s="73"/>
      <c r="Y71" s="73"/>
      <c r="AJ71" s="73"/>
      <c r="AK71" s="73"/>
    </row>
    <row r="72" spans="1:37" s="26" customFormat="1" ht="20.100000000000001" customHeight="1">
      <c r="A72" s="27">
        <v>71</v>
      </c>
      <c r="B72" s="135"/>
      <c r="C72" s="64" t="s">
        <v>305</v>
      </c>
      <c r="D72" s="98" t="s">
        <v>201</v>
      </c>
      <c r="E72" s="98" t="s">
        <v>201</v>
      </c>
      <c r="F72" s="98" t="s">
        <v>201</v>
      </c>
      <c r="G72" s="99">
        <v>1</v>
      </c>
      <c r="H72" s="23"/>
      <c r="O72" s="79"/>
      <c r="P72" s="51"/>
      <c r="T72" s="48" t="s">
        <v>125</v>
      </c>
      <c r="U72" s="48">
        <v>6</v>
      </c>
      <c r="V72" s="48">
        <v>2</v>
      </c>
      <c r="W72" s="48">
        <f>U72*V72</f>
        <v>12</v>
      </c>
      <c r="Y72" s="73"/>
      <c r="AJ72" s="73"/>
      <c r="AK72" s="73"/>
    </row>
    <row r="73" spans="1:37" s="26" customFormat="1" ht="20.100000000000001" customHeight="1">
      <c r="A73" s="27">
        <v>72</v>
      </c>
      <c r="B73" s="135"/>
      <c r="C73" s="64" t="s">
        <v>306</v>
      </c>
      <c r="D73" s="98" t="s">
        <v>201</v>
      </c>
      <c r="E73" s="98" t="s">
        <v>201</v>
      </c>
      <c r="F73" s="98" t="s">
        <v>201</v>
      </c>
      <c r="G73" s="99">
        <v>1</v>
      </c>
      <c r="H73" s="23"/>
      <c r="J73" s="51"/>
      <c r="K73" s="51"/>
      <c r="L73" s="51"/>
      <c r="M73" s="51"/>
      <c r="O73" s="79"/>
      <c r="P73" s="51"/>
      <c r="T73" s="48" t="s">
        <v>126</v>
      </c>
      <c r="U73" s="48">
        <v>6</v>
      </c>
      <c r="V73" s="48">
        <v>2</v>
      </c>
      <c r="W73" s="48">
        <f>U73*V73</f>
        <v>12</v>
      </c>
      <c r="X73" s="73"/>
      <c r="Y73" s="73"/>
      <c r="AJ73" s="73"/>
      <c r="AK73" s="73"/>
    </row>
    <row r="74" spans="1:37" s="26" customFormat="1" ht="20.100000000000001" customHeight="1">
      <c r="A74" s="27">
        <v>73</v>
      </c>
      <c r="B74" s="135"/>
      <c r="C74" s="64" t="s">
        <v>307</v>
      </c>
      <c r="D74" s="98" t="s">
        <v>201</v>
      </c>
      <c r="E74" s="98" t="s">
        <v>201</v>
      </c>
      <c r="F74" s="98" t="s">
        <v>201</v>
      </c>
      <c r="G74" s="99">
        <v>1</v>
      </c>
      <c r="H74" s="23"/>
      <c r="J74" s="51"/>
      <c r="K74" s="51"/>
      <c r="L74" s="51"/>
      <c r="M74" s="51"/>
      <c r="O74" s="79"/>
      <c r="P74" s="51"/>
      <c r="T74" s="48" t="s">
        <v>127</v>
      </c>
      <c r="U74" s="48">
        <v>1</v>
      </c>
      <c r="V74" s="48">
        <v>1</v>
      </c>
      <c r="W74" s="48">
        <f t="shared" ref="W74:W76" si="52">U74*V74</f>
        <v>1</v>
      </c>
      <c r="X74" s="73"/>
      <c r="Y74" s="73"/>
      <c r="AJ74" s="73"/>
      <c r="AK74" s="73"/>
    </row>
    <row r="75" spans="1:37" s="26" customFormat="1" ht="20.100000000000001" customHeight="1">
      <c r="A75" s="27">
        <v>74</v>
      </c>
      <c r="B75" s="135"/>
      <c r="C75" s="64" t="s">
        <v>308</v>
      </c>
      <c r="D75" s="98" t="s">
        <v>201</v>
      </c>
      <c r="E75" s="98" t="s">
        <v>201</v>
      </c>
      <c r="F75" s="98" t="s">
        <v>201</v>
      </c>
      <c r="G75" s="99">
        <v>1</v>
      </c>
      <c r="H75" s="23"/>
      <c r="J75" s="51"/>
      <c r="K75" s="51"/>
      <c r="L75" s="51"/>
      <c r="M75" s="51"/>
      <c r="O75" s="79"/>
      <c r="P75" s="51"/>
      <c r="T75" s="48" t="s">
        <v>128</v>
      </c>
      <c r="U75" s="48">
        <v>1</v>
      </c>
      <c r="V75" s="48">
        <v>1</v>
      </c>
      <c r="W75" s="48">
        <f t="shared" si="52"/>
        <v>1</v>
      </c>
      <c r="X75" s="73"/>
      <c r="Y75" s="73"/>
      <c r="AJ75" s="73"/>
      <c r="AK75" s="73"/>
    </row>
    <row r="76" spans="1:37" s="26" customFormat="1" ht="20.100000000000001" customHeight="1">
      <c r="A76" s="27">
        <v>75</v>
      </c>
      <c r="B76" s="135"/>
      <c r="C76" s="64" t="s">
        <v>309</v>
      </c>
      <c r="D76" s="98" t="s">
        <v>201</v>
      </c>
      <c r="E76" s="98" t="s">
        <v>201</v>
      </c>
      <c r="F76" s="98" t="s">
        <v>201</v>
      </c>
      <c r="G76" s="99">
        <v>1</v>
      </c>
      <c r="H76" s="23"/>
      <c r="J76" s="51"/>
      <c r="K76" s="51"/>
      <c r="L76" s="51"/>
      <c r="M76" s="51"/>
      <c r="O76" s="79"/>
      <c r="P76" s="51"/>
      <c r="T76" s="36" t="s">
        <v>129</v>
      </c>
      <c r="U76" s="48">
        <v>1</v>
      </c>
      <c r="V76" s="48">
        <v>1</v>
      </c>
      <c r="W76" s="48">
        <f t="shared" si="52"/>
        <v>1</v>
      </c>
      <c r="X76" s="73"/>
      <c r="Y76" s="73"/>
      <c r="AJ76" s="73"/>
      <c r="AK76" s="73"/>
    </row>
    <row r="77" spans="1:37" s="26" customFormat="1" ht="20.100000000000001" customHeight="1">
      <c r="A77" s="27">
        <v>76</v>
      </c>
      <c r="B77" s="135"/>
      <c r="C77" s="64" t="s">
        <v>310</v>
      </c>
      <c r="D77" s="98" t="s">
        <v>201</v>
      </c>
      <c r="E77" s="98" t="s">
        <v>201</v>
      </c>
      <c r="F77" s="98" t="s">
        <v>201</v>
      </c>
      <c r="G77" s="99">
        <v>1</v>
      </c>
      <c r="H77" s="23"/>
      <c r="J77" s="51"/>
      <c r="K77" s="51"/>
      <c r="L77" s="51"/>
      <c r="M77" s="51"/>
      <c r="O77" s="79"/>
      <c r="P77" s="51"/>
      <c r="X77" s="73"/>
      <c r="Y77" s="73"/>
      <c r="AJ77" s="73"/>
      <c r="AK77" s="73"/>
    </row>
    <row r="78" spans="1:37" s="26" customFormat="1" ht="20.100000000000001" customHeight="1">
      <c r="A78" s="27">
        <v>77</v>
      </c>
      <c r="B78" s="135"/>
      <c r="C78" s="64" t="s">
        <v>311</v>
      </c>
      <c r="D78" s="98" t="s">
        <v>201</v>
      </c>
      <c r="E78" s="98" t="s">
        <v>201</v>
      </c>
      <c r="F78" s="98" t="s">
        <v>201</v>
      </c>
      <c r="G78" s="99">
        <v>1</v>
      </c>
      <c r="H78" s="23"/>
      <c r="J78" s="51"/>
      <c r="K78" s="51"/>
      <c r="L78" s="51"/>
      <c r="M78" s="51"/>
      <c r="O78" s="79"/>
      <c r="P78" s="51"/>
      <c r="T78" s="90" t="s">
        <v>257</v>
      </c>
      <c r="U78" s="90">
        <f>SUM(U79:U85)</f>
        <v>10</v>
      </c>
      <c r="V78" s="90">
        <f t="shared" ref="V78" si="53">SUM(V79:V85)</f>
        <v>9</v>
      </c>
      <c r="W78" s="90">
        <f t="shared" ref="W78" si="54">SUM(W79:W85)</f>
        <v>14</v>
      </c>
      <c r="X78" s="73"/>
      <c r="Y78" s="73"/>
      <c r="AJ78" s="73"/>
      <c r="AK78" s="73"/>
    </row>
    <row r="79" spans="1:37" s="26" customFormat="1" ht="20.100000000000001" customHeight="1">
      <c r="A79" s="27">
        <v>78</v>
      </c>
      <c r="B79" s="135"/>
      <c r="C79" s="64" t="s">
        <v>312</v>
      </c>
      <c r="D79" s="98" t="s">
        <v>201</v>
      </c>
      <c r="E79" s="98" t="s">
        <v>201</v>
      </c>
      <c r="F79" s="98" t="s">
        <v>201</v>
      </c>
      <c r="G79" s="99">
        <v>1</v>
      </c>
      <c r="H79" s="23"/>
      <c r="J79" s="51"/>
      <c r="K79" s="51"/>
      <c r="L79" s="51"/>
      <c r="M79" s="51"/>
      <c r="O79" s="79"/>
      <c r="P79" s="51"/>
      <c r="T79" s="48" t="s">
        <v>125</v>
      </c>
      <c r="U79" s="48">
        <v>2</v>
      </c>
      <c r="V79" s="48">
        <v>2</v>
      </c>
      <c r="W79" s="48">
        <f>U79*V79</f>
        <v>4</v>
      </c>
      <c r="X79" s="73"/>
      <c r="Y79" s="73"/>
      <c r="AJ79" s="73"/>
      <c r="AK79" s="73"/>
    </row>
    <row r="80" spans="1:37" s="26" customFormat="1" ht="20.100000000000001" customHeight="1">
      <c r="A80" s="27">
        <v>79</v>
      </c>
      <c r="B80" s="145" t="s">
        <v>330</v>
      </c>
      <c r="C80" s="64" t="s">
        <v>313</v>
      </c>
      <c r="D80" s="98" t="s">
        <v>201</v>
      </c>
      <c r="E80" s="98" t="s">
        <v>201</v>
      </c>
      <c r="F80" s="98" t="s">
        <v>201</v>
      </c>
      <c r="G80" s="99">
        <v>1</v>
      </c>
      <c r="H80" s="23"/>
      <c r="J80" s="51"/>
      <c r="K80" s="51"/>
      <c r="L80" s="51"/>
      <c r="M80" s="51"/>
      <c r="O80" s="79"/>
      <c r="P80" s="51"/>
      <c r="T80" s="48" t="s">
        <v>126</v>
      </c>
      <c r="U80" s="48">
        <v>2</v>
      </c>
      <c r="V80" s="48">
        <v>2</v>
      </c>
      <c r="W80" s="48">
        <f>U80*V80</f>
        <v>4</v>
      </c>
      <c r="X80" s="73"/>
      <c r="Y80" s="73"/>
      <c r="AJ80" s="73"/>
      <c r="AK80" s="73"/>
    </row>
    <row r="81" spans="1:37" s="26" customFormat="1" ht="20.100000000000001" customHeight="1">
      <c r="A81" s="27">
        <v>80</v>
      </c>
      <c r="B81" s="135"/>
      <c r="C81" s="64" t="s">
        <v>314</v>
      </c>
      <c r="D81" s="98" t="s">
        <v>201</v>
      </c>
      <c r="E81" s="98" t="s">
        <v>201</v>
      </c>
      <c r="F81" s="98" t="s">
        <v>201</v>
      </c>
      <c r="G81" s="99">
        <v>1</v>
      </c>
      <c r="H81" s="23"/>
      <c r="J81" s="51"/>
      <c r="K81" s="51"/>
      <c r="L81" s="51"/>
      <c r="M81" s="51"/>
      <c r="O81" s="79"/>
      <c r="P81" s="51"/>
      <c r="T81" s="48" t="s">
        <v>127</v>
      </c>
      <c r="U81" s="48">
        <v>2</v>
      </c>
      <c r="V81" s="48">
        <v>1</v>
      </c>
      <c r="W81" s="48">
        <f t="shared" ref="W81:W84" si="55">U81*V81</f>
        <v>2</v>
      </c>
      <c r="X81" s="73"/>
      <c r="Y81" s="73"/>
      <c r="AJ81" s="73"/>
      <c r="AK81" s="73"/>
    </row>
    <row r="82" spans="1:37" s="26" customFormat="1" ht="20.100000000000001" customHeight="1">
      <c r="A82" s="27">
        <v>81</v>
      </c>
      <c r="B82" s="135"/>
      <c r="C82" s="64" t="s">
        <v>315</v>
      </c>
      <c r="D82" s="98" t="s">
        <v>201</v>
      </c>
      <c r="E82" s="98" t="s">
        <v>201</v>
      </c>
      <c r="F82" s="98" t="s">
        <v>201</v>
      </c>
      <c r="G82" s="99">
        <v>1</v>
      </c>
      <c r="H82" s="23"/>
      <c r="J82" s="51"/>
      <c r="K82" s="51"/>
      <c r="L82" s="51"/>
      <c r="M82" s="51"/>
      <c r="O82" s="79"/>
      <c r="P82" s="51"/>
      <c r="T82" s="48" t="s">
        <v>128</v>
      </c>
      <c r="U82" s="48">
        <v>1</v>
      </c>
      <c r="V82" s="48">
        <v>1</v>
      </c>
      <c r="W82" s="48">
        <f t="shared" si="55"/>
        <v>1</v>
      </c>
      <c r="X82" s="73"/>
      <c r="Y82" s="73"/>
      <c r="AJ82" s="73"/>
      <c r="AK82" s="73"/>
    </row>
    <row r="83" spans="1:37" s="26" customFormat="1" ht="20.100000000000001" customHeight="1">
      <c r="A83" s="27">
        <v>82</v>
      </c>
      <c r="B83" s="135"/>
      <c r="C83" s="64" t="s">
        <v>316</v>
      </c>
      <c r="D83" s="98" t="s">
        <v>201</v>
      </c>
      <c r="E83" s="98" t="s">
        <v>201</v>
      </c>
      <c r="F83" s="98" t="s">
        <v>201</v>
      </c>
      <c r="G83" s="99">
        <v>1</v>
      </c>
      <c r="H83" s="23"/>
      <c r="J83" s="51"/>
      <c r="K83" s="51"/>
      <c r="L83" s="51"/>
      <c r="M83" s="51"/>
      <c r="O83" s="79"/>
      <c r="P83" s="51"/>
      <c r="T83" s="36" t="s">
        <v>129</v>
      </c>
      <c r="U83" s="48">
        <v>1</v>
      </c>
      <c r="V83" s="48">
        <v>1</v>
      </c>
      <c r="W83" s="48">
        <f t="shared" si="55"/>
        <v>1</v>
      </c>
      <c r="X83" s="73"/>
      <c r="Y83" s="73"/>
      <c r="AJ83" s="73"/>
      <c r="AK83" s="73"/>
    </row>
    <row r="84" spans="1:37" s="26" customFormat="1" ht="20.100000000000001" customHeight="1">
      <c r="A84" s="27">
        <v>83</v>
      </c>
      <c r="B84" s="135"/>
      <c r="C84" s="64" t="s">
        <v>317</v>
      </c>
      <c r="D84" s="98" t="s">
        <v>201</v>
      </c>
      <c r="E84" s="98" t="s">
        <v>201</v>
      </c>
      <c r="F84" s="98" t="s">
        <v>201</v>
      </c>
      <c r="G84" s="99">
        <v>1</v>
      </c>
      <c r="H84" s="23"/>
      <c r="J84" s="51"/>
      <c r="K84" s="51"/>
      <c r="L84" s="51"/>
      <c r="M84" s="51"/>
      <c r="O84" s="79"/>
      <c r="P84" s="51"/>
      <c r="T84" s="48" t="s">
        <v>174</v>
      </c>
      <c r="U84" s="48">
        <v>1</v>
      </c>
      <c r="V84" s="48">
        <v>1</v>
      </c>
      <c r="W84" s="48">
        <f t="shared" si="55"/>
        <v>1</v>
      </c>
      <c r="X84" s="73"/>
      <c r="Y84" s="73"/>
      <c r="AJ84" s="73"/>
      <c r="AK84" s="73"/>
    </row>
    <row r="85" spans="1:37" s="26" customFormat="1" ht="20.100000000000001" customHeight="1">
      <c r="A85" s="27">
        <v>84</v>
      </c>
      <c r="B85" s="145" t="s">
        <v>331</v>
      </c>
      <c r="C85" s="64" t="s">
        <v>159</v>
      </c>
      <c r="D85" s="98" t="s">
        <v>201</v>
      </c>
      <c r="E85" s="98" t="s">
        <v>201</v>
      </c>
      <c r="F85" s="98" t="s">
        <v>201</v>
      </c>
      <c r="G85" s="99">
        <v>1</v>
      </c>
      <c r="H85" s="23"/>
      <c r="J85" s="51"/>
      <c r="K85" s="51"/>
      <c r="L85" s="51"/>
      <c r="M85" s="51"/>
      <c r="O85" s="79"/>
      <c r="P85" s="51"/>
      <c r="T85" s="48" t="s">
        <v>175</v>
      </c>
      <c r="U85" s="48">
        <v>1</v>
      </c>
      <c r="V85" s="48">
        <v>1</v>
      </c>
      <c r="W85" s="48">
        <f>U85*V85</f>
        <v>1</v>
      </c>
      <c r="X85" s="73"/>
      <c r="Y85" s="73"/>
      <c r="AJ85" s="73"/>
      <c r="AK85" s="73"/>
    </row>
    <row r="86" spans="1:37" s="26" customFormat="1" ht="20.100000000000001" customHeight="1">
      <c r="A86" s="27">
        <v>85</v>
      </c>
      <c r="B86" s="145"/>
      <c r="C86" s="64" t="s">
        <v>160</v>
      </c>
      <c r="D86" s="98" t="s">
        <v>201</v>
      </c>
      <c r="E86" s="98" t="s">
        <v>201</v>
      </c>
      <c r="F86" s="98" t="s">
        <v>201</v>
      </c>
      <c r="G86" s="99">
        <v>1</v>
      </c>
      <c r="H86" s="23"/>
      <c r="J86" s="51"/>
      <c r="K86" s="51"/>
      <c r="L86" s="51"/>
      <c r="M86" s="51"/>
      <c r="O86" s="79"/>
      <c r="P86" s="51"/>
      <c r="X86" s="73"/>
      <c r="Y86" s="73"/>
      <c r="AJ86" s="73"/>
      <c r="AK86" s="73"/>
    </row>
    <row r="87" spans="1:37" s="26" customFormat="1" ht="20.100000000000001" customHeight="1">
      <c r="A87" s="27">
        <v>86</v>
      </c>
      <c r="B87" s="145"/>
      <c r="C87" s="64" t="s">
        <v>161</v>
      </c>
      <c r="D87" s="98" t="s">
        <v>201</v>
      </c>
      <c r="E87" s="98" t="s">
        <v>201</v>
      </c>
      <c r="F87" s="98" t="s">
        <v>201</v>
      </c>
      <c r="G87" s="99">
        <v>1</v>
      </c>
      <c r="H87" s="23"/>
      <c r="J87" s="51"/>
      <c r="K87" s="51"/>
      <c r="L87" s="51"/>
      <c r="M87" s="51"/>
      <c r="O87" s="79"/>
      <c r="P87" s="51"/>
      <c r="T87" s="90" t="s">
        <v>258</v>
      </c>
      <c r="U87" s="90">
        <f>SUM(U88:U94)</f>
        <v>17</v>
      </c>
      <c r="V87" s="90">
        <f t="shared" ref="V87:W87" si="56">SUM(V88:V94)</f>
        <v>9</v>
      </c>
      <c r="W87" s="90">
        <f t="shared" si="56"/>
        <v>29</v>
      </c>
      <c r="X87" s="73"/>
      <c r="Y87" s="73"/>
      <c r="AJ87" s="73"/>
      <c r="AK87" s="73"/>
    </row>
    <row r="88" spans="1:37" s="26" customFormat="1" ht="20.100000000000001" customHeight="1">
      <c r="A88" s="27">
        <v>87</v>
      </c>
      <c r="B88" s="145"/>
      <c r="C88" s="64" t="s">
        <v>162</v>
      </c>
      <c r="D88" s="98" t="s">
        <v>201</v>
      </c>
      <c r="E88" s="98" t="s">
        <v>201</v>
      </c>
      <c r="F88" s="98" t="s">
        <v>201</v>
      </c>
      <c r="G88" s="99">
        <v>1</v>
      </c>
      <c r="H88" s="23"/>
      <c r="J88" s="51"/>
      <c r="K88" s="51"/>
      <c r="L88" s="51"/>
      <c r="M88" s="51"/>
      <c r="O88" s="79"/>
      <c r="P88" s="51"/>
      <c r="T88" s="48" t="s">
        <v>125</v>
      </c>
      <c r="U88" s="48">
        <v>6</v>
      </c>
      <c r="V88" s="48">
        <v>2</v>
      </c>
      <c r="W88" s="48">
        <f>U88*V88</f>
        <v>12</v>
      </c>
      <c r="X88" s="73"/>
      <c r="Y88" s="73"/>
      <c r="AJ88" s="73"/>
      <c r="AK88" s="73"/>
    </row>
    <row r="89" spans="1:37" s="26" customFormat="1" ht="20.100000000000001" customHeight="1">
      <c r="A89" s="27">
        <v>88</v>
      </c>
      <c r="B89" s="145"/>
      <c r="C89" s="64" t="s">
        <v>163</v>
      </c>
      <c r="D89" s="98" t="s">
        <v>201</v>
      </c>
      <c r="E89" s="98" t="s">
        <v>201</v>
      </c>
      <c r="F89" s="98" t="s">
        <v>201</v>
      </c>
      <c r="G89" s="99">
        <v>1</v>
      </c>
      <c r="H89" s="23"/>
      <c r="J89" s="51"/>
      <c r="K89" s="51"/>
      <c r="L89" s="51"/>
      <c r="M89" s="51"/>
      <c r="O89" s="79"/>
      <c r="P89" s="51"/>
      <c r="T89" s="48" t="s">
        <v>126</v>
      </c>
      <c r="U89" s="48">
        <v>6</v>
      </c>
      <c r="V89" s="48">
        <v>2</v>
      </c>
      <c r="W89" s="48">
        <f>U89*V89</f>
        <v>12</v>
      </c>
      <c r="X89" s="73"/>
      <c r="Y89" s="73"/>
      <c r="AJ89" s="73"/>
      <c r="AK89" s="73"/>
    </row>
    <row r="90" spans="1:37" s="26" customFormat="1" ht="20.100000000000001" customHeight="1">
      <c r="A90" s="27">
        <v>89</v>
      </c>
      <c r="B90" s="111" t="s">
        <v>332</v>
      </c>
      <c r="C90" s="64" t="s">
        <v>318</v>
      </c>
      <c r="D90" s="98" t="s">
        <v>201</v>
      </c>
      <c r="E90" s="98" t="s">
        <v>201</v>
      </c>
      <c r="F90" s="98" t="s">
        <v>201</v>
      </c>
      <c r="G90" s="99">
        <v>1</v>
      </c>
      <c r="H90" s="23"/>
      <c r="J90" s="51"/>
      <c r="K90" s="51"/>
      <c r="L90" s="51"/>
      <c r="M90" s="51"/>
      <c r="O90" s="79"/>
      <c r="P90" s="51"/>
      <c r="T90" s="48" t="s">
        <v>127</v>
      </c>
      <c r="U90" s="48">
        <v>1</v>
      </c>
      <c r="V90" s="48">
        <v>1</v>
      </c>
      <c r="W90" s="48">
        <f t="shared" ref="W90:W93" si="57">U90*V90</f>
        <v>1</v>
      </c>
      <c r="X90" s="73"/>
      <c r="Y90" s="73"/>
      <c r="AJ90" s="73"/>
      <c r="AK90" s="73"/>
    </row>
    <row r="91" spans="1:37" s="26" customFormat="1" ht="20.100000000000001" customHeight="1">
      <c r="A91" s="56" t="s">
        <v>39</v>
      </c>
      <c r="B91" s="94">
        <f>COUNTA(B8:B90)</f>
        <v>11</v>
      </c>
      <c r="C91" s="94">
        <f>COUNTA(C8:C90)</f>
        <v>83</v>
      </c>
      <c r="D91" s="103">
        <f>SUM(D3:D90)</f>
        <v>220</v>
      </c>
      <c r="E91" s="103">
        <f>SUM(E3:E90)</f>
        <v>1360</v>
      </c>
      <c r="F91" s="103">
        <f>SUM(F3:F90)</f>
        <v>518</v>
      </c>
      <c r="G91" s="103">
        <f>SUM(G3:G90)</f>
        <v>4154</v>
      </c>
      <c r="H91" s="94">
        <f>COUNTA(H8:H90)</f>
        <v>57</v>
      </c>
      <c r="J91" s="51"/>
      <c r="K91" s="51"/>
      <c r="L91" s="51"/>
      <c r="M91" s="51"/>
      <c r="O91" s="79"/>
      <c r="P91" s="51"/>
      <c r="T91" s="48" t="s">
        <v>128</v>
      </c>
      <c r="U91" s="48">
        <v>1</v>
      </c>
      <c r="V91" s="48">
        <v>1</v>
      </c>
      <c r="W91" s="48">
        <f t="shared" si="57"/>
        <v>1</v>
      </c>
      <c r="X91" s="73"/>
      <c r="Y91" s="73"/>
      <c r="AJ91" s="73"/>
      <c r="AK91" s="73"/>
    </row>
    <row r="92" spans="1:37" s="26" customFormat="1" ht="20.100000000000001" customHeight="1">
      <c r="A92" s="25"/>
      <c r="B92" s="25"/>
      <c r="C92" s="25"/>
      <c r="D92" s="45"/>
      <c r="E92" s="29"/>
      <c r="F92" s="29"/>
      <c r="G92" s="29"/>
      <c r="H92" s="28"/>
      <c r="J92" s="51"/>
      <c r="K92" s="51"/>
      <c r="L92" s="51"/>
      <c r="M92" s="51"/>
      <c r="O92" s="79"/>
      <c r="P92" s="51"/>
      <c r="T92" s="36" t="s">
        <v>129</v>
      </c>
      <c r="U92" s="48">
        <v>1</v>
      </c>
      <c r="V92" s="48">
        <v>1</v>
      </c>
      <c r="W92" s="48">
        <f t="shared" si="57"/>
        <v>1</v>
      </c>
      <c r="X92" s="73"/>
      <c r="Y92" s="73"/>
      <c r="AJ92" s="73"/>
      <c r="AK92" s="73"/>
    </row>
    <row r="93" spans="1:37" s="26" customFormat="1" ht="20.100000000000001" customHeight="1">
      <c r="A93" s="25"/>
      <c r="B93" s="25"/>
      <c r="C93" s="25"/>
      <c r="D93" s="45"/>
      <c r="E93" s="29"/>
      <c r="F93" s="29"/>
      <c r="G93" s="29"/>
      <c r="H93" s="28"/>
      <c r="J93" s="51"/>
      <c r="K93" s="51"/>
      <c r="L93" s="51"/>
      <c r="M93" s="51"/>
      <c r="O93" s="79"/>
      <c r="P93" s="51"/>
      <c r="T93" s="48" t="s">
        <v>174</v>
      </c>
      <c r="U93" s="48">
        <v>1</v>
      </c>
      <c r="V93" s="48">
        <v>1</v>
      </c>
      <c r="W93" s="48">
        <f t="shared" si="57"/>
        <v>1</v>
      </c>
      <c r="X93" s="73"/>
      <c r="Y93" s="73"/>
      <c r="AJ93" s="73"/>
      <c r="AK93" s="73"/>
    </row>
    <row r="94" spans="1:37" s="26" customFormat="1" ht="20.100000000000001" customHeight="1">
      <c r="A94" s="25"/>
      <c r="B94" s="25"/>
      <c r="C94" s="25"/>
      <c r="D94" s="45"/>
      <c r="E94" s="29"/>
      <c r="F94" s="29"/>
      <c r="G94" s="29"/>
      <c r="H94" s="28"/>
      <c r="J94" s="51"/>
      <c r="K94" s="51"/>
      <c r="L94" s="51"/>
      <c r="M94" s="51"/>
      <c r="O94" s="79"/>
      <c r="P94" s="51"/>
      <c r="T94" s="48" t="s">
        <v>175</v>
      </c>
      <c r="U94" s="48">
        <v>1</v>
      </c>
      <c r="V94" s="48">
        <v>1</v>
      </c>
      <c r="W94" s="48">
        <f>U94*V94</f>
        <v>1</v>
      </c>
      <c r="X94" s="73"/>
      <c r="Y94" s="73"/>
      <c r="AJ94" s="73"/>
      <c r="AK94" s="73"/>
    </row>
    <row r="95" spans="1:37" ht="20.100000000000001" customHeight="1"/>
  </sheetData>
  <mergeCells count="12">
    <mergeCell ref="A1:F1"/>
    <mergeCell ref="B56:B64"/>
    <mergeCell ref="B42:B48"/>
    <mergeCell ref="B49:B55"/>
    <mergeCell ref="B26:B32"/>
    <mergeCell ref="B33:B41"/>
    <mergeCell ref="B85:B89"/>
    <mergeCell ref="B19:B25"/>
    <mergeCell ref="B3:B12"/>
    <mergeCell ref="B13:B18"/>
    <mergeCell ref="B65:B79"/>
    <mergeCell ref="B80:B84"/>
  </mergeCells>
  <phoneticPr fontId="1" type="noConversion"/>
  <pageMargins left="0.7" right="0.7" top="0.75" bottom="0.75" header="0.3" footer="0.3"/>
  <pageSetup paperSize="9" scale="61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zoomScale="115" zoomScaleNormal="115" workbookViewId="0">
      <selection activeCell="H6" sqref="H6"/>
    </sheetView>
  </sheetViews>
  <sheetFormatPr defaultColWidth="10" defaultRowHeight="13.5"/>
  <cols>
    <col min="1" max="1" width="10.5" style="32" customWidth="1"/>
    <col min="2" max="2" width="8.375" style="32" customWidth="1"/>
    <col min="3" max="3" width="15.75" style="32" customWidth="1"/>
    <col min="4" max="4" width="8.375" style="32" customWidth="1"/>
    <col min="5" max="7" width="13.75" style="32" customWidth="1"/>
    <col min="8" max="8" width="34.875" style="32" bestFit="1" customWidth="1"/>
    <col min="9" max="16384" width="10" style="30"/>
  </cols>
  <sheetData>
    <row r="1" spans="1:8" ht="39.950000000000003" customHeight="1">
      <c r="A1" s="147" t="s">
        <v>42</v>
      </c>
      <c r="B1" s="147"/>
      <c r="C1" s="147"/>
      <c r="D1" s="147"/>
      <c r="E1" s="147"/>
      <c r="F1" s="147"/>
      <c r="G1" s="147"/>
      <c r="H1" s="20" t="s">
        <v>390</v>
      </c>
    </row>
    <row r="2" spans="1:8" ht="20.100000000000001" customHeight="1">
      <c r="A2" s="146" t="s">
        <v>13</v>
      </c>
      <c r="B2" s="146"/>
      <c r="C2" s="146" t="s">
        <v>14</v>
      </c>
      <c r="D2" s="146"/>
      <c r="E2" s="54" t="s">
        <v>15</v>
      </c>
      <c r="F2" s="54" t="s">
        <v>16</v>
      </c>
      <c r="G2" s="54" t="s">
        <v>17</v>
      </c>
      <c r="H2" s="54" t="s">
        <v>18</v>
      </c>
    </row>
    <row r="3" spans="1:8" ht="20.100000000000001" customHeight="1">
      <c r="A3" s="148" t="s">
        <v>56</v>
      </c>
      <c r="B3" s="148" t="s">
        <v>19</v>
      </c>
      <c r="C3" s="37" t="s">
        <v>273</v>
      </c>
      <c r="D3" s="37" t="s">
        <v>20</v>
      </c>
      <c r="E3" s="148" t="s">
        <v>21</v>
      </c>
      <c r="F3" s="148" t="s">
        <v>22</v>
      </c>
      <c r="G3" s="148" t="s">
        <v>23</v>
      </c>
      <c r="H3" s="37"/>
    </row>
    <row r="4" spans="1:8" ht="20.100000000000001" customHeight="1">
      <c r="A4" s="149"/>
      <c r="B4" s="149"/>
      <c r="C4" s="37" t="s">
        <v>124</v>
      </c>
      <c r="D4" s="37" t="s">
        <v>69</v>
      </c>
      <c r="E4" s="149"/>
      <c r="F4" s="149"/>
      <c r="G4" s="149"/>
      <c r="H4" s="37"/>
    </row>
    <row r="5" spans="1:8" ht="20.100000000000001" customHeight="1">
      <c r="A5" s="149"/>
      <c r="B5" s="149"/>
      <c r="C5" s="37" t="s">
        <v>274</v>
      </c>
      <c r="D5" s="37" t="s">
        <v>63</v>
      </c>
      <c r="E5" s="149"/>
      <c r="F5" s="149"/>
      <c r="G5" s="149"/>
      <c r="H5" s="107" t="s">
        <v>346</v>
      </c>
    </row>
    <row r="6" spans="1:8" ht="20.100000000000001" customHeight="1">
      <c r="A6" s="149"/>
      <c r="B6" s="149"/>
      <c r="C6" s="114" t="s">
        <v>357</v>
      </c>
      <c r="D6" s="114" t="s">
        <v>348</v>
      </c>
      <c r="E6" s="149"/>
      <c r="F6" s="149"/>
      <c r="G6" s="149"/>
      <c r="H6" s="113" t="s">
        <v>347</v>
      </c>
    </row>
    <row r="7" spans="1:8" ht="20.100000000000001" customHeight="1">
      <c r="A7" s="150"/>
      <c r="B7" s="150"/>
      <c r="C7" s="114" t="s">
        <v>366</v>
      </c>
      <c r="D7" s="114" t="s">
        <v>355</v>
      </c>
      <c r="E7" s="150"/>
      <c r="F7" s="150"/>
      <c r="G7" s="150"/>
      <c r="H7" s="119"/>
    </row>
    <row r="8" spans="1:8" ht="20.100000000000001" customHeight="1">
      <c r="A8" s="118" t="s">
        <v>323</v>
      </c>
      <c r="B8" s="118" t="s">
        <v>52</v>
      </c>
      <c r="C8" s="40" t="s">
        <v>321</v>
      </c>
      <c r="D8" s="37" t="s">
        <v>53</v>
      </c>
      <c r="E8" s="34" t="s">
        <v>24</v>
      </c>
      <c r="F8" s="37" t="s">
        <v>54</v>
      </c>
      <c r="G8" s="37" t="s">
        <v>25</v>
      </c>
      <c r="H8" s="48" t="s">
        <v>136</v>
      </c>
    </row>
    <row r="9" spans="1:8" ht="20.100000000000001" customHeight="1">
      <c r="A9" s="152" t="s">
        <v>26</v>
      </c>
      <c r="B9" s="152" t="s">
        <v>27</v>
      </c>
      <c r="C9" s="37" t="s">
        <v>43</v>
      </c>
      <c r="D9" s="37" t="s">
        <v>28</v>
      </c>
      <c r="E9" s="37" t="s">
        <v>59</v>
      </c>
      <c r="F9" s="37" t="s">
        <v>60</v>
      </c>
      <c r="G9" s="37" t="s">
        <v>26</v>
      </c>
      <c r="H9" s="37"/>
    </row>
    <row r="10" spans="1:8" ht="20.100000000000001" customHeight="1">
      <c r="A10" s="149"/>
      <c r="B10" s="149"/>
      <c r="C10" s="40" t="s">
        <v>80</v>
      </c>
      <c r="D10" s="37" t="s">
        <v>81</v>
      </c>
      <c r="E10" s="57" t="s">
        <v>84</v>
      </c>
      <c r="F10" s="57" t="s">
        <v>85</v>
      </c>
      <c r="G10" s="37" t="s">
        <v>82</v>
      </c>
      <c r="H10" s="48" t="s">
        <v>83</v>
      </c>
    </row>
    <row r="11" spans="1:8" ht="20.100000000000001" customHeight="1">
      <c r="A11" s="37" t="s">
        <v>79</v>
      </c>
      <c r="B11" s="37" t="s">
        <v>65</v>
      </c>
      <c r="C11" s="37" t="s">
        <v>68</v>
      </c>
      <c r="D11" s="37" t="s">
        <v>66</v>
      </c>
      <c r="E11" s="37" t="s">
        <v>73</v>
      </c>
      <c r="F11" s="37" t="s">
        <v>74</v>
      </c>
      <c r="G11" s="49" t="s">
        <v>44</v>
      </c>
      <c r="H11" s="37"/>
    </row>
    <row r="12" spans="1:8" ht="20.100000000000001" customHeight="1">
      <c r="A12" s="151" t="s">
        <v>61</v>
      </c>
      <c r="B12" s="151" t="s">
        <v>55</v>
      </c>
      <c r="C12" s="37" t="s">
        <v>123</v>
      </c>
      <c r="D12" s="37" t="s">
        <v>109</v>
      </c>
      <c r="E12" s="151" t="s">
        <v>72</v>
      </c>
      <c r="F12" s="151" t="s">
        <v>64</v>
      </c>
      <c r="G12" s="151" t="s">
        <v>75</v>
      </c>
      <c r="H12" s="48"/>
    </row>
    <row r="13" spans="1:8" ht="20.100000000000001" customHeight="1">
      <c r="A13" s="151"/>
      <c r="B13" s="151"/>
      <c r="C13" s="114" t="s">
        <v>337</v>
      </c>
      <c r="D13" s="114" t="s">
        <v>334</v>
      </c>
      <c r="E13" s="151"/>
      <c r="F13" s="151"/>
      <c r="G13" s="151"/>
      <c r="H13" s="115">
        <v>45889</v>
      </c>
    </row>
    <row r="14" spans="1:8" ht="20.100000000000001" customHeight="1">
      <c r="A14" s="151"/>
      <c r="B14" s="151"/>
      <c r="C14" s="114" t="s">
        <v>122</v>
      </c>
      <c r="D14" s="114" t="s">
        <v>335</v>
      </c>
      <c r="E14" s="151"/>
      <c r="F14" s="151"/>
      <c r="G14" s="151"/>
      <c r="H14" s="113" t="s">
        <v>336</v>
      </c>
    </row>
    <row r="15" spans="1:8" ht="20.100000000000001" customHeight="1">
      <c r="A15" s="151"/>
      <c r="B15" s="151"/>
      <c r="C15" s="114" t="s">
        <v>78</v>
      </c>
      <c r="D15" s="114" t="s">
        <v>349</v>
      </c>
      <c r="E15" s="151"/>
      <c r="F15" s="151"/>
      <c r="G15" s="151"/>
      <c r="H15" s="113" t="s">
        <v>71</v>
      </c>
    </row>
    <row r="16" spans="1:8" ht="20.100000000000001" customHeight="1">
      <c r="A16" s="151"/>
      <c r="B16" s="151"/>
      <c r="C16" s="114" t="s">
        <v>67</v>
      </c>
      <c r="D16" s="114" t="s">
        <v>62</v>
      </c>
      <c r="E16" s="151"/>
      <c r="F16" s="151"/>
      <c r="G16" s="151"/>
      <c r="H16" s="113" t="s">
        <v>346</v>
      </c>
    </row>
    <row r="17" spans="1:10" ht="20.100000000000001" customHeight="1">
      <c r="A17" s="151"/>
      <c r="B17" s="151"/>
      <c r="C17" s="114" t="s">
        <v>356</v>
      </c>
      <c r="D17" s="114" t="s">
        <v>345</v>
      </c>
      <c r="E17" s="151"/>
      <c r="F17" s="151"/>
      <c r="G17" s="151"/>
      <c r="H17" s="113" t="s">
        <v>347</v>
      </c>
    </row>
    <row r="18" spans="1:10" ht="20.100000000000001" customHeight="1">
      <c r="A18" s="151"/>
      <c r="B18" s="151"/>
      <c r="C18" s="114" t="s">
        <v>333</v>
      </c>
      <c r="D18" s="114" t="s">
        <v>350</v>
      </c>
      <c r="E18" s="151"/>
      <c r="F18" s="151"/>
      <c r="G18" s="151"/>
      <c r="H18" s="115">
        <v>45889</v>
      </c>
    </row>
    <row r="19" spans="1:10" ht="20.100000000000001" customHeight="1">
      <c r="A19" s="151" t="s">
        <v>324</v>
      </c>
      <c r="B19" s="151" t="s">
        <v>30</v>
      </c>
      <c r="C19" s="37" t="s">
        <v>45</v>
      </c>
      <c r="D19" s="37" t="s">
        <v>31</v>
      </c>
      <c r="E19" s="152" t="s">
        <v>137</v>
      </c>
      <c r="F19" s="151" t="s">
        <v>32</v>
      </c>
      <c r="G19" s="151" t="s">
        <v>76</v>
      </c>
      <c r="H19" s="37"/>
    </row>
    <row r="20" spans="1:10" ht="20.100000000000001" customHeight="1">
      <c r="A20" s="151"/>
      <c r="B20" s="151"/>
      <c r="C20" s="37" t="s">
        <v>282</v>
      </c>
      <c r="D20" s="37" t="s">
        <v>293</v>
      </c>
      <c r="E20" s="149"/>
      <c r="F20" s="151"/>
      <c r="G20" s="151"/>
      <c r="H20" s="37"/>
    </row>
    <row r="21" spans="1:10" ht="20.100000000000001" customHeight="1">
      <c r="A21" s="151"/>
      <c r="B21" s="151"/>
      <c r="C21" s="37" t="s">
        <v>283</v>
      </c>
      <c r="D21" s="37" t="s">
        <v>290</v>
      </c>
      <c r="E21" s="149"/>
      <c r="F21" s="151"/>
      <c r="G21" s="151"/>
      <c r="H21" s="37"/>
    </row>
    <row r="22" spans="1:10" ht="20.100000000000001" customHeight="1">
      <c r="A22" s="151"/>
      <c r="B22" s="151"/>
      <c r="C22" s="37" t="s">
        <v>284</v>
      </c>
      <c r="D22" s="37" t="s">
        <v>291</v>
      </c>
      <c r="E22" s="149"/>
      <c r="F22" s="151"/>
      <c r="G22" s="151"/>
      <c r="H22" s="37"/>
    </row>
    <row r="23" spans="1:10" ht="20.100000000000001" customHeight="1">
      <c r="A23" s="151"/>
      <c r="B23" s="151"/>
      <c r="C23" s="37" t="s">
        <v>285</v>
      </c>
      <c r="D23" s="37" t="s">
        <v>292</v>
      </c>
      <c r="E23" s="149"/>
      <c r="F23" s="151"/>
      <c r="G23" s="151"/>
      <c r="H23" s="37"/>
    </row>
    <row r="24" spans="1:10" ht="20.100000000000001" customHeight="1">
      <c r="A24" s="151"/>
      <c r="B24" s="151"/>
      <c r="C24" s="37" t="s">
        <v>286</v>
      </c>
      <c r="D24" s="37" t="s">
        <v>294</v>
      </c>
      <c r="E24" s="149"/>
      <c r="F24" s="151"/>
      <c r="G24" s="151"/>
      <c r="H24" s="37"/>
    </row>
    <row r="25" spans="1:10" ht="20.100000000000001" customHeight="1">
      <c r="A25" s="151"/>
      <c r="B25" s="151"/>
      <c r="C25" s="37" t="s">
        <v>287</v>
      </c>
      <c r="D25" s="37" t="s">
        <v>295</v>
      </c>
      <c r="E25" s="149"/>
      <c r="F25" s="151"/>
      <c r="G25" s="151"/>
      <c r="H25" s="37"/>
    </row>
    <row r="26" spans="1:10" ht="20.100000000000001" customHeight="1">
      <c r="A26" s="151"/>
      <c r="B26" s="151"/>
      <c r="C26" s="114" t="s">
        <v>288</v>
      </c>
      <c r="D26" s="114" t="s">
        <v>359</v>
      </c>
      <c r="E26" s="149"/>
      <c r="F26" s="151"/>
      <c r="G26" s="151"/>
      <c r="H26" s="37"/>
    </row>
    <row r="27" spans="1:10" ht="20.100000000000001" customHeight="1">
      <c r="A27" s="151"/>
      <c r="B27" s="151"/>
      <c r="C27" s="122" t="s">
        <v>354</v>
      </c>
      <c r="D27" s="114" t="s">
        <v>358</v>
      </c>
      <c r="E27" s="149"/>
      <c r="F27" s="151"/>
      <c r="G27" s="151"/>
      <c r="H27" s="116"/>
    </row>
    <row r="28" spans="1:10" ht="20.100000000000001" customHeight="1">
      <c r="A28" s="151"/>
      <c r="B28" s="151"/>
      <c r="C28" s="105" t="s">
        <v>320</v>
      </c>
      <c r="D28" s="120" t="s">
        <v>142</v>
      </c>
      <c r="E28" s="149"/>
      <c r="F28" s="151"/>
      <c r="G28" s="151"/>
      <c r="H28" s="120" t="s">
        <v>138</v>
      </c>
    </row>
    <row r="29" spans="1:10" ht="20.100000000000001" customHeight="1">
      <c r="A29" s="151"/>
      <c r="B29" s="151"/>
      <c r="C29" s="121" t="s">
        <v>367</v>
      </c>
      <c r="D29" s="84" t="s">
        <v>368</v>
      </c>
      <c r="E29" s="149"/>
      <c r="F29" s="151"/>
      <c r="G29" s="151"/>
      <c r="H29" s="84" t="s">
        <v>369</v>
      </c>
    </row>
    <row r="30" spans="1:10" ht="20.100000000000001" customHeight="1">
      <c r="A30" s="151" t="s">
        <v>33</v>
      </c>
      <c r="B30" s="151" t="s">
        <v>34</v>
      </c>
      <c r="C30" s="37" t="s">
        <v>35</v>
      </c>
      <c r="D30" s="37" t="s">
        <v>36</v>
      </c>
      <c r="E30" s="154" t="s">
        <v>37</v>
      </c>
      <c r="F30" s="154" t="s">
        <v>37</v>
      </c>
      <c r="G30" s="151" t="s">
        <v>33</v>
      </c>
      <c r="H30" s="31"/>
    </row>
    <row r="31" spans="1:10" ht="20.100000000000001" customHeight="1">
      <c r="A31" s="151"/>
      <c r="B31" s="151"/>
      <c r="C31" s="37" t="s">
        <v>296</v>
      </c>
      <c r="D31" s="37" t="s">
        <v>38</v>
      </c>
      <c r="E31" s="154"/>
      <c r="F31" s="154"/>
      <c r="G31" s="151"/>
      <c r="H31" s="37"/>
    </row>
    <row r="32" spans="1:10" ht="20.100000000000001" customHeight="1">
      <c r="A32" s="151"/>
      <c r="B32" s="151"/>
      <c r="C32" s="37" t="s">
        <v>140</v>
      </c>
      <c r="D32" s="37" t="s">
        <v>141</v>
      </c>
      <c r="E32" s="154"/>
      <c r="F32" s="154"/>
      <c r="G32" s="151"/>
      <c r="H32" s="37"/>
      <c r="J32" s="106"/>
    </row>
    <row r="33" spans="1:8" ht="20.100000000000001" customHeight="1">
      <c r="A33" s="155" t="s">
        <v>325</v>
      </c>
      <c r="B33" s="155" t="s">
        <v>132</v>
      </c>
      <c r="C33" s="53" t="s">
        <v>139</v>
      </c>
      <c r="D33" s="53" t="s">
        <v>134</v>
      </c>
      <c r="E33" s="37" t="s">
        <v>29</v>
      </c>
      <c r="F33" s="37" t="s">
        <v>29</v>
      </c>
      <c r="G33" s="152" t="s">
        <v>131</v>
      </c>
      <c r="H33" s="37"/>
    </row>
    <row r="34" spans="1:8" ht="20.100000000000001" customHeight="1">
      <c r="A34" s="156"/>
      <c r="B34" s="156"/>
      <c r="C34" s="40" t="s">
        <v>133</v>
      </c>
      <c r="D34" s="40" t="s">
        <v>135</v>
      </c>
      <c r="E34" s="37" t="s">
        <v>29</v>
      </c>
      <c r="F34" s="37" t="s">
        <v>29</v>
      </c>
      <c r="G34" s="150"/>
      <c r="H34" s="37"/>
    </row>
    <row r="35" spans="1:8" ht="20.100000000000001" customHeight="1">
      <c r="A35" s="37" t="s">
        <v>57</v>
      </c>
      <c r="B35" s="37" t="s">
        <v>121</v>
      </c>
      <c r="C35" s="40" t="s">
        <v>50</v>
      </c>
      <c r="D35" s="40" t="s">
        <v>49</v>
      </c>
      <c r="E35" s="37" t="s">
        <v>29</v>
      </c>
      <c r="F35" s="37" t="s">
        <v>29</v>
      </c>
      <c r="G35" s="37" t="s">
        <v>51</v>
      </c>
      <c r="H35" s="37"/>
    </row>
    <row r="36" spans="1:8" ht="18" customHeight="1">
      <c r="A36" s="148" t="s">
        <v>183</v>
      </c>
      <c r="B36" s="148" t="s">
        <v>184</v>
      </c>
      <c r="C36" s="40" t="s">
        <v>185</v>
      </c>
      <c r="D36" s="40" t="s">
        <v>186</v>
      </c>
      <c r="E36" s="148" t="s">
        <v>137</v>
      </c>
      <c r="F36" s="148" t="s">
        <v>187</v>
      </c>
      <c r="G36" s="148" t="s">
        <v>183</v>
      </c>
      <c r="H36" s="37"/>
    </row>
    <row r="37" spans="1:8" ht="18" customHeight="1">
      <c r="A37" s="150"/>
      <c r="B37" s="150"/>
      <c r="C37" s="40" t="s">
        <v>188</v>
      </c>
      <c r="D37" s="40" t="s">
        <v>189</v>
      </c>
      <c r="E37" s="150"/>
      <c r="F37" s="150"/>
      <c r="G37" s="150"/>
      <c r="H37" s="37"/>
    </row>
    <row r="38" spans="1:8" ht="20.100000000000001" customHeight="1">
      <c r="A38" s="117" t="s">
        <v>360</v>
      </c>
      <c r="B38" s="117" t="s">
        <v>361</v>
      </c>
      <c r="C38" s="40" t="s">
        <v>362</v>
      </c>
      <c r="D38" s="40" t="s">
        <v>363</v>
      </c>
      <c r="E38" s="117"/>
      <c r="F38" s="117"/>
      <c r="G38" s="117" t="s">
        <v>364</v>
      </c>
      <c r="H38" s="117" t="s">
        <v>365</v>
      </c>
    </row>
    <row r="39" spans="1:8" ht="20.100000000000001" customHeight="1">
      <c r="A39" s="54" t="s">
        <v>39</v>
      </c>
      <c r="B39" s="54">
        <f>COUNTA(B3:B35)</f>
        <v>9</v>
      </c>
      <c r="C39" s="146">
        <f>COUNTA(D3:D35)</f>
        <v>33</v>
      </c>
      <c r="D39" s="146"/>
      <c r="E39" s="153"/>
      <c r="F39" s="153"/>
      <c r="G39" s="153"/>
      <c r="H39" s="153"/>
    </row>
    <row r="40" spans="1:8" ht="20.100000000000001" customHeight="1">
      <c r="A40" s="38"/>
      <c r="B40" s="38"/>
      <c r="C40" s="38"/>
      <c r="D40" s="38"/>
      <c r="E40" s="39"/>
      <c r="F40" s="39"/>
      <c r="G40" s="38"/>
      <c r="H40" s="38"/>
    </row>
    <row r="41" spans="1:8" ht="20.100000000000001" customHeight="1">
      <c r="A41" s="38"/>
      <c r="B41" s="38"/>
      <c r="C41" s="38"/>
      <c r="D41" s="38"/>
      <c r="E41" s="39"/>
      <c r="F41" s="39"/>
      <c r="G41" s="38"/>
      <c r="H41" s="38"/>
    </row>
    <row r="42" spans="1:8" ht="20.100000000000001" customHeight="1">
      <c r="A42" s="38"/>
      <c r="B42" s="38"/>
      <c r="C42" s="38"/>
      <c r="D42" s="38"/>
      <c r="E42" s="39"/>
      <c r="F42" s="39"/>
      <c r="G42" s="38"/>
      <c r="H42" s="38"/>
    </row>
    <row r="43" spans="1:8" ht="16.5">
      <c r="A43" s="38"/>
      <c r="B43" s="38"/>
      <c r="C43" s="38"/>
      <c r="D43" s="38"/>
      <c r="E43" s="39"/>
      <c r="F43" s="39"/>
      <c r="G43" s="38"/>
      <c r="H43" s="38"/>
    </row>
    <row r="44" spans="1:8" ht="16.5">
      <c r="A44" s="38"/>
      <c r="B44" s="38"/>
      <c r="C44" s="38"/>
      <c r="D44" s="38"/>
      <c r="E44" s="39"/>
      <c r="F44" s="30"/>
      <c r="G44" s="38"/>
      <c r="H44" s="38"/>
    </row>
    <row r="45" spans="1:8" ht="16.5">
      <c r="A45" s="38"/>
      <c r="B45" s="38"/>
      <c r="C45" s="38"/>
      <c r="D45" s="38"/>
      <c r="E45" s="39"/>
      <c r="F45" s="39"/>
      <c r="G45" s="38"/>
      <c r="H45" s="38"/>
    </row>
    <row r="46" spans="1:8" ht="16.5">
      <c r="A46" s="38"/>
      <c r="B46" s="38"/>
      <c r="C46" s="38"/>
      <c r="D46" s="38"/>
      <c r="E46" s="39"/>
      <c r="F46" s="39"/>
      <c r="G46" s="38"/>
      <c r="H46" s="38"/>
    </row>
    <row r="47" spans="1:8" ht="16.5">
      <c r="A47" s="38"/>
      <c r="B47" s="38"/>
      <c r="C47" s="38"/>
      <c r="D47" s="38"/>
      <c r="E47" s="39"/>
      <c r="F47" s="39"/>
      <c r="G47" s="38"/>
      <c r="H47" s="38"/>
    </row>
    <row r="48" spans="1:8" ht="16.5">
      <c r="A48" s="38"/>
      <c r="B48" s="38"/>
      <c r="C48" s="38"/>
      <c r="D48" s="38"/>
      <c r="E48" s="39"/>
      <c r="F48" s="39"/>
      <c r="G48" s="38"/>
      <c r="H48" s="38"/>
    </row>
    <row r="49" spans="1:8" ht="16.5">
      <c r="A49" s="38"/>
      <c r="B49" s="38"/>
      <c r="C49" s="38"/>
      <c r="D49" s="38"/>
      <c r="E49" s="39"/>
      <c r="F49" s="39"/>
      <c r="G49" s="38"/>
      <c r="H49" s="38"/>
    </row>
    <row r="50" spans="1:8" ht="16.5">
      <c r="A50" s="38"/>
      <c r="B50" s="38"/>
      <c r="C50" s="38"/>
      <c r="D50" s="38"/>
      <c r="E50" s="39"/>
      <c r="F50" s="39"/>
      <c r="G50" s="38"/>
      <c r="H50" s="38"/>
    </row>
    <row r="51" spans="1:8" ht="16.5">
      <c r="A51" s="38"/>
      <c r="B51" s="38"/>
      <c r="C51" s="38"/>
      <c r="D51" s="38"/>
      <c r="E51" s="39"/>
      <c r="F51" s="39"/>
      <c r="G51" s="38"/>
      <c r="H51" s="38"/>
    </row>
    <row r="52" spans="1:8" ht="16.5">
      <c r="A52" s="38"/>
      <c r="B52" s="38"/>
      <c r="C52" s="38"/>
      <c r="D52" s="38"/>
      <c r="E52" s="39"/>
      <c r="F52" s="39"/>
      <c r="G52" s="38"/>
      <c r="H52" s="38"/>
    </row>
    <row r="53" spans="1:8" ht="16.5">
      <c r="A53" s="38"/>
      <c r="B53" s="38"/>
      <c r="C53" s="38"/>
      <c r="D53" s="38"/>
      <c r="E53" s="39"/>
      <c r="F53" s="39"/>
      <c r="G53" s="38"/>
      <c r="H53" s="38"/>
    </row>
    <row r="54" spans="1:8" ht="16.5">
      <c r="A54" s="38"/>
      <c r="B54" s="38"/>
      <c r="C54" s="38"/>
      <c r="D54" s="38"/>
      <c r="E54" s="39"/>
      <c r="F54" s="39"/>
      <c r="G54" s="38"/>
      <c r="H54" s="38"/>
    </row>
    <row r="55" spans="1:8" ht="16.5">
      <c r="A55" s="38"/>
      <c r="B55" s="38"/>
      <c r="C55" s="38"/>
      <c r="D55" s="38"/>
      <c r="E55" s="39"/>
      <c r="F55" s="39"/>
      <c r="G55" s="38"/>
      <c r="H55" s="38"/>
    </row>
    <row r="56" spans="1:8" ht="16.5">
      <c r="A56" s="38"/>
      <c r="B56" s="38"/>
      <c r="C56" s="38"/>
      <c r="D56" s="38"/>
      <c r="E56" s="39"/>
      <c r="F56" s="39"/>
      <c r="G56" s="38"/>
      <c r="H56" s="38"/>
    </row>
    <row r="57" spans="1:8" ht="16.5">
      <c r="A57" s="38"/>
      <c r="B57" s="38"/>
      <c r="C57" s="38"/>
      <c r="D57" s="38"/>
      <c r="E57" s="39"/>
      <c r="F57" s="39"/>
      <c r="G57" s="38"/>
      <c r="H57" s="38"/>
    </row>
    <row r="58" spans="1:8" ht="16.5">
      <c r="A58" s="38"/>
      <c r="B58" s="38"/>
      <c r="C58" s="38"/>
      <c r="D58" s="38"/>
      <c r="E58" s="39"/>
      <c r="F58" s="39"/>
      <c r="G58" s="38"/>
      <c r="H58" s="38"/>
    </row>
    <row r="59" spans="1:8" ht="16.5">
      <c r="A59" s="38"/>
      <c r="B59" s="38"/>
      <c r="C59" s="38"/>
      <c r="D59" s="38"/>
      <c r="E59" s="39"/>
      <c r="F59" s="39"/>
      <c r="G59" s="38"/>
      <c r="H59" s="38"/>
    </row>
  </sheetData>
  <mergeCells count="35">
    <mergeCell ref="C39:D39"/>
    <mergeCell ref="E39:H39"/>
    <mergeCell ref="A30:A32"/>
    <mergeCell ref="B30:B32"/>
    <mergeCell ref="E30:E32"/>
    <mergeCell ref="F30:F32"/>
    <mergeCell ref="G30:G32"/>
    <mergeCell ref="A33:A34"/>
    <mergeCell ref="B33:B34"/>
    <mergeCell ref="G33:G34"/>
    <mergeCell ref="A36:A37"/>
    <mergeCell ref="B36:B37"/>
    <mergeCell ref="E36:E37"/>
    <mergeCell ref="F36:F37"/>
    <mergeCell ref="G36:G37"/>
    <mergeCell ref="E12:E18"/>
    <mergeCell ref="F12:F18"/>
    <mergeCell ref="G12:G18"/>
    <mergeCell ref="F19:F29"/>
    <mergeCell ref="G19:G29"/>
    <mergeCell ref="E19:E29"/>
    <mergeCell ref="A12:A18"/>
    <mergeCell ref="B12:B18"/>
    <mergeCell ref="A19:A29"/>
    <mergeCell ref="B19:B29"/>
    <mergeCell ref="A2:B2"/>
    <mergeCell ref="A9:A10"/>
    <mergeCell ref="B9:B10"/>
    <mergeCell ref="A3:A7"/>
    <mergeCell ref="B3:B7"/>
    <mergeCell ref="C2:D2"/>
    <mergeCell ref="A1:G1"/>
    <mergeCell ref="E3:E7"/>
    <mergeCell ref="F3:F7"/>
    <mergeCell ref="G3:G7"/>
  </mergeCells>
  <phoneticPr fontId="1" type="noConversion"/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Normal="100" workbookViewId="0">
      <selection activeCell="C20" sqref="C20"/>
    </sheetView>
  </sheetViews>
  <sheetFormatPr defaultColWidth="10" defaultRowHeight="16.5"/>
  <cols>
    <col min="1" max="1" width="18.5" style="33" customWidth="1"/>
    <col min="2" max="2" width="10.5" style="33" customWidth="1"/>
    <col min="3" max="3" width="70.5" style="33" bestFit="1" customWidth="1"/>
    <col min="4" max="4" width="22.875" style="33" bestFit="1" customWidth="1"/>
    <col min="5" max="5" width="28.625" style="33" customWidth="1"/>
    <col min="6" max="16384" width="10" style="33"/>
  </cols>
  <sheetData>
    <row r="1" spans="1:5" ht="31.5" customHeight="1" thickBot="1">
      <c r="A1" s="104" t="s">
        <v>40</v>
      </c>
      <c r="B1" s="104"/>
      <c r="C1" s="104"/>
      <c r="D1" s="20"/>
      <c r="E1" s="20" t="s">
        <v>391</v>
      </c>
    </row>
    <row r="2" spans="1:5" ht="26.25" customHeight="1" thickBot="1">
      <c r="A2" s="157" t="s">
        <v>41</v>
      </c>
      <c r="B2" s="158"/>
      <c r="C2" s="42" t="s">
        <v>57</v>
      </c>
      <c r="D2" s="42" t="s">
        <v>278</v>
      </c>
      <c r="E2" s="42" t="s">
        <v>279</v>
      </c>
    </row>
    <row r="3" spans="1:5" ht="68.25" customHeight="1" thickBot="1">
      <c r="A3" s="43" t="s">
        <v>275</v>
      </c>
      <c r="B3" s="159" t="s">
        <v>277</v>
      </c>
      <c r="C3" s="43" t="s">
        <v>289</v>
      </c>
      <c r="D3" s="43" t="s">
        <v>326</v>
      </c>
      <c r="E3" s="161" t="s">
        <v>328</v>
      </c>
    </row>
    <row r="4" spans="1:5" ht="68.25" customHeight="1" thickBot="1">
      <c r="A4" s="43" t="s">
        <v>276</v>
      </c>
      <c r="B4" s="160"/>
      <c r="C4" s="43" t="s">
        <v>322</v>
      </c>
      <c r="D4" s="43" t="s">
        <v>327</v>
      </c>
      <c r="E4" s="162"/>
    </row>
    <row r="6" spans="1:5">
      <c r="C6" s="50"/>
    </row>
    <row r="7" spans="1:5">
      <c r="C7" s="50"/>
    </row>
    <row r="8" spans="1:5">
      <c r="C8" s="50"/>
    </row>
    <row r="9" spans="1:5">
      <c r="A9" s="50" t="s">
        <v>46</v>
      </c>
      <c r="B9" s="50" t="s">
        <v>46</v>
      </c>
      <c r="C9" s="50"/>
      <c r="D9" s="50" t="s">
        <v>46</v>
      </c>
      <c r="E9" s="50" t="s">
        <v>108</v>
      </c>
    </row>
    <row r="10" spans="1:5">
      <c r="C10" s="50"/>
    </row>
  </sheetData>
  <mergeCells count="3">
    <mergeCell ref="A2:B2"/>
    <mergeCell ref="B3:B4"/>
    <mergeCell ref="E3:E4"/>
  </mergeCells>
  <phoneticPr fontId="1" type="noConversion"/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76d8e09-88de-432d-ac19-75aa4b8f228c">RS33FVURPZNH-535706477-25</_dlc_DocId>
    <_dlc_DocIdUrl xmlns="476d8e09-88de-432d-ac19-75aa4b8f228c">
      <Url>https://sp.aekyung.kr/bf/teamsites/team43/_layouts/15/DocIdRedir.aspx?ID=RS33FVURPZNH-535706477-25</Url>
      <Description>RS33FVURPZNH-535706477-25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F635EDD6C2C344D8A964FD164970AB8" ma:contentTypeVersion="0" ma:contentTypeDescription="새 문서를 만듭니다." ma:contentTypeScope="" ma:versionID="bbd8ee2b199ef4c60e6de0fe0b225008">
  <xsd:schema xmlns:xsd="http://www.w3.org/2001/XMLSchema" xmlns:xs="http://www.w3.org/2001/XMLSchema" xmlns:p="http://schemas.microsoft.com/office/2006/metadata/properties" xmlns:ns2="476d8e09-88de-432d-ac19-75aa4b8f228c" targetNamespace="http://schemas.microsoft.com/office/2006/metadata/properties" ma:root="true" ma:fieldsID="6313a807661cfdf846323f329806df82" ns2:_="">
    <xsd:import namespace="476d8e09-88de-432d-ac19-75aa4b8f228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d8e09-88de-432d-ac19-75aa4b8f228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문서 ID 값" ma:description="이 항목에 할당된 문서 ID 값입니다." ma:internalName="_dlc_DocId" ma:readOnly="true">
      <xsd:simpleType>
        <xsd:restriction base="dms:Text"/>
      </xsd:simpleType>
    </xsd:element>
    <xsd:element name="_dlc_DocIdUrl" ma:index="9" nillable="true" ma:displayName="문서 ID" ma:description="이 문서에 대한 영구 링크입니다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영구 ID" ma:description="추가 시 ID를 유지합니다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A006E-DBC7-447A-8D76-D1788C5C5491}">
  <ds:schemaRefs>
    <ds:schemaRef ds:uri="http://purl.org/dc/elements/1.1/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11385C6-83C6-475E-ADC9-21806C7917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C89B25-CE42-440E-9066-5F23946F19B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1B4FB7B-BA7F-41D2-B2FC-77696E9158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6d8e09-88de-432d-ac19-75aa4b8f22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표지</vt:lpstr>
      <vt:lpstr>개정이력</vt:lpstr>
      <vt:lpstr>사업장</vt:lpstr>
      <vt:lpstr>센터_창고유형</vt:lpstr>
      <vt:lpstr>위치</vt:lpstr>
      <vt:lpstr>수불유형</vt:lpstr>
      <vt:lpstr>SKU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taeklee</dc:creator>
  <cp:lastModifiedBy>신현규</cp:lastModifiedBy>
  <cp:lastPrinted>2024-06-10T01:11:10Z</cp:lastPrinted>
  <dcterms:created xsi:type="dcterms:W3CDTF">2020-02-13T07:55:41Z</dcterms:created>
  <dcterms:modified xsi:type="dcterms:W3CDTF">2025-12-29T06:08:39Z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0x010100AF635EDD6C2C344D8A964FD164970AB8</vt:lpwstr>
  </property>
  <property fmtid="{D5CDD505-2E9C-101B-9397-08002B2CF9AE}" pid="3" name="_dlc_DocIdItemGuid">
    <vt:lpwstr>365f4208-93dc-47fe-90c7-5893ee5907ba</vt:lpwstr>
  </property>
</Properties>
</file>