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zinide\workspace\cloud-wms-doc\template\04 구현(PI)\"/>
    </mc:Choice>
  </mc:AlternateContent>
  <xr:revisionPtr revIDLastSave="0" documentId="13_ncr:1_{8F79628B-6DF1-46DE-8B67-D6D61B93E683}" xr6:coauthVersionLast="47" xr6:coauthVersionMax="47" xr10:uidLastSave="{00000000-0000-0000-0000-000000000000}"/>
  <bookViews>
    <workbookView xWindow="4620" yWindow="-16320" windowWidth="29040" windowHeight="15720" tabRatio="694" activeTab="4" xr2:uid="{00000000-000D-0000-FFFF-FFFF00000000}"/>
  </bookViews>
  <sheets>
    <sheet name="표지" sheetId="21" r:id="rId1"/>
    <sheet name="개정이력" sheetId="8" r:id="rId2"/>
    <sheet name="통합테스트-업무영역" sheetId="23" r:id="rId3"/>
    <sheet name="통합테스트 수행보고서" sheetId="20" r:id="rId4"/>
    <sheet name="통합테스트 수정 및 요청사항" sheetId="26" r:id="rId5"/>
    <sheet name="권한그룹" sheetId="24" r:id="rId6"/>
    <sheet name="data" sheetId="25" r:id="rId7"/>
  </sheets>
  <definedNames>
    <definedName name="_xlnm._FilterDatabase" localSheetId="5" hidden="1">권한그룹!$A$2:$I$54</definedName>
    <definedName name="_xlnm._FilterDatabase" localSheetId="4" hidden="1">'통합테스트 수정 및 요청사항'!$A$2:$K$35</definedName>
    <definedName name="_xlnm._FilterDatabase" localSheetId="3" hidden="1">'통합테스트 수행보고서'!$A$2:$L$210</definedName>
    <definedName name="_xlnm._FilterDatabase" localSheetId="2" hidden="1">'통합테스트-업무영역'!$A$2:$D$13</definedName>
    <definedName name="_xlnm.Print_Area" localSheetId="0">표지!$A$1:$N$26</definedName>
    <definedName name="Z_EE1A10A4_E858_4149_B578_C60E13242F26_.wvu.FilterData" localSheetId="4" hidden="1">'통합테스트 수정 및 요청사항'!$A$2:$K$35</definedName>
    <definedName name="Z_EE1A10A4_E858_4149_B578_C60E13242F26_.wvu.FilterData" localSheetId="2" hidden="1">'통합테스트-업무영역'!$A$2:$D$13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26" l="1"/>
  <c r="A33" i="26" l="1"/>
  <c r="A32" i="26" l="1"/>
  <c r="G35" i="26" l="1"/>
  <c r="H35" i="26"/>
  <c r="I35" i="26"/>
  <c r="F35" i="26"/>
  <c r="E35" i="26"/>
  <c r="H40" i="26" s="1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F10" i="25"/>
  <c r="F4" i="25"/>
  <c r="F9" i="25"/>
  <c r="F8" i="25"/>
  <c r="F7" i="25"/>
  <c r="H39" i="26" l="1"/>
  <c r="H42" i="26"/>
  <c r="J35" i="26"/>
  <c r="H41" i="26"/>
  <c r="J8" i="25"/>
  <c r="I8" i="25"/>
  <c r="H43" i="26" l="1"/>
  <c r="F210" i="20"/>
  <c r="E11" i="25" l="1"/>
  <c r="A4" i="26"/>
  <c r="A3" i="26"/>
  <c r="I39" i="26" l="1"/>
  <c r="I42" i="26"/>
  <c r="J42" i="26" s="1"/>
  <c r="I41" i="26"/>
  <c r="J41" i="26" s="1"/>
  <c r="I40" i="26"/>
  <c r="J40" i="26" s="1"/>
  <c r="J39" i="26" l="1"/>
  <c r="I43" i="26"/>
  <c r="J43" i="26" s="1"/>
  <c r="F6" i="25" l="1"/>
  <c r="I217" i="20"/>
  <c r="I216" i="20"/>
  <c r="I215" i="20"/>
  <c r="I210" i="20"/>
  <c r="I218" i="20" l="1"/>
  <c r="C11" i="25"/>
  <c r="F11" i="25" s="1"/>
  <c r="F5" i="25"/>
  <c r="G210" i="20"/>
  <c r="H210" i="20"/>
  <c r="J210" i="20"/>
  <c r="G15" i="23" l="1"/>
  <c r="F15" i="23"/>
  <c r="E15" i="23"/>
  <c r="D15" i="23"/>
  <c r="C15" i="23"/>
  <c r="H14" i="23"/>
  <c r="H13" i="23"/>
  <c r="H12" i="23"/>
  <c r="H11" i="23"/>
  <c r="H10" i="23"/>
  <c r="H9" i="23"/>
  <c r="H8" i="23"/>
  <c r="H7" i="23"/>
  <c r="H6" i="23"/>
  <c r="H5" i="23"/>
  <c r="H4" i="23"/>
  <c r="H15" i="23" l="1"/>
  <c r="I57" i="24"/>
  <c r="H57" i="24"/>
  <c r="G57" i="24"/>
  <c r="F57" i="24"/>
  <c r="E57" i="24"/>
  <c r="D57" i="24"/>
  <c r="C57" i="24"/>
  <c r="B57" i="24"/>
  <c r="A57" i="24"/>
  <c r="K210" i="20" l="1"/>
  <c r="L210" i="20"/>
</calcChain>
</file>

<file path=xl/sharedStrings.xml><?xml version="1.0" encoding="utf-8"?>
<sst xmlns="http://schemas.openxmlformats.org/spreadsheetml/2006/main" count="2215" uniqueCount="980">
  <si>
    <t>개 정 이 력</t>
    <phoneticPr fontId="8" type="noConversion"/>
  </si>
  <si>
    <t>버전</t>
  </si>
  <si>
    <t>개정범위</t>
    <phoneticPr fontId="1" type="noConversion"/>
  </si>
  <si>
    <t>내용</t>
    <phoneticPr fontId="8" type="noConversion"/>
  </si>
  <si>
    <t>작성자</t>
  </si>
  <si>
    <t>일자</t>
    <phoneticPr fontId="1" type="noConversion"/>
  </si>
  <si>
    <t>v1.0</t>
    <phoneticPr fontId="8" type="noConversion"/>
  </si>
  <si>
    <t>전체</t>
    <phoneticPr fontId="1" type="noConversion"/>
  </si>
  <si>
    <t>최초 작성</t>
    <phoneticPr fontId="8" type="noConversion"/>
  </si>
  <si>
    <t>품목</t>
    <phoneticPr fontId="1" type="noConversion"/>
  </si>
  <si>
    <t>입고</t>
    <phoneticPr fontId="1" type="noConversion"/>
  </si>
  <si>
    <t>O</t>
    <phoneticPr fontId="1" type="noConversion"/>
  </si>
  <si>
    <t>입고처리</t>
    <phoneticPr fontId="1" type="noConversion"/>
  </si>
  <si>
    <t>O</t>
    <phoneticPr fontId="1" type="noConversion"/>
  </si>
  <si>
    <t>반품예정</t>
    <phoneticPr fontId="1" type="noConversion"/>
  </si>
  <si>
    <t>반품처리</t>
    <phoneticPr fontId="1" type="noConversion"/>
  </si>
  <si>
    <t>위치</t>
    <phoneticPr fontId="1" type="noConversion"/>
  </si>
  <si>
    <t>재고이동</t>
    <phoneticPr fontId="1" type="noConversion"/>
  </si>
  <si>
    <t>입고처리</t>
    <phoneticPr fontId="1" type="noConversion"/>
  </si>
  <si>
    <t>SYSTEM</t>
    <phoneticPr fontId="1" type="noConversion"/>
  </si>
  <si>
    <t>확인내용</t>
    <phoneticPr fontId="1" type="noConversion"/>
  </si>
  <si>
    <t>확인일자</t>
    <phoneticPr fontId="1" type="noConversion"/>
  </si>
  <si>
    <t>창고</t>
    <phoneticPr fontId="1" type="noConversion"/>
  </si>
  <si>
    <t>조회 조건은 정상 구현 되는지?</t>
    <phoneticPr fontId="1" type="noConversion"/>
  </si>
  <si>
    <t>위치 조회</t>
    <phoneticPr fontId="1" type="noConversion"/>
  </si>
  <si>
    <t>위치 등록</t>
    <phoneticPr fontId="1" type="noConversion"/>
  </si>
  <si>
    <t>라벨 출력</t>
    <phoneticPr fontId="1" type="noConversion"/>
  </si>
  <si>
    <t>위치라벨 출력 기능은 정상 구현되는지?</t>
    <phoneticPr fontId="1" type="noConversion"/>
  </si>
  <si>
    <t>사용자</t>
    <phoneticPr fontId="1" type="noConversion"/>
  </si>
  <si>
    <t>사용자 조회</t>
    <phoneticPr fontId="1" type="noConversion"/>
  </si>
  <si>
    <t>사용자 등록</t>
    <phoneticPr fontId="1" type="noConversion"/>
  </si>
  <si>
    <t>품목 조회</t>
    <phoneticPr fontId="1" type="noConversion"/>
  </si>
  <si>
    <t>세트구성 입력</t>
    <phoneticPr fontId="1" type="noConversion"/>
  </si>
  <si>
    <t>수신내역 확인 및 입고예정 조회</t>
    <phoneticPr fontId="1" type="noConversion"/>
  </si>
  <si>
    <t>강제확정 처리 기능은 정상 처리되는지?</t>
    <phoneticPr fontId="1" type="noConversion"/>
  </si>
  <si>
    <t>입고지시서 출력</t>
    <phoneticPr fontId="1" type="noConversion"/>
  </si>
  <si>
    <t>입고지시서 출력은 정상 구현되는지?</t>
    <phoneticPr fontId="1" type="noConversion"/>
  </si>
  <si>
    <t>이동처리 기능은 정상 구현되는지?(수불, 재고 확인)</t>
    <phoneticPr fontId="1" type="noConversion"/>
  </si>
  <si>
    <t>품목바코드 / 위치바코드 스캔 후 재고이동 처리</t>
    <phoneticPr fontId="1" type="noConversion"/>
  </si>
  <si>
    <t>재고조정</t>
    <phoneticPr fontId="8" type="noConversion"/>
  </si>
  <si>
    <t>재고실사일정등록</t>
    <phoneticPr fontId="8" type="noConversion"/>
  </si>
  <si>
    <t>재고실사표 출력 기능은 정상 구현되는지?</t>
    <phoneticPr fontId="1" type="noConversion"/>
  </si>
  <si>
    <t>출고지시</t>
    <phoneticPr fontId="8" type="noConversion"/>
  </si>
  <si>
    <t>메뉴</t>
  </si>
  <si>
    <t>처리일자</t>
  </si>
  <si>
    <t>담당자</t>
  </si>
  <si>
    <t>수정내용</t>
  </si>
  <si>
    <t>비고</t>
  </si>
  <si>
    <t>거래처</t>
  </si>
  <si>
    <t>사양변경</t>
  </si>
  <si>
    <t>오류</t>
  </si>
  <si>
    <t>개발</t>
  </si>
  <si>
    <t>유형</t>
  </si>
  <si>
    <t>건수</t>
  </si>
  <si>
    <t>완료</t>
  </si>
  <si>
    <t>합계</t>
  </si>
  <si>
    <t>테스트ID</t>
    <phoneticPr fontId="1" type="noConversion"/>
  </si>
  <si>
    <t>항목</t>
    <phoneticPr fontId="1" type="noConversion"/>
  </si>
  <si>
    <t>처리내용</t>
    <phoneticPr fontId="1" type="noConversion"/>
  </si>
  <si>
    <t>오류내용</t>
    <phoneticPr fontId="1" type="noConversion"/>
  </si>
  <si>
    <t>오류조치일자</t>
    <phoneticPr fontId="1" type="noConversion"/>
  </si>
  <si>
    <t>조치결과확인</t>
    <phoneticPr fontId="1" type="noConversion"/>
  </si>
  <si>
    <t>창고 조회</t>
    <phoneticPr fontId="1" type="noConversion"/>
  </si>
  <si>
    <t>조회 조건은 정상 구현 되는지?</t>
    <phoneticPr fontId="1" type="noConversion"/>
  </si>
  <si>
    <t>창고 등록</t>
    <phoneticPr fontId="1" type="noConversion"/>
  </si>
  <si>
    <t>등록/수정은 정상 구현 되는지?</t>
    <phoneticPr fontId="1" type="noConversion"/>
  </si>
  <si>
    <t>위치</t>
    <phoneticPr fontId="1" type="noConversion"/>
  </si>
  <si>
    <t>사용자</t>
    <phoneticPr fontId="1" type="noConversion"/>
  </si>
  <si>
    <t>사용자</t>
    <phoneticPr fontId="1" type="noConversion"/>
  </si>
  <si>
    <t>추가/수정 기능은 정상 구현 되는지? (삭제는 안됨)</t>
    <phoneticPr fontId="1" type="noConversion"/>
  </si>
  <si>
    <t>비밀번호 초기화</t>
    <phoneticPr fontId="1" type="noConversion"/>
  </si>
  <si>
    <t>비밀번호초기화 기능은 정상 구현 되는지?</t>
    <phoneticPr fontId="1" type="noConversion"/>
  </si>
  <si>
    <t>품목</t>
    <phoneticPr fontId="1" type="noConversion"/>
  </si>
  <si>
    <t>수신내역 확인 및 품목조회</t>
    <phoneticPr fontId="1" type="noConversion"/>
  </si>
  <si>
    <t>WMS 품목 정보 수신 내용 확인</t>
    <phoneticPr fontId="1" type="noConversion"/>
  </si>
  <si>
    <t>품목속성 수정 후 저장</t>
    <phoneticPr fontId="1" type="noConversion"/>
  </si>
  <si>
    <t>품목 수정 기능 정상 구현 되는지?</t>
    <phoneticPr fontId="1" type="noConversion"/>
  </si>
  <si>
    <t>거래처</t>
    <phoneticPr fontId="1" type="noConversion"/>
  </si>
  <si>
    <t>거래처</t>
    <phoneticPr fontId="1" type="noConversion"/>
  </si>
  <si>
    <t>수신내역 확인 및 거래처 조회</t>
    <phoneticPr fontId="1" type="noConversion"/>
  </si>
  <si>
    <t>거래처 정보 입력 후 저장</t>
    <phoneticPr fontId="1" type="noConversion"/>
  </si>
  <si>
    <t>추가/수정/삭제 기능은 정상 구현 되는지?</t>
    <phoneticPr fontId="1" type="noConversion"/>
  </si>
  <si>
    <t>세트구성</t>
    <phoneticPr fontId="1" type="noConversion"/>
  </si>
  <si>
    <t>세트구성 조회</t>
    <phoneticPr fontId="1" type="noConversion"/>
  </si>
  <si>
    <t>입고예정</t>
    <phoneticPr fontId="1" type="noConversion"/>
  </si>
  <si>
    <t>입고예정</t>
    <phoneticPr fontId="1" type="noConversion"/>
  </si>
  <si>
    <t>입고처리</t>
    <phoneticPr fontId="1" type="noConversion"/>
  </si>
  <si>
    <t>SKU생성 및 라벨 발행</t>
    <phoneticPr fontId="1" type="noConversion"/>
  </si>
  <si>
    <t>입고처리</t>
    <phoneticPr fontId="1" type="noConversion"/>
  </si>
  <si>
    <t>예외출고</t>
    <phoneticPr fontId="1" type="noConversion"/>
  </si>
  <si>
    <t>예외출고</t>
    <phoneticPr fontId="1" type="noConversion"/>
  </si>
  <si>
    <t>재고이동</t>
    <phoneticPr fontId="1" type="noConversion"/>
  </si>
  <si>
    <t>재고이동 처리</t>
    <phoneticPr fontId="1" type="noConversion"/>
  </si>
  <si>
    <t>강제확정 처리</t>
    <phoneticPr fontId="1" type="noConversion"/>
  </si>
  <si>
    <t>반품처리</t>
    <phoneticPr fontId="1" type="noConversion"/>
  </si>
  <si>
    <t>재고이동요청</t>
    <phoneticPr fontId="1" type="noConversion"/>
  </si>
  <si>
    <t>재고이동 요청 등록</t>
    <phoneticPr fontId="1" type="noConversion"/>
  </si>
  <si>
    <t>창고/위치 지정 및 수량지정 기능은 정상 구현되는지?</t>
    <phoneticPr fontId="1" type="noConversion"/>
  </si>
  <si>
    <t>재고이동요청</t>
    <phoneticPr fontId="1" type="noConversion"/>
  </si>
  <si>
    <t>이동처리 기능은 정상 구현되는지?(수불, 재고 확인)</t>
    <phoneticPr fontId="1" type="noConversion"/>
  </si>
  <si>
    <t>이동지시서 출력</t>
    <phoneticPr fontId="1" type="noConversion"/>
  </si>
  <si>
    <t>이동지시서는 정상 출력되는지?</t>
    <phoneticPr fontId="1" type="noConversion"/>
  </si>
  <si>
    <t>재고조회</t>
    <phoneticPr fontId="1" type="noConversion"/>
  </si>
  <si>
    <t>품목바코드 / 위치바코드 스캔 후 재고수량 확인</t>
    <phoneticPr fontId="1" type="noConversion"/>
  </si>
  <si>
    <t>품목바코드 &amp; 위치바코드 스캔 시 품목/재고/위치 정보가 정상으로 표시 되는지?</t>
    <phoneticPr fontId="1" type="noConversion"/>
  </si>
  <si>
    <t>재고조정</t>
    <phoneticPr fontId="8" type="noConversion"/>
  </si>
  <si>
    <t>재고조정 등록</t>
    <phoneticPr fontId="1" type="noConversion"/>
  </si>
  <si>
    <t>재고조정 헤더정보 추가/수정/삭제 기능은 정상 구현되는지?</t>
    <phoneticPr fontId="1" type="noConversion"/>
  </si>
  <si>
    <t>재고조정 품목 등록</t>
    <phoneticPr fontId="1" type="noConversion"/>
  </si>
  <si>
    <t>품목추가시 +조정, -조정 기능은 정상 구현되는지?</t>
    <phoneticPr fontId="1" type="noConversion"/>
  </si>
  <si>
    <t>재고엑셀등록 및 신규엑셀등록 처리</t>
    <phoneticPr fontId="1" type="noConversion"/>
  </si>
  <si>
    <t>재고일괄등록 및 신규재고 등록 기능은 정상 구현되는지?</t>
    <phoneticPr fontId="1" type="noConversion"/>
  </si>
  <si>
    <t>재고조정 처리</t>
    <phoneticPr fontId="1" type="noConversion"/>
  </si>
  <si>
    <t>재고조정 기능은 정상 구현되는지?(수불, 재고 확인)</t>
    <phoneticPr fontId="1" type="noConversion"/>
  </si>
  <si>
    <t>SKU변경</t>
    <phoneticPr fontId="8" type="noConversion"/>
  </si>
  <si>
    <t>SKU변경</t>
    <phoneticPr fontId="8" type="noConversion"/>
  </si>
  <si>
    <t>SKU변경 처리</t>
    <phoneticPr fontId="1" type="noConversion"/>
  </si>
  <si>
    <t>세트작업</t>
    <phoneticPr fontId="8" type="noConversion"/>
  </si>
  <si>
    <t>재고실사 일정등록</t>
    <phoneticPr fontId="8" type="noConversion"/>
  </si>
  <si>
    <t>실사일정등록을 정상 구현되는지?</t>
    <phoneticPr fontId="1" type="noConversion"/>
  </si>
  <si>
    <t>재고실사일정등록</t>
    <phoneticPr fontId="8" type="noConversion"/>
  </si>
  <si>
    <t>재고고정 기능은 정상 구현되는지?</t>
    <phoneticPr fontId="1" type="noConversion"/>
  </si>
  <si>
    <t>실사재고등록</t>
    <phoneticPr fontId="8" type="noConversion"/>
  </si>
  <si>
    <t>저장 기능은 정상 구현 되는지?</t>
    <phoneticPr fontId="1" type="noConversion"/>
  </si>
  <si>
    <t>실사재고등록</t>
    <phoneticPr fontId="8" type="noConversion"/>
  </si>
  <si>
    <t>재고실사</t>
    <phoneticPr fontId="8" type="noConversion"/>
  </si>
  <si>
    <t>실사 재고 등록</t>
    <phoneticPr fontId="8" type="noConversion"/>
  </si>
  <si>
    <t>재고실사비교</t>
    <phoneticPr fontId="8" type="noConversion"/>
  </si>
  <si>
    <t>재고실사비교 조회</t>
    <phoneticPr fontId="8" type="noConversion"/>
  </si>
  <si>
    <t>조회 조건은 정상 구현 되는지?</t>
    <phoneticPr fontId="1" type="noConversion"/>
  </si>
  <si>
    <t>재고조정 요청</t>
    <phoneticPr fontId="8" type="noConversion"/>
  </si>
  <si>
    <t>출하예정</t>
    <phoneticPr fontId="8" type="noConversion"/>
  </si>
  <si>
    <t>재고확인</t>
    <phoneticPr fontId="1" type="noConversion"/>
  </si>
  <si>
    <t>재고확인 기능은 정상 구현되는지?</t>
    <phoneticPr fontId="1" type="noConversion"/>
  </si>
  <si>
    <t>출고지시</t>
    <phoneticPr fontId="8" type="noConversion"/>
  </si>
  <si>
    <t>출고처리</t>
    <phoneticPr fontId="25" type="noConversion"/>
  </si>
  <si>
    <t>출고처리 조회</t>
    <phoneticPr fontId="1" type="noConversion"/>
  </si>
  <si>
    <t xml:space="preserve"> </t>
    <phoneticPr fontId="1" type="noConversion"/>
  </si>
  <si>
    <t>통합테스트 보고서</t>
    <phoneticPr fontId="8" type="noConversion"/>
  </si>
  <si>
    <t>통합테스트 보고서(WMS)</t>
    <phoneticPr fontId="1" type="noConversion"/>
  </si>
  <si>
    <t>△</t>
  </si>
  <si>
    <t>ERP</t>
    <phoneticPr fontId="1" type="noConversion"/>
  </si>
  <si>
    <t>ERP에서 품목등록 및 수정</t>
    <phoneticPr fontId="1" type="noConversion"/>
  </si>
  <si>
    <t>ERP에서 거래처 등록 및 수정</t>
    <phoneticPr fontId="1" type="noConversion"/>
  </si>
  <si>
    <t>ERP 품목정보 입력 후 ERP -&gt; WMS IF 전송 확인</t>
  </si>
  <si>
    <t>ERP 구매오더 입력 후 연동 -&gt; WMS IF 전송 확인</t>
  </si>
  <si>
    <t>ERP</t>
  </si>
  <si>
    <t>업무영역</t>
    <phoneticPr fontId="1" type="noConversion"/>
  </si>
  <si>
    <t>기준정보</t>
  </si>
  <si>
    <t>업무영역</t>
    <phoneticPr fontId="1" type="noConversion"/>
  </si>
  <si>
    <t>통합테스트 - 업무영역</t>
    <phoneticPr fontId="1" type="noConversion"/>
  </si>
  <si>
    <t>입고</t>
    <phoneticPr fontId="1" type="noConversion"/>
  </si>
  <si>
    <t>업무영역 세부</t>
    <phoneticPr fontId="1" type="noConversion"/>
  </si>
  <si>
    <t>출하반품</t>
    <phoneticPr fontId="1" type="noConversion"/>
  </si>
  <si>
    <t>기준정보</t>
    <phoneticPr fontId="1" type="noConversion"/>
  </si>
  <si>
    <t>출하타압3</t>
    <phoneticPr fontId="1" type="noConversion"/>
  </si>
  <si>
    <t>입고타입1-01</t>
    <phoneticPr fontId="1" type="noConversion"/>
  </si>
  <si>
    <t>입고타입1-02</t>
    <phoneticPr fontId="1" type="noConversion"/>
  </si>
  <si>
    <t>입고타입1-03</t>
    <phoneticPr fontId="1" type="noConversion"/>
  </si>
  <si>
    <t>입고타입1-04</t>
    <phoneticPr fontId="1" type="noConversion"/>
  </si>
  <si>
    <t>입고타입1-05</t>
    <phoneticPr fontId="1" type="noConversion"/>
  </si>
  <si>
    <t>입고타입1-06</t>
    <phoneticPr fontId="1" type="noConversion"/>
  </si>
  <si>
    <t>입고타입1-08</t>
    <phoneticPr fontId="1" type="noConversion"/>
  </si>
  <si>
    <t>입고타입1-09</t>
    <phoneticPr fontId="1" type="noConversion"/>
  </si>
  <si>
    <t>입고타입1-10</t>
    <phoneticPr fontId="1" type="noConversion"/>
  </si>
  <si>
    <t>입고타입1-11</t>
    <phoneticPr fontId="1" type="noConversion"/>
  </si>
  <si>
    <t>ERP에서 구매오더 작성 - 구매입고</t>
    <phoneticPr fontId="1" type="noConversion"/>
  </si>
  <si>
    <t>WMS 입고예정 정보 수신 내용 확인 - 구매입고</t>
    <phoneticPr fontId="1" type="noConversion"/>
  </si>
  <si>
    <t>입고타입2-01</t>
    <phoneticPr fontId="1" type="noConversion"/>
  </si>
  <si>
    <t>입고타입2-02</t>
    <phoneticPr fontId="1" type="noConversion"/>
  </si>
  <si>
    <t>입고타입2-03</t>
    <phoneticPr fontId="1" type="noConversion"/>
  </si>
  <si>
    <t>입고타입2-04</t>
    <phoneticPr fontId="1" type="noConversion"/>
  </si>
  <si>
    <t>입고타입2-05</t>
    <phoneticPr fontId="1" type="noConversion"/>
  </si>
  <si>
    <t>외주입고/예외입고/센터입고/외주센터입고</t>
    <phoneticPr fontId="1" type="noConversion"/>
  </si>
  <si>
    <t>센터-&gt;센터 : 센터출하</t>
    <phoneticPr fontId="1" type="noConversion"/>
  </si>
  <si>
    <t xml:space="preserve">외주-&gt;가맹점/센터 : 외주직출/외주센터출하 </t>
    <phoneticPr fontId="1" type="noConversion"/>
  </si>
  <si>
    <t>출하타입2</t>
    <phoneticPr fontId="1" type="noConversion"/>
  </si>
  <si>
    <t>센터-&gt;가맹점 : 판매출하/마감후출하/기타출하/삭제오더</t>
    <phoneticPr fontId="1" type="noConversion"/>
  </si>
  <si>
    <t>입고타입1</t>
    <phoneticPr fontId="1" type="noConversion"/>
  </si>
  <si>
    <t>권한범위 및 권한그룹 재설정 시 권한 기능은 정상 구현 되는지?</t>
    <phoneticPr fontId="1" type="noConversion"/>
  </si>
  <si>
    <t>권한범위 및 권한그룹 재설정</t>
    <phoneticPr fontId="1" type="noConversion"/>
  </si>
  <si>
    <t>비고 등록 기능은 정상 구현 되는지?</t>
    <phoneticPr fontId="1" type="noConversion"/>
  </si>
  <si>
    <t>기준정보</t>
    <phoneticPr fontId="1" type="noConversion"/>
  </si>
  <si>
    <t>기준정보-01</t>
    <phoneticPr fontId="1" type="noConversion"/>
  </si>
  <si>
    <t>기준정보-02</t>
    <phoneticPr fontId="1" type="noConversion"/>
  </si>
  <si>
    <t>기준정보-03</t>
    <phoneticPr fontId="1" type="noConversion"/>
  </si>
  <si>
    <t>기준정보-04</t>
    <phoneticPr fontId="1" type="noConversion"/>
  </si>
  <si>
    <t>기준정보-05</t>
    <phoneticPr fontId="1" type="noConversion"/>
  </si>
  <si>
    <t>기준정보-06</t>
    <phoneticPr fontId="1" type="noConversion"/>
  </si>
  <si>
    <t>기준정보-07</t>
    <phoneticPr fontId="1" type="noConversion"/>
  </si>
  <si>
    <t>기준정보-08</t>
    <phoneticPr fontId="1" type="noConversion"/>
  </si>
  <si>
    <t>기준정보-09</t>
    <phoneticPr fontId="1" type="noConversion"/>
  </si>
  <si>
    <t>기준정보-10</t>
    <phoneticPr fontId="1" type="noConversion"/>
  </si>
  <si>
    <t>기준정보-11</t>
    <phoneticPr fontId="1" type="noConversion"/>
  </si>
  <si>
    <t>기준정보-12</t>
    <phoneticPr fontId="1" type="noConversion"/>
  </si>
  <si>
    <t>기준정보-13</t>
    <phoneticPr fontId="1" type="noConversion"/>
  </si>
  <si>
    <t>기준정보-14</t>
    <phoneticPr fontId="1" type="noConversion"/>
  </si>
  <si>
    <t>기준정보-15</t>
    <phoneticPr fontId="1" type="noConversion"/>
  </si>
  <si>
    <t>기준정보-20</t>
    <phoneticPr fontId="1" type="noConversion"/>
  </si>
  <si>
    <t>기준정보-21</t>
    <phoneticPr fontId="1" type="noConversion"/>
  </si>
  <si>
    <t>기준정보-22</t>
    <phoneticPr fontId="1" type="noConversion"/>
  </si>
  <si>
    <t>입고</t>
    <phoneticPr fontId="1" type="noConversion"/>
  </si>
  <si>
    <t>입고처리취소 기능은 정상 구현되는지?(입고, 수불, 재고 확인)</t>
  </si>
  <si>
    <t>부자재 - 입고처리 시 입고상태/수불/재고는 정상등록 되는지?</t>
    <phoneticPr fontId="1" type="noConversion"/>
  </si>
  <si>
    <t>원자재 - 가입고처리 및 검수처리는 정상 처리 되는지?(수불/재고)</t>
    <phoneticPr fontId="1" type="noConversion"/>
  </si>
  <si>
    <t>입고처리</t>
    <phoneticPr fontId="1" type="noConversion"/>
  </si>
  <si>
    <t>부자재 - SKU생성/생성취소, 라벨 발행 및 출력은 정상 처리되는지?</t>
    <phoneticPr fontId="1" type="noConversion"/>
  </si>
  <si>
    <t>원자재 - SKU생성/생성취소, 라벨 발행은 정상 처리되는지?</t>
    <phoneticPr fontId="1" type="noConversion"/>
  </si>
  <si>
    <t>원자재 - 검수처리 기능이 정상구현되는지?(소비기한 변경/ 수량변경)</t>
    <phoneticPr fontId="1" type="noConversion"/>
  </si>
  <si>
    <t>SKU생성 및 라벨 발행</t>
    <phoneticPr fontId="1" type="noConversion"/>
  </si>
  <si>
    <t>품목분할 기능은 정상 처리 되는지?</t>
    <phoneticPr fontId="1" type="noConversion"/>
  </si>
  <si>
    <t>입고처리 취소</t>
    <phoneticPr fontId="1" type="noConversion"/>
  </si>
  <si>
    <t>품목분할</t>
    <phoneticPr fontId="1" type="noConversion"/>
  </si>
  <si>
    <t>입고타입1-07</t>
    <phoneticPr fontId="1" type="noConversion"/>
  </si>
  <si>
    <t>입고타입1-12</t>
    <phoneticPr fontId="1" type="noConversion"/>
  </si>
  <si>
    <t>입고타입1-13</t>
    <phoneticPr fontId="1" type="noConversion"/>
  </si>
  <si>
    <t>부자재 - 재고이동 처리는 정상처리 되는지?</t>
    <phoneticPr fontId="1" type="noConversion"/>
  </si>
  <si>
    <t>부자재 - 거래명세표 사진촬영 및 업로드 기능은 정상 구현되는지?</t>
    <phoneticPr fontId="1" type="noConversion"/>
  </si>
  <si>
    <t>입고</t>
    <phoneticPr fontId="1" type="noConversion"/>
  </si>
  <si>
    <t>ERP에서 재고이동 작성 - 예외입고</t>
    <phoneticPr fontId="1" type="noConversion"/>
  </si>
  <si>
    <t>ERP에서 구매오더 작성 - 외주입고</t>
    <phoneticPr fontId="1" type="noConversion"/>
  </si>
  <si>
    <t>ERP 입력 후 연동 -&gt; WMS IF 전송 확인</t>
    <phoneticPr fontId="1" type="noConversion"/>
  </si>
  <si>
    <t>ERP 입력 후 연동 -&gt; WMS IF 전송 확인</t>
    <phoneticPr fontId="1" type="noConversion"/>
  </si>
  <si>
    <t>입고예정요청</t>
    <phoneticPr fontId="1" type="noConversion"/>
  </si>
  <si>
    <t>재고이동요청</t>
    <phoneticPr fontId="1" type="noConversion"/>
  </si>
  <si>
    <t>센터입고 및 외주센터입고의 예정정보는 정상수신 되는가?(출하처리시)</t>
    <phoneticPr fontId="1" type="noConversion"/>
  </si>
  <si>
    <t>SKU생성/생성취소, 라벨 발행은 정상 처리되는지?</t>
    <phoneticPr fontId="1" type="noConversion"/>
  </si>
  <si>
    <t>입고처리 시 입고상태/수불/재고는 정상등록 되는지?(외주창고확인)</t>
    <phoneticPr fontId="1" type="noConversion"/>
  </si>
  <si>
    <t>입고타입2-06</t>
    <phoneticPr fontId="1" type="noConversion"/>
  </si>
  <si>
    <t>재고이동 처리(창고적치)</t>
    <phoneticPr fontId="1" type="noConversion"/>
  </si>
  <si>
    <t>재고이동 처리는 정상처리 되는지?</t>
    <phoneticPr fontId="1" type="noConversion"/>
  </si>
  <si>
    <t>입고 처리는 정상처리 되는지?</t>
    <phoneticPr fontId="1" type="noConversion"/>
  </si>
  <si>
    <t>부자재 - 입고 처리는 정상처리 되는지?</t>
    <phoneticPr fontId="1" type="noConversion"/>
  </si>
  <si>
    <t>입고타입2-07</t>
    <phoneticPr fontId="1" type="noConversion"/>
  </si>
  <si>
    <t>마감 처리 기능은 정상 처리되는지?</t>
  </si>
  <si>
    <t>조회 조건 기능은 정상 구현되는지?</t>
  </si>
  <si>
    <t>축산이력번호 등록 기능은 정상 구현되는지?</t>
  </si>
  <si>
    <t>입고마감</t>
    <phoneticPr fontId="1" type="noConversion"/>
  </si>
  <si>
    <t>입고마감</t>
    <phoneticPr fontId="1" type="noConversion"/>
  </si>
  <si>
    <t>입고현황</t>
    <phoneticPr fontId="1" type="noConversion"/>
  </si>
  <si>
    <t>입고현황</t>
    <phoneticPr fontId="1" type="noConversion"/>
  </si>
  <si>
    <t>ERP 입고처리 정상여부 확인 WMS -&gt; ERP IF 전송</t>
    <phoneticPr fontId="1" type="noConversion"/>
  </si>
  <si>
    <t>ERP에서 입고처리 확인</t>
  </si>
  <si>
    <t>입고 마감 처리</t>
    <phoneticPr fontId="1" type="noConversion"/>
  </si>
  <si>
    <t>입고현황 확인</t>
    <phoneticPr fontId="1" type="noConversion"/>
  </si>
  <si>
    <t>축산이력번호 등록</t>
    <phoneticPr fontId="1" type="noConversion"/>
  </si>
  <si>
    <t>명세표 다운로드</t>
    <phoneticPr fontId="1" type="noConversion"/>
  </si>
  <si>
    <t>거래명세표 보기 기능 및 다운로드 정상 구현되는지?</t>
    <phoneticPr fontId="1" type="noConversion"/>
  </si>
  <si>
    <t>입고타입2-08</t>
    <phoneticPr fontId="1" type="noConversion"/>
  </si>
  <si>
    <t>수불조회</t>
  </si>
  <si>
    <t>입고타입2-09</t>
    <phoneticPr fontId="1" type="noConversion"/>
  </si>
  <si>
    <t>입고타입2-10</t>
    <phoneticPr fontId="1" type="noConversion"/>
  </si>
  <si>
    <t>입고타입2-11</t>
    <phoneticPr fontId="1" type="noConversion"/>
  </si>
  <si>
    <t>입고타입2-12</t>
    <phoneticPr fontId="1" type="noConversion"/>
  </si>
  <si>
    <t>입고 예정정보 확인</t>
    <phoneticPr fontId="1" type="noConversion"/>
  </si>
  <si>
    <t>출하반품-01</t>
  </si>
  <si>
    <t>출하반품-02</t>
  </si>
  <si>
    <t>출하반품-03</t>
  </si>
  <si>
    <t>출하반품-04</t>
  </si>
  <si>
    <t>출하반품-05</t>
    <phoneticPr fontId="1" type="noConversion"/>
  </si>
  <si>
    <t>출하반품-06</t>
    <phoneticPr fontId="1" type="noConversion"/>
  </si>
  <si>
    <t>출하반품-07</t>
    <phoneticPr fontId="1" type="noConversion"/>
  </si>
  <si>
    <t>반품</t>
    <phoneticPr fontId="1" type="noConversion"/>
  </si>
  <si>
    <t>OMS</t>
    <phoneticPr fontId="1" type="noConversion"/>
  </si>
  <si>
    <t>수신내역 확인 및 반품예정 조회</t>
    <phoneticPr fontId="1" type="noConversion"/>
  </si>
  <si>
    <t>반품 마감처리</t>
    <phoneticPr fontId="1" type="noConversion"/>
  </si>
  <si>
    <t>ERP에서 반품처리 확인</t>
    <phoneticPr fontId="1" type="noConversion"/>
  </si>
  <si>
    <t>ERP 반품처리 정상여부 확인 WMS -&gt; ERP IF 전송</t>
    <phoneticPr fontId="1" type="noConversion"/>
  </si>
  <si>
    <t>OMS 반품처리 결과 확인 WMS -&gt; OMS IF 전송</t>
    <phoneticPr fontId="1" type="noConversion"/>
  </si>
  <si>
    <t>반품처리 취소</t>
    <phoneticPr fontId="1" type="noConversion"/>
  </si>
  <si>
    <t>반품마감 기능은 정상 구현되는지?</t>
    <phoneticPr fontId="1" type="noConversion"/>
  </si>
  <si>
    <t>반품처리취소 기능은 정상 구현되는지?(반품진행상태, 수불, 재고 확인)</t>
    <phoneticPr fontId="1" type="noConversion"/>
  </si>
  <si>
    <t>재고</t>
    <phoneticPr fontId="1" type="noConversion"/>
  </si>
  <si>
    <t>재고실사-01</t>
    <phoneticPr fontId="1" type="noConversion"/>
  </si>
  <si>
    <t>재고실사-02</t>
    <phoneticPr fontId="1" type="noConversion"/>
  </si>
  <si>
    <t>재고실사-03</t>
    <phoneticPr fontId="1" type="noConversion"/>
  </si>
  <si>
    <t>재고실사-04</t>
    <phoneticPr fontId="1" type="noConversion"/>
  </si>
  <si>
    <t>재고실사-05</t>
    <phoneticPr fontId="1" type="noConversion"/>
  </si>
  <si>
    <t>재고처리-01</t>
    <phoneticPr fontId="1" type="noConversion"/>
  </si>
  <si>
    <t>재고 이동 처리</t>
    <phoneticPr fontId="1" type="noConversion"/>
  </si>
  <si>
    <t>재고처리-02</t>
    <phoneticPr fontId="1" type="noConversion"/>
  </si>
  <si>
    <t>재고처리-03</t>
    <phoneticPr fontId="1" type="noConversion"/>
  </si>
  <si>
    <t>재고처리-04</t>
    <phoneticPr fontId="1" type="noConversion"/>
  </si>
  <si>
    <t>재고처리-05</t>
    <phoneticPr fontId="1" type="noConversion"/>
  </si>
  <si>
    <t>재고처리-06</t>
    <phoneticPr fontId="1" type="noConversion"/>
  </si>
  <si>
    <t>재고처리-07</t>
    <phoneticPr fontId="1" type="noConversion"/>
  </si>
  <si>
    <t>재고처리-08</t>
    <phoneticPr fontId="1" type="noConversion"/>
  </si>
  <si>
    <t>재고처리-09</t>
    <phoneticPr fontId="1" type="noConversion"/>
  </si>
  <si>
    <t>출고요청(계정대체)</t>
    <phoneticPr fontId="1" type="noConversion"/>
  </si>
  <si>
    <t>출고요청(재고이동)</t>
    <phoneticPr fontId="1" type="noConversion"/>
  </si>
  <si>
    <t>ERP에서 출고요청 등록(계정대체)</t>
    <phoneticPr fontId="1" type="noConversion"/>
  </si>
  <si>
    <t>ERP에서 출고요청 등록(재고이동)</t>
    <phoneticPr fontId="1" type="noConversion"/>
  </si>
  <si>
    <t>구매반품</t>
    <phoneticPr fontId="1" type="noConversion"/>
  </si>
  <si>
    <t>ERP에서 구매반품 등록</t>
    <phoneticPr fontId="1" type="noConversion"/>
  </si>
  <si>
    <t>재고처리-10</t>
    <phoneticPr fontId="1" type="noConversion"/>
  </si>
  <si>
    <t>예외출고 예정 정보 확인</t>
    <phoneticPr fontId="1" type="noConversion"/>
  </si>
  <si>
    <t>예외출고 상세유형별 예정정보는 정상수신 되는가?</t>
    <phoneticPr fontId="1" type="noConversion"/>
  </si>
  <si>
    <t>예외출고 처리 시 상태/수불/재고는 정상등록 되는지?(예외창고)</t>
    <phoneticPr fontId="1" type="noConversion"/>
  </si>
  <si>
    <t>예외출고 처리</t>
    <phoneticPr fontId="1" type="noConversion"/>
  </si>
  <si>
    <t>예외출고 처리 취소</t>
    <phoneticPr fontId="1" type="noConversion"/>
  </si>
  <si>
    <t>예외출고처리 취소 기능은 정상 구현되는지?(상태, 수불, 재고 확인)</t>
    <phoneticPr fontId="1" type="noConversion"/>
  </si>
  <si>
    <t>강제확정 처리 기능은 정상 처리되는지?</t>
    <phoneticPr fontId="1" type="noConversion"/>
  </si>
  <si>
    <t>예외출고 마감 처리</t>
    <phoneticPr fontId="1" type="noConversion"/>
  </si>
  <si>
    <t>ERP에서 출고처리 확인</t>
    <phoneticPr fontId="1" type="noConversion"/>
  </si>
  <si>
    <t>ERP 출고요청등록(계정대체) ERP -&gt; WMS IF 전송 (폐기, 판매촉진비,연구개발비, 등)</t>
    <phoneticPr fontId="1" type="noConversion"/>
  </si>
  <si>
    <t>ERP 출고요청등록(재고이동) ERP -&gt; WMS IF 전송 (원자재외주창고이동)</t>
    <phoneticPr fontId="1" type="noConversion"/>
  </si>
  <si>
    <t>ERP 구매반품요청등록 ERP -&gt; WMS IF 전송 (구매반품)</t>
    <phoneticPr fontId="1" type="noConversion"/>
  </si>
  <si>
    <t>ERP 구매반품 정상여부 확인 WMS -&gt; ERP IF 전송</t>
    <phoneticPr fontId="1" type="noConversion"/>
  </si>
  <si>
    <t>ERP 출고요청(재고이동) 정상여부 확인 WMS -&gt; ERP IF 전송</t>
    <phoneticPr fontId="1" type="noConversion"/>
  </si>
  <si>
    <t>ERP 출고요청(계정대체) 정상여부 확인 WMS -&gt; ERP IF 전송</t>
    <phoneticPr fontId="1" type="noConversion"/>
  </si>
  <si>
    <t>재고처리-11</t>
    <phoneticPr fontId="1" type="noConversion"/>
  </si>
  <si>
    <t>재고처리-12</t>
    <phoneticPr fontId="1" type="noConversion"/>
  </si>
  <si>
    <t>재고처리-13</t>
    <phoneticPr fontId="1" type="noConversion"/>
  </si>
  <si>
    <t>재고처리-14</t>
    <phoneticPr fontId="1" type="noConversion"/>
  </si>
  <si>
    <t>재고처리-15</t>
    <phoneticPr fontId="1" type="noConversion"/>
  </si>
  <si>
    <t>재고처리-16</t>
    <phoneticPr fontId="1" type="noConversion"/>
  </si>
  <si>
    <t>재고처리-17</t>
    <phoneticPr fontId="1" type="noConversion"/>
  </si>
  <si>
    <t>재고처리-18</t>
    <phoneticPr fontId="1" type="noConversion"/>
  </si>
  <si>
    <t>재고처리-19</t>
    <phoneticPr fontId="1" type="noConversion"/>
  </si>
  <si>
    <t>재고처리-20</t>
    <phoneticPr fontId="1" type="noConversion"/>
  </si>
  <si>
    <t>재고처리-21</t>
    <phoneticPr fontId="1" type="noConversion"/>
  </si>
  <si>
    <t>예외출고 마감 처리 기능은 정상 처리되는지?</t>
    <phoneticPr fontId="1" type="noConversion"/>
  </si>
  <si>
    <t>SKU변경 기능은 정상 구현되는지?(수불,재고확인)</t>
  </si>
  <si>
    <t>SKU라벨 출력 기능은 정상 구현되는지?</t>
  </si>
  <si>
    <t>SKU변경 처리</t>
    <phoneticPr fontId="1" type="noConversion"/>
  </si>
  <si>
    <t>SKU변경 품목 조회</t>
    <phoneticPr fontId="1" type="noConversion"/>
  </si>
  <si>
    <t>재고처리-22</t>
    <phoneticPr fontId="1" type="noConversion"/>
  </si>
  <si>
    <t>재고처리-23</t>
    <phoneticPr fontId="1" type="noConversion"/>
  </si>
  <si>
    <t>재고처리-24</t>
    <phoneticPr fontId="1" type="noConversion"/>
  </si>
  <si>
    <t>상태변경</t>
    <phoneticPr fontId="8" type="noConversion"/>
  </si>
  <si>
    <t>상태변경 품목 조회</t>
    <phoneticPr fontId="1" type="noConversion"/>
  </si>
  <si>
    <t>SKU변경 처리</t>
    <phoneticPr fontId="1" type="noConversion"/>
  </si>
  <si>
    <t>상태변경 기능은 정상 구현되는지?(수불,재고확인)  정상&lt;-&gt;보류</t>
    <phoneticPr fontId="1" type="noConversion"/>
  </si>
  <si>
    <t>세트작업</t>
    <phoneticPr fontId="8" type="noConversion"/>
  </si>
  <si>
    <t>재고처리-25</t>
    <phoneticPr fontId="1" type="noConversion"/>
  </si>
  <si>
    <t>세트작업 등록 기능은 정상 구현되는지?</t>
  </si>
  <si>
    <t>업무마감 기능은 정상 구현되는지?</t>
  </si>
  <si>
    <t>업무마감</t>
  </si>
  <si>
    <t>업무마감</t>
    <phoneticPr fontId="8" type="noConversion"/>
  </si>
  <si>
    <t>재고처리-26</t>
    <phoneticPr fontId="1" type="noConversion"/>
  </si>
  <si>
    <t>재고처리-27</t>
    <phoneticPr fontId="1" type="noConversion"/>
  </si>
  <si>
    <t>재고처리-28</t>
    <phoneticPr fontId="1" type="noConversion"/>
  </si>
  <si>
    <t>재고처리-29</t>
    <phoneticPr fontId="1" type="noConversion"/>
  </si>
  <si>
    <t>세트작업 등록</t>
    <phoneticPr fontId="1" type="noConversion"/>
  </si>
  <si>
    <t>부족재고 재고이동 요청</t>
    <phoneticPr fontId="1" type="noConversion"/>
  </si>
  <si>
    <t>세트작업 처리</t>
    <phoneticPr fontId="1" type="noConversion"/>
  </si>
  <si>
    <t>세트작업 해체</t>
    <phoneticPr fontId="1" type="noConversion"/>
  </si>
  <si>
    <t>재고이동요청 기능은 정상 구현되는지?(재고이동요청 확인)</t>
    <phoneticPr fontId="1" type="noConversion"/>
  </si>
  <si>
    <t>세트작업 처리 기능은 정상 구현되는지?(수불,재고확인) 예외창고</t>
    <phoneticPr fontId="1" type="noConversion"/>
  </si>
  <si>
    <t>세트작업 해체 처리 기능은 정상 구현되는지?(수불,재고확인) 예외창고</t>
    <phoneticPr fontId="1" type="noConversion"/>
  </si>
  <si>
    <t>재고처리-31</t>
    <phoneticPr fontId="1" type="noConversion"/>
  </si>
  <si>
    <t>재고처리-30</t>
    <phoneticPr fontId="1" type="noConversion"/>
  </si>
  <si>
    <t>상세팝업은 정확히 조회되는지?</t>
  </si>
  <si>
    <t>소비기한별 조회 데이터는 정확한 값이 조회되는지?</t>
  </si>
  <si>
    <t>재고조회는 정확히 조회되는지?</t>
  </si>
  <si>
    <t>조회 데이터는 정확한 값이 조회되는지?</t>
  </si>
  <si>
    <t>마감처리 기능은 정상 구현되는지?</t>
  </si>
  <si>
    <t>재고조회(품목별)</t>
  </si>
  <si>
    <t>재고조회(창고별)</t>
  </si>
  <si>
    <t>재고조회(회전일)</t>
  </si>
  <si>
    <t>재고조회(기간별)</t>
  </si>
  <si>
    <t>수불마감</t>
  </si>
  <si>
    <t>재고조회-01</t>
    <phoneticPr fontId="1" type="noConversion"/>
  </si>
  <si>
    <t>재고조회-02</t>
    <phoneticPr fontId="1" type="noConversion"/>
  </si>
  <si>
    <t>재고조회-03</t>
    <phoneticPr fontId="1" type="noConversion"/>
  </si>
  <si>
    <t>재고조회-06</t>
    <phoneticPr fontId="1" type="noConversion"/>
  </si>
  <si>
    <t>재고조회-07</t>
    <phoneticPr fontId="1" type="noConversion"/>
  </si>
  <si>
    <t>재고조회-08</t>
    <phoneticPr fontId="1" type="noConversion"/>
  </si>
  <si>
    <t>재고조회-11</t>
    <phoneticPr fontId="1" type="noConversion"/>
  </si>
  <si>
    <t>재고조회-12</t>
    <phoneticPr fontId="1" type="noConversion"/>
  </si>
  <si>
    <t>재고 조회</t>
    <phoneticPr fontId="1" type="noConversion"/>
  </si>
  <si>
    <t>SKU라벨 출력 기능은 정상 구현되는지?</t>
    <phoneticPr fontId="1" type="noConversion"/>
  </si>
  <si>
    <t>SKU라벨 출력</t>
    <phoneticPr fontId="1" type="noConversion"/>
  </si>
  <si>
    <t>수불마감 조회</t>
    <phoneticPr fontId="1" type="noConversion"/>
  </si>
  <si>
    <t>수불마감 처리</t>
    <phoneticPr fontId="1" type="noConversion"/>
  </si>
  <si>
    <t>SKU이력조회</t>
    <phoneticPr fontId="1" type="noConversion"/>
  </si>
  <si>
    <t>SKU이력 조회</t>
    <phoneticPr fontId="1" type="noConversion"/>
  </si>
  <si>
    <t>조회 조건 기능은 정상 구현되는지? 축산이력번호 정보</t>
    <phoneticPr fontId="1" type="noConversion"/>
  </si>
  <si>
    <t>재고조회-05</t>
    <phoneticPr fontId="1" type="noConversion"/>
  </si>
  <si>
    <t>재고조회-04</t>
    <phoneticPr fontId="1" type="noConversion"/>
  </si>
  <si>
    <t>재고조회-09</t>
    <phoneticPr fontId="1" type="noConversion"/>
  </si>
  <si>
    <t>재고조회-10</t>
    <phoneticPr fontId="1" type="noConversion"/>
  </si>
  <si>
    <t>재고조회-13</t>
    <phoneticPr fontId="1" type="noConversion"/>
  </si>
  <si>
    <t>실사재고 등록 기능은 정상 구현 되는지?</t>
    <phoneticPr fontId="1" type="noConversion"/>
  </si>
  <si>
    <t>재고조정요청은 정상 구현 되는지?(재고조정 에서 확인)</t>
    <phoneticPr fontId="1" type="noConversion"/>
  </si>
  <si>
    <t>재고실사-07</t>
    <phoneticPr fontId="1" type="noConversion"/>
  </si>
  <si>
    <t>재고실사-06</t>
    <phoneticPr fontId="1" type="noConversion"/>
  </si>
  <si>
    <t>출하</t>
    <phoneticPr fontId="1" type="noConversion"/>
  </si>
  <si>
    <t>출하타입1-01</t>
    <phoneticPr fontId="1" type="noConversion"/>
  </si>
  <si>
    <t>출하타입1-02</t>
    <phoneticPr fontId="1" type="noConversion"/>
  </si>
  <si>
    <t>출하타입1-03</t>
    <phoneticPr fontId="1" type="noConversion"/>
  </si>
  <si>
    <t>주문등록</t>
    <phoneticPr fontId="8" type="noConversion"/>
  </si>
  <si>
    <t>OMS에서 주문등록</t>
    <phoneticPr fontId="1" type="noConversion"/>
  </si>
  <si>
    <t>ERP 주문 등록 후 OMS -&gt; WMS IF 전송 확인(판매출하)</t>
    <phoneticPr fontId="1" type="noConversion"/>
  </si>
  <si>
    <t>ERP 주문 등록 후 OMS -&gt; WMS IF 전송 확인(마감후출하)</t>
    <phoneticPr fontId="1" type="noConversion"/>
  </si>
  <si>
    <t>수신내역 확인 및 출하예정 조회</t>
    <phoneticPr fontId="1" type="noConversion"/>
  </si>
  <si>
    <t>WMS 출하예정 정보 수신 내용 확인 - 판매출하/마감후출하</t>
    <phoneticPr fontId="1" type="noConversion"/>
  </si>
  <si>
    <t>기타출하(비정형) 예정정보 등록</t>
    <phoneticPr fontId="1" type="noConversion"/>
  </si>
  <si>
    <t>기타출하 예정정보 등록 및 엑셀등록 기능은 되는지?</t>
    <phoneticPr fontId="1" type="noConversion"/>
  </si>
  <si>
    <t>마감후출하 정보 확인 후 승인 및 거절 처리</t>
    <phoneticPr fontId="1" type="noConversion"/>
  </si>
  <si>
    <t>승인/거절 기능은 정상 구현되는지?</t>
    <phoneticPr fontId="1" type="noConversion"/>
  </si>
  <si>
    <t xml:space="preserve">미출 처리 </t>
    <phoneticPr fontId="1" type="noConversion"/>
  </si>
  <si>
    <t>미출 품목 수량변경 및 사유등록 후 처리</t>
    <phoneticPr fontId="1" type="noConversion"/>
  </si>
  <si>
    <t>미출처리 시 OMS에 정보를 정상적으로 송신 되는가?</t>
  </si>
  <si>
    <t>마감후출하승인</t>
    <phoneticPr fontId="1" type="noConversion"/>
  </si>
  <si>
    <t>마감후출하승인 승인/거절 시 OMS에 정보를 정상적으로 송신 되는가?</t>
    <phoneticPr fontId="1" type="noConversion"/>
  </si>
  <si>
    <t>OMS에서 주문등록</t>
    <phoneticPr fontId="1" type="noConversion"/>
  </si>
  <si>
    <t>해당 주문건 정보 확인</t>
    <phoneticPr fontId="1" type="noConversion"/>
  </si>
  <si>
    <t>해당 주문건 정보 확인</t>
    <phoneticPr fontId="1" type="noConversion"/>
  </si>
  <si>
    <t>출하타입1-05</t>
    <phoneticPr fontId="1" type="noConversion"/>
  </si>
  <si>
    <t>출하타입1-10</t>
    <phoneticPr fontId="1" type="noConversion"/>
  </si>
  <si>
    <t>출하타입1-04</t>
    <phoneticPr fontId="1" type="noConversion"/>
  </si>
  <si>
    <t>출하타입1-06</t>
    <phoneticPr fontId="1" type="noConversion"/>
  </si>
  <si>
    <t>출하타입1-07</t>
    <phoneticPr fontId="1" type="noConversion"/>
  </si>
  <si>
    <t>출하타입1-08</t>
    <phoneticPr fontId="1" type="noConversion"/>
  </si>
  <si>
    <t>출하준비</t>
    <phoneticPr fontId="1" type="noConversion"/>
  </si>
  <si>
    <t>출하준비 기능은 정상 구현되는지? 진행상태 확인 및 부족재고 확인</t>
    <phoneticPr fontId="1" type="noConversion"/>
  </si>
  <si>
    <t>출하준비 처리 시 OMS에 정보를 정상적으로 송신 되는가?</t>
    <phoneticPr fontId="1" type="noConversion"/>
  </si>
  <si>
    <t>출하타입1-09</t>
    <phoneticPr fontId="1" type="noConversion"/>
  </si>
  <si>
    <t>TMS전송 조회 및 전송 처리</t>
    <phoneticPr fontId="1" type="noConversion"/>
  </si>
  <si>
    <t>배차요청 전송처리는 정상 구현 되는지? WMS-&gt;TMS IF 전송</t>
    <phoneticPr fontId="1" type="noConversion"/>
  </si>
  <si>
    <t>배차</t>
    <phoneticPr fontId="1" type="noConversion"/>
  </si>
  <si>
    <t>WMS 배차 요청 확인</t>
    <phoneticPr fontId="1" type="noConversion"/>
  </si>
  <si>
    <t>TMS</t>
    <phoneticPr fontId="1" type="noConversion"/>
  </si>
  <si>
    <t>배차 확정 처리</t>
    <phoneticPr fontId="1" type="noConversion"/>
  </si>
  <si>
    <t>TMS</t>
    <phoneticPr fontId="1" type="noConversion"/>
  </si>
  <si>
    <t>배차확정 처리 TMS-&gt;WMS IF 전송</t>
    <phoneticPr fontId="1" type="noConversion"/>
  </si>
  <si>
    <t>출고지시</t>
    <phoneticPr fontId="1" type="noConversion"/>
  </si>
  <si>
    <t>TMS 배차 결과 확인</t>
    <phoneticPr fontId="1" type="noConversion"/>
  </si>
  <si>
    <t>출하타입1-11</t>
    <phoneticPr fontId="1" type="noConversion"/>
  </si>
  <si>
    <t>출하타입1-12</t>
    <phoneticPr fontId="1" type="noConversion"/>
  </si>
  <si>
    <t>출하타입1-13</t>
    <phoneticPr fontId="1" type="noConversion"/>
  </si>
  <si>
    <t>출하타입1-14</t>
    <phoneticPr fontId="1" type="noConversion"/>
  </si>
  <si>
    <t>출고지시 생성 기능은 구현되는지?(지시유형별)</t>
  </si>
  <si>
    <t>위치자동지정 및 수동지정 기능은 구현되는지?</t>
  </si>
  <si>
    <t>출고지시 취소 기능은 구현되는지?</t>
  </si>
  <si>
    <t>출고지시 생성 처리</t>
    <phoneticPr fontId="1" type="noConversion"/>
  </si>
  <si>
    <t>출고지시서 출력 처리</t>
    <phoneticPr fontId="1" type="noConversion"/>
  </si>
  <si>
    <t>출고지시서 출력 기능은 구현되는지? 기본/총괄(창고)/권역/호차/가맹점</t>
    <phoneticPr fontId="1" type="noConversion"/>
  </si>
  <si>
    <t>출고처리 취소 처리</t>
    <phoneticPr fontId="1" type="noConversion"/>
  </si>
  <si>
    <t>출고재할당 기능은 정상 구현되는지?</t>
  </si>
  <si>
    <t>출고재분배 기능은 정상 구현되는지?</t>
  </si>
  <si>
    <t>출고 재할당 처리</t>
    <phoneticPr fontId="1" type="noConversion"/>
  </si>
  <si>
    <t>출고 재분배 처리</t>
    <phoneticPr fontId="1" type="noConversion"/>
  </si>
  <si>
    <t>출하타입1-15</t>
    <phoneticPr fontId="1" type="noConversion"/>
  </si>
  <si>
    <t>출하타입1-16</t>
    <phoneticPr fontId="1" type="noConversion"/>
  </si>
  <si>
    <t>출하타입1-17</t>
    <phoneticPr fontId="1" type="noConversion"/>
  </si>
  <si>
    <t>출하타입1-18</t>
    <phoneticPr fontId="1" type="noConversion"/>
  </si>
  <si>
    <t>출하타입1-19</t>
    <phoneticPr fontId="1" type="noConversion"/>
  </si>
  <si>
    <t>출하타입1-20</t>
    <phoneticPr fontId="1" type="noConversion"/>
  </si>
  <si>
    <t>출하타입1-21</t>
    <phoneticPr fontId="1" type="noConversion"/>
  </si>
  <si>
    <t>배차요청 건 정보 확인</t>
    <phoneticPr fontId="1" type="noConversion"/>
  </si>
  <si>
    <t>출고</t>
    <phoneticPr fontId="25" type="noConversion"/>
  </si>
  <si>
    <t>출고 처리</t>
    <phoneticPr fontId="1" type="noConversion"/>
  </si>
  <si>
    <t>해당건 출고 처리</t>
    <phoneticPr fontId="1" type="noConversion"/>
  </si>
  <si>
    <t>해당건 출고 처리취소 처리</t>
    <phoneticPr fontId="1" type="noConversion"/>
  </si>
  <si>
    <t>출고 처리취소 기능은 구현되는지?(수불,재고 확인)</t>
    <phoneticPr fontId="1" type="noConversion"/>
  </si>
  <si>
    <t>출고 처리 기능은 구현되는지?(수불,재고 확인) 제품창고-&gt;출고창고</t>
    <phoneticPr fontId="1" type="noConversion"/>
  </si>
  <si>
    <t>출하타입1-22</t>
    <phoneticPr fontId="1" type="noConversion"/>
  </si>
  <si>
    <t>출하타입1-23</t>
    <phoneticPr fontId="1" type="noConversion"/>
  </si>
  <si>
    <t>출하타입1-24</t>
    <phoneticPr fontId="1" type="noConversion"/>
  </si>
  <si>
    <t>출하타입1-25</t>
    <phoneticPr fontId="1" type="noConversion"/>
  </si>
  <si>
    <t>출고처리 기능 확인(재고/수불 확인)</t>
    <phoneticPr fontId="1" type="noConversion"/>
  </si>
  <si>
    <t>조회 조건은 정상 구현 되는지?</t>
  </si>
  <si>
    <t>상차처리취소 기능은 구현되는지?(출하정보,수불,재고)</t>
  </si>
  <si>
    <t>출하마감 기능은 구현되는지?(출하정보)</t>
  </si>
  <si>
    <t>상차처리</t>
    <phoneticPr fontId="25" type="noConversion"/>
  </si>
  <si>
    <t>출하타입1-26</t>
    <phoneticPr fontId="1" type="noConversion"/>
  </si>
  <si>
    <t>출하타입1-27</t>
    <phoneticPr fontId="1" type="noConversion"/>
  </si>
  <si>
    <t>출하타입1-28</t>
    <phoneticPr fontId="1" type="noConversion"/>
  </si>
  <si>
    <t>출하타입1-29</t>
    <phoneticPr fontId="1" type="noConversion"/>
  </si>
  <si>
    <t>출하타입1-30</t>
    <phoneticPr fontId="1" type="noConversion"/>
  </si>
  <si>
    <t>배차확정 처리 TMS-&gt;WMS IF 전송</t>
    <phoneticPr fontId="1" type="noConversion"/>
  </si>
  <si>
    <t>상차</t>
    <phoneticPr fontId="1" type="noConversion"/>
  </si>
  <si>
    <t>상차 처리</t>
    <phoneticPr fontId="1" type="noConversion"/>
  </si>
  <si>
    <t>상차처리 결과 TMS-&gt;WMS IF 수신확인</t>
    <phoneticPr fontId="1" type="noConversion"/>
  </si>
  <si>
    <t>조회 조건은 정상 구현 되는지?</t>
    <phoneticPr fontId="1" type="noConversion"/>
  </si>
  <si>
    <t>TMS수신 확인 및 요청</t>
    <phoneticPr fontId="25" type="noConversion"/>
  </si>
  <si>
    <t>상차 처리</t>
    <phoneticPr fontId="25" type="noConversion"/>
  </si>
  <si>
    <t>상차처리 취소</t>
    <phoneticPr fontId="25" type="noConversion"/>
  </si>
  <si>
    <t>출하타입1-31</t>
    <phoneticPr fontId="1" type="noConversion"/>
  </si>
  <si>
    <t>출하 마감 처리</t>
    <phoneticPr fontId="25" type="noConversion"/>
  </si>
  <si>
    <t>상차처리 기능은 구현되는지?(출하정보,수불,재고)</t>
    <phoneticPr fontId="1" type="noConversion"/>
  </si>
  <si>
    <t>출하</t>
    <phoneticPr fontId="25" type="noConversion"/>
  </si>
  <si>
    <t>출하타입1-32</t>
    <phoneticPr fontId="1" type="noConversion"/>
  </si>
  <si>
    <t>거래명세표</t>
  </si>
  <si>
    <t>거래명세표 출력 기능은 구현되는지?</t>
  </si>
  <si>
    <t>출하현황</t>
  </si>
  <si>
    <t>삭제오더</t>
  </si>
  <si>
    <t>삭제지시서 출력 기능은 구현되는지?</t>
  </si>
  <si>
    <t>삭제처리 기능은 정상 처리되는지?(출하정보/출고정보)</t>
  </si>
  <si>
    <t>출력 기능은 구현되는지?</t>
  </si>
  <si>
    <t>상차 조회</t>
    <phoneticPr fontId="25" type="noConversion"/>
  </si>
  <si>
    <t>거래명세표 조회</t>
    <phoneticPr fontId="1" type="noConversion"/>
  </si>
  <si>
    <t>거래명세표 출력</t>
    <phoneticPr fontId="1" type="noConversion"/>
  </si>
  <si>
    <t>출하 현황 조회</t>
    <phoneticPr fontId="1" type="noConversion"/>
  </si>
  <si>
    <t>출하타입1-37</t>
    <phoneticPr fontId="1" type="noConversion"/>
  </si>
  <si>
    <t>출하타입1-40</t>
    <phoneticPr fontId="1" type="noConversion"/>
  </si>
  <si>
    <t>삭제오더</t>
    <phoneticPr fontId="8" type="noConversion"/>
  </si>
  <si>
    <t>삭제오더 등록</t>
    <phoneticPr fontId="1" type="noConversion"/>
  </si>
  <si>
    <t>삭제오더 등록 정상여부 확인? OMS-&gt;WMS IF 수신?</t>
    <phoneticPr fontId="1" type="noConversion"/>
  </si>
  <si>
    <t>주문 품목단가</t>
    <phoneticPr fontId="25" type="noConversion"/>
  </si>
  <si>
    <t>출하타입1-33</t>
    <phoneticPr fontId="1" type="noConversion"/>
  </si>
  <si>
    <t>OMS 주문 품목단가 수신 확인? OMS-&gt;WMS IF (해당일 품목단가 확인)</t>
    <phoneticPr fontId="1" type="noConversion"/>
  </si>
  <si>
    <t>ERP에서 출하정보 확인</t>
    <phoneticPr fontId="1" type="noConversion"/>
  </si>
  <si>
    <t>ERP 출하처리 정상여부 확인 WMS -&gt; ERP IF 전송 (가맹점/품목/수량/금액 확인)</t>
    <phoneticPr fontId="1" type="noConversion"/>
  </si>
  <si>
    <t>출하타입1-34</t>
    <phoneticPr fontId="1" type="noConversion"/>
  </si>
  <si>
    <t>출하타입1-35</t>
    <phoneticPr fontId="1" type="noConversion"/>
  </si>
  <si>
    <t>출하타입1-36</t>
    <phoneticPr fontId="1" type="noConversion"/>
  </si>
  <si>
    <t>출하타입1-38</t>
    <phoneticPr fontId="1" type="noConversion"/>
  </si>
  <si>
    <t>출하타입1-39</t>
    <phoneticPr fontId="1" type="noConversion"/>
  </si>
  <si>
    <t>출하타입1-41</t>
    <phoneticPr fontId="1" type="noConversion"/>
  </si>
  <si>
    <t>출하타입2-01</t>
    <phoneticPr fontId="1" type="noConversion"/>
  </si>
  <si>
    <t>출하타입2-02</t>
    <phoneticPr fontId="1" type="noConversion"/>
  </si>
  <si>
    <t>ERP 주문 등록 후 OMS -&gt; WMS IF 전송 확인(외주직출)</t>
    <phoneticPr fontId="1" type="noConversion"/>
  </si>
  <si>
    <t>OMS에서 주문등록(전용유)</t>
    <phoneticPr fontId="1" type="noConversion"/>
  </si>
  <si>
    <t>WMS 출하예정 정보 수신 내용 확인 - 외주직출</t>
    <phoneticPr fontId="1" type="noConversion"/>
  </si>
  <si>
    <t>외주센터출하 예정정보 등록(외주센터-&gt;자사센터)</t>
    <phoneticPr fontId="1" type="noConversion"/>
  </si>
  <si>
    <t>외주센터출하 예정정보 등록 및 엑셀등록 기능은 되는지?</t>
    <phoneticPr fontId="1" type="noConversion"/>
  </si>
  <si>
    <t>출하타입2-03</t>
    <phoneticPr fontId="1" type="noConversion"/>
  </si>
  <si>
    <t>출하타입2-05</t>
    <phoneticPr fontId="1" type="noConversion"/>
  </si>
  <si>
    <t>출하타입2-09</t>
    <phoneticPr fontId="1" type="noConversion"/>
  </si>
  <si>
    <t>출하타입2-11</t>
    <phoneticPr fontId="1" type="noConversion"/>
  </si>
  <si>
    <t>출하타입2-12</t>
    <phoneticPr fontId="1" type="noConversion"/>
  </si>
  <si>
    <t>주문등록</t>
    <phoneticPr fontId="8" type="noConversion"/>
  </si>
  <si>
    <t>외주직출</t>
    <phoneticPr fontId="25" type="noConversion"/>
  </si>
  <si>
    <t>출하처리 기능은 구현되는지?(출하정보,수불,재고)</t>
  </si>
  <si>
    <t>출하처리취소 기능은 구현되는지?(출하정보,수불,재고)</t>
  </si>
  <si>
    <t>강제확정 처리 기능은 정상 처리되는지?(출하정보)</t>
  </si>
  <si>
    <t>외주직출 강제확정 처리</t>
    <phoneticPr fontId="25" type="noConversion"/>
  </si>
  <si>
    <t>외주직출 처리취소</t>
    <phoneticPr fontId="25" type="noConversion"/>
  </si>
  <si>
    <t>외주직출 처리(외주센터출하)</t>
    <phoneticPr fontId="25" type="noConversion"/>
  </si>
  <si>
    <t>외주직출 처리(외주직출)</t>
    <phoneticPr fontId="25" type="noConversion"/>
  </si>
  <si>
    <t>처리시 입고예정정보가 정상 등록되는가?(외주센터출하) 외주창고 재고 확인</t>
    <phoneticPr fontId="1" type="noConversion"/>
  </si>
  <si>
    <t>외주직출 마감처리</t>
    <phoneticPr fontId="25" type="noConversion"/>
  </si>
  <si>
    <t>출하타입2-04</t>
    <phoneticPr fontId="1" type="noConversion"/>
  </si>
  <si>
    <t>출하타입2-06</t>
    <phoneticPr fontId="1" type="noConversion"/>
  </si>
  <si>
    <t>출하타입2-07</t>
    <phoneticPr fontId="1" type="noConversion"/>
  </si>
  <si>
    <t>출하타입2-09</t>
    <phoneticPr fontId="1" type="noConversion"/>
  </si>
  <si>
    <t>출하타입2-10</t>
    <phoneticPr fontId="1" type="noConversion"/>
  </si>
  <si>
    <t>출하타입2-13</t>
    <phoneticPr fontId="1" type="noConversion"/>
  </si>
  <si>
    <t>출하타입2-14</t>
    <phoneticPr fontId="1" type="noConversion"/>
  </si>
  <si>
    <t>출하예정</t>
    <phoneticPr fontId="8" type="noConversion"/>
  </si>
  <si>
    <t>출하타입3-01</t>
    <phoneticPr fontId="1" type="noConversion"/>
  </si>
  <si>
    <t>센터출하 예정정보 등록(자사센터-&gt;센터)</t>
    <phoneticPr fontId="1" type="noConversion"/>
  </si>
  <si>
    <t>센터출하 예정정보 등록 및 엑셀등록 기능은 되는지?</t>
    <phoneticPr fontId="1" type="noConversion"/>
  </si>
  <si>
    <t>출하타입3-02</t>
    <phoneticPr fontId="1" type="noConversion"/>
  </si>
  <si>
    <t>출하타입3-03</t>
    <phoneticPr fontId="1" type="noConversion"/>
  </si>
  <si>
    <t>출하타입3-04</t>
    <phoneticPr fontId="1" type="noConversion"/>
  </si>
  <si>
    <t>출하타입3-05</t>
    <phoneticPr fontId="1" type="noConversion"/>
  </si>
  <si>
    <t>출하타입3-06</t>
    <phoneticPr fontId="1" type="noConversion"/>
  </si>
  <si>
    <t>출하타입3-07</t>
    <phoneticPr fontId="1" type="noConversion"/>
  </si>
  <si>
    <t>출하타입3-08</t>
    <phoneticPr fontId="1" type="noConversion"/>
  </si>
  <si>
    <t>출하타입3-09</t>
    <phoneticPr fontId="1" type="noConversion"/>
  </si>
  <si>
    <t>출하타입3-10</t>
    <phoneticPr fontId="1" type="noConversion"/>
  </si>
  <si>
    <t>출하타입3-11</t>
    <phoneticPr fontId="1" type="noConversion"/>
  </si>
  <si>
    <t>출하타입3-12</t>
    <phoneticPr fontId="1" type="noConversion"/>
  </si>
  <si>
    <t>출하타입3-13</t>
    <phoneticPr fontId="1" type="noConversion"/>
  </si>
  <si>
    <t>출하타입3-14</t>
    <phoneticPr fontId="1" type="noConversion"/>
  </si>
  <si>
    <t>출하타입3-15</t>
    <phoneticPr fontId="1" type="noConversion"/>
  </si>
  <si>
    <t>출하타입3-16</t>
    <phoneticPr fontId="1" type="noConversion"/>
  </si>
  <si>
    <t>출하타입3-17</t>
    <phoneticPr fontId="1" type="noConversion"/>
  </si>
  <si>
    <t>출하타입3-18</t>
    <phoneticPr fontId="1" type="noConversion"/>
  </si>
  <si>
    <t>출하타입3-19</t>
    <phoneticPr fontId="1" type="noConversion"/>
  </si>
  <si>
    <t>출하타입3-20</t>
    <phoneticPr fontId="1" type="noConversion"/>
  </si>
  <si>
    <t>출하타입3-21</t>
    <phoneticPr fontId="1" type="noConversion"/>
  </si>
  <si>
    <t>출하타입3-22</t>
    <phoneticPr fontId="1" type="noConversion"/>
  </si>
  <si>
    <t>출하타입3-23</t>
    <phoneticPr fontId="1" type="noConversion"/>
  </si>
  <si>
    <t>출하타입3-25</t>
    <phoneticPr fontId="1" type="noConversion"/>
  </si>
  <si>
    <t>출하타입3-24</t>
    <phoneticPr fontId="1" type="noConversion"/>
  </si>
  <si>
    <t>확인자</t>
    <phoneticPr fontId="1" type="noConversion"/>
  </si>
  <si>
    <t>합계</t>
    <phoneticPr fontId="1" type="noConversion"/>
  </si>
  <si>
    <t>WMS(WEB)</t>
    <phoneticPr fontId="1" type="noConversion"/>
  </si>
  <si>
    <t>WMS(PDA)</t>
    <phoneticPr fontId="1" type="noConversion"/>
  </si>
  <si>
    <t>처리시 입고예정정보가 정상 등록되는가?(센터출하) 출하창고 재고 확인</t>
    <phoneticPr fontId="1" type="noConversion"/>
  </si>
  <si>
    <t>출하반품-08</t>
    <phoneticPr fontId="1" type="noConversion"/>
  </si>
  <si>
    <t>출하반품</t>
    <phoneticPr fontId="1" type="noConversion"/>
  </si>
  <si>
    <t>OMS에서 출하반품 등록 (출하반품)</t>
    <phoneticPr fontId="1" type="noConversion"/>
  </si>
  <si>
    <t>OMS</t>
    <phoneticPr fontId="1" type="noConversion"/>
  </si>
  <si>
    <t>OMS 출하반품 입력 후 연동 -&gt; WMS IF 전송 확인</t>
    <phoneticPr fontId="1" type="noConversion"/>
  </si>
  <si>
    <t>WMS 반품예정 정보 수신 내용 확인(출하반품)</t>
    <phoneticPr fontId="1" type="noConversion"/>
  </si>
  <si>
    <t>반품 처리</t>
    <phoneticPr fontId="1" type="noConversion"/>
  </si>
  <si>
    <t>OMS에서 반품처리 상태 확인</t>
    <phoneticPr fontId="1" type="noConversion"/>
  </si>
  <si>
    <t>SKU생성/생성취소, 라벨 발행 및 출력은 정상 처리되는지?</t>
    <phoneticPr fontId="1" type="noConversion"/>
  </si>
  <si>
    <t>반품처리 시 진행상태/수불/재고는 정상등록 되는지?</t>
    <phoneticPr fontId="1" type="noConversion"/>
  </si>
  <si>
    <t>* 권한 그룹</t>
    <phoneticPr fontId="1" type="noConversion"/>
  </si>
  <si>
    <t>시스템</t>
    <phoneticPr fontId="1" type="noConversion"/>
  </si>
  <si>
    <t>플랫폼</t>
    <phoneticPr fontId="1" type="noConversion"/>
  </si>
  <si>
    <t>대분류</t>
    <phoneticPr fontId="1" type="noConversion"/>
  </si>
  <si>
    <t>메 뉴</t>
    <phoneticPr fontId="1" type="noConversion"/>
  </si>
  <si>
    <t>시스템관리자</t>
    <phoneticPr fontId="1" type="noConversion"/>
  </si>
  <si>
    <t>물류</t>
    <phoneticPr fontId="1" type="noConversion"/>
  </si>
  <si>
    <t>도급사</t>
    <phoneticPr fontId="1" type="noConversion"/>
  </si>
  <si>
    <t>구매</t>
    <phoneticPr fontId="1" type="noConversion"/>
  </si>
  <si>
    <t>타부서</t>
    <phoneticPr fontId="1" type="noConversion"/>
  </si>
  <si>
    <t>WMS</t>
    <phoneticPr fontId="1" type="noConversion"/>
  </si>
  <si>
    <t>WEB</t>
    <phoneticPr fontId="1" type="noConversion"/>
  </si>
  <si>
    <t>입고관리</t>
    <phoneticPr fontId="1" type="noConversion"/>
  </si>
  <si>
    <t>입고예정</t>
    <phoneticPr fontId="1" type="noConversion"/>
  </si>
  <si>
    <t>O</t>
    <phoneticPr fontId="1" type="noConversion"/>
  </si>
  <si>
    <t>O</t>
  </si>
  <si>
    <t>입고처리</t>
    <phoneticPr fontId="1" type="noConversion"/>
  </si>
  <si>
    <t>입고마감</t>
    <phoneticPr fontId="1" type="noConversion"/>
  </si>
  <si>
    <t>입고현황</t>
    <phoneticPr fontId="1" type="noConversion"/>
  </si>
  <si>
    <t>O</t>
    <phoneticPr fontId="1" type="noConversion"/>
  </si>
  <si>
    <t>반품관리</t>
    <phoneticPr fontId="1" type="noConversion"/>
  </si>
  <si>
    <t>반품예정</t>
    <phoneticPr fontId="1" type="noConversion"/>
  </si>
  <si>
    <t>반품처리</t>
    <phoneticPr fontId="1" type="noConversion"/>
  </si>
  <si>
    <t>재고관리</t>
    <phoneticPr fontId="1" type="noConversion"/>
  </si>
  <si>
    <t>재고이동</t>
    <phoneticPr fontId="1" type="noConversion"/>
  </si>
  <si>
    <t>재고이동요청</t>
    <phoneticPr fontId="1" type="noConversion"/>
  </si>
  <si>
    <t>재고조정</t>
    <phoneticPr fontId="1" type="noConversion"/>
  </si>
  <si>
    <t>예외출고</t>
    <phoneticPr fontId="1" type="noConversion"/>
  </si>
  <si>
    <t>SKU변경</t>
    <phoneticPr fontId="1" type="noConversion"/>
  </si>
  <si>
    <t>상태변경</t>
    <phoneticPr fontId="1" type="noConversion"/>
  </si>
  <si>
    <t>세트작업</t>
    <phoneticPr fontId="1" type="noConversion"/>
  </si>
  <si>
    <t>업무마감</t>
    <phoneticPr fontId="1" type="noConversion"/>
  </si>
  <si>
    <t>재고조회</t>
    <phoneticPr fontId="1" type="noConversion"/>
  </si>
  <si>
    <t>재고조회(품목별)</t>
    <phoneticPr fontId="1" type="noConversion"/>
  </si>
  <si>
    <t>재고조회(창고별)</t>
    <phoneticPr fontId="1" type="noConversion"/>
  </si>
  <si>
    <t>재고조회(회전일)</t>
    <phoneticPr fontId="1" type="noConversion"/>
  </si>
  <si>
    <t>재고조회(기간별)</t>
    <phoneticPr fontId="1" type="noConversion"/>
  </si>
  <si>
    <t>수불조회</t>
    <phoneticPr fontId="1" type="noConversion"/>
  </si>
  <si>
    <t>수불마감</t>
    <phoneticPr fontId="1" type="noConversion"/>
  </si>
  <si>
    <t>SKU이력조회</t>
    <phoneticPr fontId="1" type="noConversion"/>
  </si>
  <si>
    <t>재고실사</t>
    <phoneticPr fontId="1" type="noConversion"/>
  </si>
  <si>
    <t>재고실사일정등록</t>
    <phoneticPr fontId="1" type="noConversion"/>
  </si>
  <si>
    <t>실사재고등록</t>
    <phoneticPr fontId="1" type="noConversion"/>
  </si>
  <si>
    <t>재고실사비교</t>
    <phoneticPr fontId="1" type="noConversion"/>
  </si>
  <si>
    <t>출고관리</t>
    <phoneticPr fontId="1" type="noConversion"/>
  </si>
  <si>
    <t>마감후출하승인</t>
    <phoneticPr fontId="1" type="noConversion"/>
  </si>
  <si>
    <t>출하예정</t>
    <phoneticPr fontId="1" type="noConversion"/>
  </si>
  <si>
    <t>출고지시</t>
    <phoneticPr fontId="1" type="noConversion"/>
  </si>
  <si>
    <t>출고처리</t>
    <phoneticPr fontId="1" type="noConversion"/>
  </si>
  <si>
    <t>상차처리</t>
    <phoneticPr fontId="1" type="noConversion"/>
  </si>
  <si>
    <t>외주직출</t>
    <phoneticPr fontId="1" type="noConversion"/>
  </si>
  <si>
    <t>거래명세표</t>
    <phoneticPr fontId="1" type="noConversion"/>
  </si>
  <si>
    <t>삭제오더</t>
    <phoneticPr fontId="1" type="noConversion"/>
  </si>
  <si>
    <t>출하현황</t>
    <phoneticPr fontId="1" type="noConversion"/>
  </si>
  <si>
    <t>기준정보</t>
    <phoneticPr fontId="1" type="noConversion"/>
  </si>
  <si>
    <t>사업장</t>
    <phoneticPr fontId="1" type="noConversion"/>
  </si>
  <si>
    <t>창고</t>
    <phoneticPr fontId="1" type="noConversion"/>
  </si>
  <si>
    <t>위치</t>
    <phoneticPr fontId="1" type="noConversion"/>
  </si>
  <si>
    <t>품목</t>
    <phoneticPr fontId="1" type="noConversion"/>
  </si>
  <si>
    <t>거래처</t>
    <phoneticPr fontId="1" type="noConversion"/>
  </si>
  <si>
    <t>세트구성</t>
    <phoneticPr fontId="1" type="noConversion"/>
  </si>
  <si>
    <t>사용자</t>
    <phoneticPr fontId="1" type="noConversion"/>
  </si>
  <si>
    <t>시스템설정</t>
    <phoneticPr fontId="1" type="noConversion"/>
  </si>
  <si>
    <t>품목설정</t>
  </si>
  <si>
    <t>사용자코드</t>
  </si>
  <si>
    <t>권한그룹</t>
  </si>
  <si>
    <t>메뉴별설정</t>
  </si>
  <si>
    <t>보안설정</t>
  </si>
  <si>
    <t>알람조회</t>
  </si>
  <si>
    <t>I/F관리</t>
    <phoneticPr fontId="1" type="noConversion"/>
  </si>
  <si>
    <t>I/F 설정</t>
  </si>
  <si>
    <t>I/F처리이력</t>
  </si>
  <si>
    <t>PDA</t>
    <phoneticPr fontId="1" type="noConversion"/>
  </si>
  <si>
    <t>입고</t>
    <phoneticPr fontId="1" type="noConversion"/>
  </si>
  <si>
    <t>출고</t>
    <phoneticPr fontId="1" type="noConversion"/>
  </si>
  <si>
    <t>재고</t>
    <phoneticPr fontId="1" type="noConversion"/>
  </si>
  <si>
    <t>재고조회</t>
    <phoneticPr fontId="1" type="noConversion"/>
  </si>
  <si>
    <t>재고이동</t>
    <phoneticPr fontId="1" type="noConversion"/>
  </si>
  <si>
    <t>재고이동요청</t>
    <phoneticPr fontId="1" type="noConversion"/>
  </si>
  <si>
    <t>실사</t>
    <phoneticPr fontId="1" type="noConversion"/>
  </si>
  <si>
    <t xml:space="preserve">수불 조회 </t>
    <phoneticPr fontId="1" type="noConversion"/>
  </si>
  <si>
    <t>안우진</t>
    <phoneticPr fontId="1" type="noConversion"/>
  </si>
  <si>
    <t>배기훈</t>
    <phoneticPr fontId="1" type="noConversion"/>
  </si>
  <si>
    <t>신동환</t>
    <phoneticPr fontId="1" type="noConversion"/>
  </si>
  <si>
    <t>안우진</t>
    <phoneticPr fontId="1" type="noConversion"/>
  </si>
  <si>
    <t>O</t>
    <phoneticPr fontId="1" type="noConversion"/>
  </si>
  <si>
    <t>배기훈</t>
    <phoneticPr fontId="1" type="noConversion"/>
  </si>
  <si>
    <t>△</t>
    <phoneticPr fontId="1" type="noConversion"/>
  </si>
  <si>
    <t>일괄처리 기능 필요</t>
    <phoneticPr fontId="1" type="noConversion"/>
  </si>
  <si>
    <t>품목 수신 중간에 에러 발생 시 나머지 품목 수신 불가</t>
    <phoneticPr fontId="1" type="noConversion"/>
  </si>
  <si>
    <t>노민우</t>
    <phoneticPr fontId="1" type="noConversion"/>
  </si>
  <si>
    <t>일괄 수정 기능 필요</t>
    <phoneticPr fontId="1" type="noConversion"/>
  </si>
  <si>
    <t>창고</t>
  </si>
  <si>
    <t>검토</t>
  </si>
  <si>
    <t>위치</t>
  </si>
  <si>
    <t>입고처리</t>
  </si>
  <si>
    <t>검색조건 '가입고여부' 추가. 디폴트는 체크해제. 
미체크 - 기존 조회
체크 - 가입고처리한 품목이 포함된 입고건 조회.</t>
  </si>
  <si>
    <t>출고지시</t>
  </si>
  <si>
    <t>출고지시 생성 팝업에서 'TMS(송)' 검색조건 추가</t>
  </si>
  <si>
    <t>검색조건 '외주창고' 추가</t>
  </si>
  <si>
    <t>예외출고</t>
  </si>
  <si>
    <t>입고마감</t>
  </si>
  <si>
    <t>외주직출등록</t>
  </si>
  <si>
    <t>외주직출</t>
  </si>
  <si>
    <t>보안</t>
    <phoneticPr fontId="1" type="noConversion"/>
  </si>
  <si>
    <t>계정권한/관리</t>
    <phoneticPr fontId="1" type="noConversion"/>
  </si>
  <si>
    <t xml:space="preserve">패스워드 규칙 </t>
    <phoneticPr fontId="1" type="noConversion"/>
  </si>
  <si>
    <t>인증-02</t>
  </si>
  <si>
    <t>사용불가 패스워드 필터링</t>
    <phoneticPr fontId="1" type="noConversion"/>
  </si>
  <si>
    <t>인증-03</t>
  </si>
  <si>
    <t>연속 숫자 4자리 이상의 동일단어, 숫자반복, 자판배열의 패스워드 변경이 불가능한가?</t>
    <phoneticPr fontId="1" type="noConversion"/>
  </si>
  <si>
    <t>인증-04</t>
  </si>
  <si>
    <t>인증-05</t>
  </si>
  <si>
    <t>인증방식 강화</t>
    <phoneticPr fontId="1" type="noConversion"/>
  </si>
  <si>
    <t>사용자:전화번호, 이메일, 거래처:대표자명, 전화번호, 주소, 이메일</t>
    <phoneticPr fontId="1" type="noConversion"/>
  </si>
  <si>
    <t>암호화-02</t>
  </si>
  <si>
    <t>암호화-03</t>
  </si>
  <si>
    <t>NO</t>
    <phoneticPr fontId="1" type="noConversion"/>
  </si>
  <si>
    <t>테스트예상시간(WMS연관부분)</t>
    <phoneticPr fontId="1" type="noConversion"/>
  </si>
  <si>
    <t>합계(분)</t>
    <phoneticPr fontId="1" type="noConversion"/>
  </si>
  <si>
    <t>창고/위치/사용자/품목/거래처 등 기준정보 메뉴를 체크</t>
    <phoneticPr fontId="1" type="noConversion"/>
  </si>
  <si>
    <t>구매입고</t>
    <phoneticPr fontId="1" type="noConversion"/>
  </si>
  <si>
    <t>입고타입2</t>
    <phoneticPr fontId="1" type="noConversion"/>
  </si>
  <si>
    <t>반품</t>
    <phoneticPr fontId="1" type="noConversion"/>
  </si>
  <si>
    <t xml:space="preserve">반품예정/반품처리 </t>
    <phoneticPr fontId="1" type="noConversion"/>
  </si>
  <si>
    <t>재고</t>
    <phoneticPr fontId="1" type="noConversion"/>
  </si>
  <si>
    <t>재고처리</t>
    <phoneticPr fontId="1" type="noConversion"/>
  </si>
  <si>
    <t>재고이동/예외출고/상태변경/SKU변경/업무마감</t>
    <phoneticPr fontId="1" type="noConversion"/>
  </si>
  <si>
    <t>재고실사 프로세스</t>
    <phoneticPr fontId="1" type="noConversion"/>
  </si>
  <si>
    <t>재고조회</t>
    <phoneticPr fontId="1" type="noConversion"/>
  </si>
  <si>
    <t>재고조회 / 수불조회 / 수불마감</t>
    <phoneticPr fontId="1" type="noConversion"/>
  </si>
  <si>
    <t>출하</t>
    <phoneticPr fontId="1" type="noConversion"/>
  </si>
  <si>
    <t>출하타입1</t>
    <phoneticPr fontId="1" type="noConversion"/>
  </si>
  <si>
    <t>보안</t>
    <phoneticPr fontId="1" type="noConversion"/>
  </si>
  <si>
    <t>접근통제 / 인증 / 암호화</t>
    <phoneticPr fontId="1" type="noConversion"/>
  </si>
  <si>
    <t>* 테스트ID 별 1~3분 예상</t>
    <phoneticPr fontId="1" type="noConversion"/>
  </si>
  <si>
    <t>* ERP Aciton 5분(임의)</t>
    <phoneticPr fontId="1" type="noConversion"/>
  </si>
  <si>
    <t>이진욱</t>
    <phoneticPr fontId="1" type="noConversion"/>
  </si>
  <si>
    <t>라벨내용(거래처) 출력</t>
    <phoneticPr fontId="1" type="noConversion"/>
  </si>
  <si>
    <t>이동처리 기능은 정상 구현되는지?(수불, 재고 확인)</t>
    <phoneticPr fontId="1" type="noConversion"/>
  </si>
  <si>
    <t>안우진</t>
    <phoneticPr fontId="1" type="noConversion"/>
  </si>
  <si>
    <t>이재민</t>
    <phoneticPr fontId="1" type="noConversion"/>
  </si>
  <si>
    <t>이재민</t>
    <phoneticPr fontId="1" type="noConversion"/>
  </si>
  <si>
    <t>이재민</t>
    <phoneticPr fontId="1" type="noConversion"/>
  </si>
  <si>
    <t>이재민</t>
    <phoneticPr fontId="1" type="noConversion"/>
  </si>
  <si>
    <t>안우진</t>
    <phoneticPr fontId="1" type="noConversion"/>
  </si>
  <si>
    <t>OMS 마감 에러 발생</t>
    <phoneticPr fontId="1" type="noConversion"/>
  </si>
  <si>
    <t>X</t>
    <phoneticPr fontId="1" type="noConversion"/>
  </si>
  <si>
    <t>PDA단말기 접속불가로 인한 미테스트</t>
    <phoneticPr fontId="1" type="noConversion"/>
  </si>
  <si>
    <t>PDA단말기 접속불가로 인한 미테스트</t>
    <phoneticPr fontId="1" type="noConversion"/>
  </si>
  <si>
    <t>O</t>
    <phoneticPr fontId="1" type="noConversion"/>
  </si>
  <si>
    <t>O</t>
    <phoneticPr fontId="1" type="noConversion"/>
  </si>
  <si>
    <t>확인결과</t>
    <phoneticPr fontId="1" type="noConversion"/>
  </si>
  <si>
    <t>건수</t>
    <phoneticPr fontId="1" type="noConversion"/>
  </si>
  <si>
    <t>구분</t>
    <phoneticPr fontId="1" type="noConversion"/>
  </si>
  <si>
    <t>합격(O)</t>
    <phoneticPr fontId="1" type="noConversion"/>
  </si>
  <si>
    <t>오류(X)</t>
    <phoneticPr fontId="1" type="noConversion"/>
  </si>
  <si>
    <t>진행율</t>
    <phoneticPr fontId="1" type="noConversion"/>
  </si>
  <si>
    <t>김정훈</t>
  </si>
  <si>
    <t>입고 품목을 나눠서 처리 시 ERP에 수량이 잘못 넘어감.</t>
  </si>
  <si>
    <t>통합테스트 수정 및 요청사항</t>
    <phoneticPr fontId="1" type="noConversion"/>
  </si>
  <si>
    <t>NO</t>
    <phoneticPr fontId="1" type="noConversion"/>
  </si>
  <si>
    <t>요청일자</t>
    <phoneticPr fontId="1" type="noConversion"/>
  </si>
  <si>
    <t>요청자</t>
    <phoneticPr fontId="1" type="noConversion"/>
  </si>
  <si>
    <t>유형
(오류,사양변경,개발)</t>
    <phoneticPr fontId="1" type="noConversion"/>
  </si>
  <si>
    <t>수정 및 요청사항</t>
    <phoneticPr fontId="1" type="noConversion"/>
  </si>
  <si>
    <t>우선순위</t>
    <phoneticPr fontId="1" type="noConversion"/>
  </si>
  <si>
    <t>수도권센터</t>
    <phoneticPr fontId="1" type="noConversion"/>
  </si>
  <si>
    <t>개발</t>
    <phoneticPr fontId="1" type="noConversion"/>
  </si>
  <si>
    <t>오류</t>
    <phoneticPr fontId="1" type="noConversion"/>
  </si>
  <si>
    <t>위치명 검색 시 대소문자 구분없이 검색되도록 수정 요청.</t>
    <phoneticPr fontId="1" type="noConversion"/>
  </si>
  <si>
    <t>김연수</t>
    <phoneticPr fontId="1" type="noConversion"/>
  </si>
  <si>
    <t>노민우</t>
    <phoneticPr fontId="1" type="noConversion"/>
  </si>
  <si>
    <t>사양변경</t>
    <phoneticPr fontId="1" type="noConversion"/>
  </si>
  <si>
    <r>
      <t xml:space="preserve">일괄처리기능 요청 - 품목단위 표시  1.sku생성 2.가입고 처리 </t>
    </r>
    <r>
      <rPr>
        <sz val="10"/>
        <color rgb="FFFF0000"/>
        <rFont val="맑은 고딕"/>
        <family val="3"/>
        <charset val="129"/>
        <scheme val="minor"/>
      </rPr>
      <t>(내부 검토 필요)</t>
    </r>
    <r>
      <rPr>
        <sz val="10"/>
        <color theme="1"/>
        <rFont val="맑은 고딕"/>
        <family val="3"/>
        <charset val="129"/>
        <scheme val="minor"/>
      </rPr>
      <t xml:space="preserve">
- 입고처리 메뉴에 신규 TAB 추가
- 원자재만 조회
- 오늘일자를 기준으로 유효기준일수로 계산해서 소비기한 디폴트세팅</t>
    </r>
    <phoneticPr fontId="1" type="noConversion"/>
  </si>
  <si>
    <t>이택</t>
    <phoneticPr fontId="1" type="noConversion"/>
  </si>
  <si>
    <t>백현주</t>
    <phoneticPr fontId="1" type="noConversion"/>
  </si>
  <si>
    <t>김정훈</t>
    <phoneticPr fontId="1" type="noConversion"/>
  </si>
  <si>
    <t xml:space="preserve">외주센터는 입고처리 시 품온 체크 안하게 수정
외주센터 창고 온도구분 =&gt; 전체 </t>
    <phoneticPr fontId="1" type="noConversion"/>
  </si>
  <si>
    <t>출하예정</t>
    <phoneticPr fontId="1" type="noConversion"/>
  </si>
  <si>
    <t>검토</t>
    <phoneticPr fontId="1" type="noConversion"/>
  </si>
  <si>
    <t>사용하지 않는 거래처 or 다른 센터의 거래처 or 권역 호차가 없는 거래처 를 수신받을 때 WMS는 검증없이 그냥 수신중.
- 출하준비 시 권역,호차 없으면 출하준비 안되게 검사 로직이 있음.
COALESCE(WO.region_cd, MC.region_cd) AS regionCd
COALESCE(WO.car_order_cd, MC.car_order_cd) AS carOrderCd
- 판매출하등록 수신 시 권역은 필수값, 거래처MST에 호차가 없으면 센터의 기본호차 세팅함.</t>
    <phoneticPr fontId="1" type="noConversion"/>
  </si>
  <si>
    <t>OMS에서 센터, 권역 변경 가능 -&gt; WMS IF 이후
출하예정에서 권역/호차를 변경선택 이후 진행</t>
    <phoneticPr fontId="1" type="noConversion"/>
  </si>
  <si>
    <t xml:space="preserve">예외출고 메뉴를 '출고관리'로 변경. 메뉴 순서는 출하현황 다음으로. </t>
    <phoneticPr fontId="1" type="noConversion"/>
  </si>
  <si>
    <t>김재용</t>
    <phoneticPr fontId="1" type="noConversion"/>
  </si>
  <si>
    <t>입고, 예외출고 검사로직 추가</t>
    <phoneticPr fontId="1" type="noConversion"/>
  </si>
  <si>
    <t>TMS전송 팝업 검색조건 'TMS(송)' 추가. 디폴트 미체크
미체크 - 미 TMS전송 건 조회
체크 - TMS전송 건 조회</t>
    <phoneticPr fontId="1" type="noConversion"/>
  </si>
  <si>
    <t>왕예빈</t>
    <phoneticPr fontId="1" type="noConversion"/>
  </si>
  <si>
    <t>외주직출은 OMS에서 준 center_seq 가 아니라, WMS에서 설정한 외주창고의 center_seq로 세팅되어야함.</t>
    <phoneticPr fontId="1" type="noConversion"/>
  </si>
  <si>
    <t>WMS 거래처의 창고의 센터로 세팅</t>
    <phoneticPr fontId="1" type="noConversion"/>
  </si>
  <si>
    <t>NO_EMP 컬럼에 null 값이 넘어감. 
⇒ 처리자 사번이 없으면 마감자 사번으로 세팅</t>
    <phoneticPr fontId="1" type="noConversion"/>
  </si>
  <si>
    <r>
      <t xml:space="preserve">가맹점이 하루에 2-300건은 될거임. 품목 단위로 일일이 처리하기는 무리.
일괄출하기능 필요. </t>
    </r>
    <r>
      <rPr>
        <sz val="10"/>
        <color rgb="FFFF0000"/>
        <rFont val="맑은 고딕"/>
        <family val="3"/>
        <charset val="129"/>
        <scheme val="minor"/>
      </rPr>
      <t>(내부 검토 필요)</t>
    </r>
    <r>
      <rPr>
        <sz val="10"/>
        <color theme="1"/>
        <rFont val="맑은 고딕"/>
        <family val="3"/>
        <charset val="129"/>
        <scheme val="minor"/>
      </rPr>
      <t xml:space="preserve">
- 1. 품목단위로 조회 -&gt; 자동지정 -&gt; 일괄 출하처리</t>
    </r>
    <phoneticPr fontId="1" type="noConversion"/>
  </si>
  <si>
    <t>품목</t>
    <phoneticPr fontId="1" type="noConversion"/>
  </si>
  <si>
    <t>품목 등록 중 하나 에러 발생 시 그 뒤 품목 다 안 들어감</t>
    <phoneticPr fontId="1" type="noConversion"/>
  </si>
  <si>
    <t>입고예정등록</t>
    <phoneticPr fontId="1" type="noConversion"/>
  </si>
  <si>
    <t>예정정보 수신 시 거래처번호가 있는데 WMS에 마스터정보가 없으면 에러.
- 품목MST는 존재여부 검증을 하는지 검토 및 수정 필요
- 수신IF 전체 검토 및 수정 필요</t>
    <phoneticPr fontId="1" type="noConversion"/>
  </si>
  <si>
    <t>입고처리</t>
    <phoneticPr fontId="1" type="noConversion"/>
  </si>
  <si>
    <t>입고처리에서 부자재 라벨 출력 시 매입처를 업체명에 표기 요청</t>
    <phoneticPr fontId="1" type="noConversion"/>
  </si>
  <si>
    <t>예외출고</t>
    <phoneticPr fontId="1" type="noConversion"/>
  </si>
  <si>
    <t>AUDType 'D' 로 보냈는데 WMS에 예정 건 등록됨.</t>
    <phoneticPr fontId="1" type="noConversion"/>
  </si>
  <si>
    <t>안우진</t>
    <phoneticPr fontId="1" type="noConversion"/>
  </si>
  <si>
    <r>
      <rPr>
        <sz val="11"/>
        <color theme="1"/>
        <rFont val="돋움"/>
        <family val="3"/>
        <charset val="129"/>
      </rPr>
      <t>품목별로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주문수량을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방법</t>
    </r>
    <r>
      <rPr>
        <sz val="11"/>
        <color theme="1"/>
        <rFont val="Calibri"/>
        <family val="2"/>
      </rPr>
      <t xml:space="preserve">? </t>
    </r>
    <r>
      <rPr>
        <sz val="11"/>
        <color theme="1"/>
        <rFont val="돋움"/>
        <family val="3"/>
        <charset val="129"/>
      </rPr>
      <t>주문이</t>
    </r>
    <r>
      <rPr>
        <sz val="11"/>
        <color theme="1"/>
        <rFont val="Calibri"/>
        <family val="2"/>
      </rPr>
      <t xml:space="preserve"> 300</t>
    </r>
    <r>
      <rPr>
        <sz val="11"/>
        <color theme="1"/>
        <rFont val="돋움"/>
        <family val="3"/>
        <charset val="129"/>
      </rPr>
      <t>개이고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센터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재고가</t>
    </r>
    <r>
      <rPr>
        <sz val="11"/>
        <color theme="1"/>
        <rFont val="Calibri"/>
        <family val="2"/>
      </rPr>
      <t xml:space="preserve"> 200</t>
    </r>
    <r>
      <rPr>
        <sz val="11"/>
        <color theme="1"/>
        <rFont val="돋움"/>
        <family val="3"/>
        <charset val="129"/>
      </rPr>
      <t>개일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때</t>
    </r>
    <r>
      <rPr>
        <sz val="11"/>
        <color theme="1"/>
        <rFont val="Calibri"/>
        <family val="2"/>
      </rPr>
      <t xml:space="preserve"> 100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수량은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거절하는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방법</t>
    </r>
    <r>
      <rPr>
        <sz val="11"/>
        <color theme="1"/>
        <rFont val="Calibri"/>
        <family val="2"/>
      </rPr>
      <t>? (</t>
    </r>
    <r>
      <rPr>
        <sz val="11"/>
        <color theme="1"/>
        <rFont val="돋움"/>
        <family val="3"/>
        <charset val="129"/>
      </rPr>
      <t>검토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필요</t>
    </r>
    <r>
      <rPr>
        <sz val="11"/>
        <color theme="1"/>
        <rFont val="Calibri"/>
        <family val="2"/>
      </rPr>
      <t>)</t>
    </r>
    <phoneticPr fontId="1" type="noConversion"/>
  </si>
  <si>
    <t>이재민</t>
    <phoneticPr fontId="1" type="noConversion"/>
  </si>
  <si>
    <t>1. 품목 여러 개 자동지정 기능 요청
2. 제품창고에서 예외출고 가능하게 수정 요청
3. 지정 우선순위: 제품창고 -&gt; 예외출고, 선입선출</t>
    <phoneticPr fontId="1" type="noConversion"/>
  </si>
  <si>
    <t>입고마감</t>
    <phoneticPr fontId="1" type="noConversion"/>
  </si>
  <si>
    <t>합계</t>
    <phoneticPr fontId="1" type="noConversion"/>
  </si>
  <si>
    <t>진행율</t>
    <phoneticPr fontId="1" type="noConversion"/>
  </si>
  <si>
    <t>유형</t>
    <phoneticPr fontId="1" type="noConversion"/>
  </si>
  <si>
    <t>완료</t>
    <phoneticPr fontId="1" type="noConversion"/>
  </si>
  <si>
    <t>통합테스트 수정 및 요청사항</t>
    <phoneticPr fontId="1" type="noConversion"/>
  </si>
  <si>
    <t xml:space="preserve"> </t>
    <phoneticPr fontId="1" type="noConversion"/>
  </si>
  <si>
    <t>접근통제-02</t>
  </si>
  <si>
    <t>공동계정 불가피한 사용시 개인별 사용내역 기록,관리</t>
    <phoneticPr fontId="1" type="noConversion"/>
  </si>
  <si>
    <t>접근통제-04</t>
  </si>
  <si>
    <t>개인별 계정권한 부여</t>
    <phoneticPr fontId="1" type="noConversion"/>
  </si>
  <si>
    <t>1인 1계정 사용하는가?</t>
    <phoneticPr fontId="1" type="noConversion"/>
  </si>
  <si>
    <t>접근통제-05</t>
  </si>
  <si>
    <t>시스템(운영체제, DB, APP등)과 관련된 특수권한과 사용자를 식별</t>
    <phoneticPr fontId="1" type="noConversion"/>
  </si>
  <si>
    <t>특수권한자와 일반 사용자를 식별하고 있는가?</t>
    <phoneticPr fontId="1" type="noConversion"/>
  </si>
  <si>
    <t>접근통제-06</t>
  </si>
  <si>
    <t>필요 이상의 권한을 가진 서비스 계정 (T2.5)</t>
    <phoneticPr fontId="1" type="noConversion"/>
  </si>
  <si>
    <t>접근통제-07</t>
  </si>
  <si>
    <t>불필요한 서비스 금지</t>
    <phoneticPr fontId="1" type="noConversion"/>
  </si>
  <si>
    <t>접근통제-09</t>
  </si>
  <si>
    <t>침입차단시스템등 보안시스템 설치시 최소한 port사용</t>
    <phoneticPr fontId="1" type="noConversion"/>
  </si>
  <si>
    <t>패스워드생성/사용</t>
    <phoneticPr fontId="1" type="noConversion"/>
  </si>
  <si>
    <t>"영·숫자·특수문자" 3가지 종류를 혼합하여 9자리 이상 조건으로만 변경 가능한가?</t>
    <phoneticPr fontId="1" type="noConversion"/>
  </si>
  <si>
    <t>패스워드 관리</t>
    <phoneticPr fontId="1" type="noConversion"/>
  </si>
  <si>
    <t>패스워드 분기별 1회 이상 변경</t>
    <phoneticPr fontId="1" type="noConversion"/>
  </si>
  <si>
    <t>3개월 마다 패스워드 변경 정책을 적용하였는가?</t>
    <phoneticPr fontId="1" type="noConversion"/>
  </si>
  <si>
    <t>패스워드 자동완성 기능 및 웹 브라우저 기능인 계정 자동완성기능을 비활성화 하였는가?</t>
    <phoneticPr fontId="1" type="noConversion"/>
  </si>
  <si>
    <t>인증-06</t>
  </si>
  <si>
    <t>패스워드 인증 제한</t>
    <phoneticPr fontId="1" type="noConversion"/>
  </si>
  <si>
    <t>인증-07</t>
  </si>
  <si>
    <t>로그인 제한시 본인확인 후 재부여 및 초기화 하고 있는가?</t>
    <phoneticPr fontId="1" type="noConversion"/>
  </si>
  <si>
    <t>인증-08</t>
  </si>
  <si>
    <t>사용자별 Two-factor 인증 처리 확인</t>
    <phoneticPr fontId="1" type="noConversion"/>
  </si>
  <si>
    <t>인증-09</t>
  </si>
  <si>
    <t xml:space="preserve">인증 타임아웃 설정 </t>
    <phoneticPr fontId="1" type="noConversion"/>
  </si>
  <si>
    <t>부인방지-02</t>
  </si>
  <si>
    <t>계정 및 권한 로그이력 관리</t>
    <phoneticPr fontId="1" type="noConversion"/>
  </si>
  <si>
    <t>주요정보 암호화</t>
    <phoneticPr fontId="1" type="noConversion"/>
  </si>
  <si>
    <t>해당 컬럼 암호화 저장되어 있는가?</t>
    <phoneticPr fontId="1" type="noConversion"/>
  </si>
  <si>
    <t>[사용자] 프로그램 마스킹 처리</t>
    <phoneticPr fontId="1" type="noConversion"/>
  </si>
  <si>
    <t>암호화-04</t>
  </si>
  <si>
    <t>창고 등록 시 WMS 센터와 IF창고ID 1:1 매핑되도록 요청. 
ex) 수도권센터에서 창고등록 시 IF창고ID 수도권창고 만 표시</t>
    <phoneticPr fontId="1" type="noConversion"/>
  </si>
  <si>
    <t xml:space="preserve">창고 등록 시 WMS센터와 IF창고ID 1:1 자동매핑되도록 요청. </t>
    <phoneticPr fontId="1" type="noConversion"/>
  </si>
  <si>
    <t>재고이동 처리</t>
    <phoneticPr fontId="1" type="noConversion"/>
  </si>
  <si>
    <t xml:space="preserve">WMS 거래처 정보 수신 내용 확인 </t>
    <phoneticPr fontId="1" type="noConversion"/>
  </si>
  <si>
    <t>개발</t>
    <phoneticPr fontId="1" type="noConversion"/>
  </si>
  <si>
    <t>사번이 없는 사용자가 입고 마감 처리 후 IF 송신함.
 -&gt; 사번없는 사용자 마감 불가 메시지 적용 ( 출하/반품/예외출고 적용됨)</t>
    <phoneticPr fontId="1" type="noConversion"/>
  </si>
  <si>
    <t xml:space="preserve">ERP 거래처 정보 입력 후 ERP -&gt; WMS IF 전송 확인 </t>
    <phoneticPr fontId="1" type="noConversion"/>
  </si>
  <si>
    <t>O</t>
    <phoneticPr fontId="1" type="noConversion"/>
  </si>
  <si>
    <t>1. 부분입고 확인
2. 2차 통합테스트시 PDA 입고처리(품온 미등록) 오류 발생</t>
    <phoneticPr fontId="1" type="noConversion"/>
  </si>
  <si>
    <t>백현주</t>
    <phoneticPr fontId="1" type="noConversion"/>
  </si>
  <si>
    <t>백현주</t>
    <phoneticPr fontId="1" type="noConversion"/>
  </si>
  <si>
    <t>김연수</t>
    <phoneticPr fontId="1" type="noConversion"/>
  </si>
  <si>
    <t>김정훈</t>
    <phoneticPr fontId="1" type="noConversion"/>
  </si>
  <si>
    <t>이영진</t>
    <phoneticPr fontId="1" type="noConversion"/>
  </si>
  <si>
    <t>이영진</t>
    <phoneticPr fontId="1" type="noConversion"/>
  </si>
  <si>
    <t>오픈 이후 적용 가능</t>
    <phoneticPr fontId="1" type="noConversion"/>
  </si>
  <si>
    <t>이택</t>
    <phoneticPr fontId="1" type="noConversion"/>
  </si>
  <si>
    <t>거래처</t>
    <phoneticPr fontId="1" type="noConversion"/>
  </si>
  <si>
    <t>수도권센터</t>
    <phoneticPr fontId="1" type="noConversion"/>
  </si>
  <si>
    <t>PDA 입고처리</t>
    <phoneticPr fontId="1" type="noConversion"/>
  </si>
  <si>
    <t>실입고처리 시 "동일한 품온의 창고를 선택해 주세요." 에러 발생</t>
    <phoneticPr fontId="1" type="noConversion"/>
  </si>
  <si>
    <t>거래명세표 화면에서 출력여부, 출력가능여부 표시요청.
   - 검색조건 추가, 그리드 컬럼 추가</t>
    <phoneticPr fontId="1" type="noConversion"/>
  </si>
  <si>
    <t>김정훈</t>
    <phoneticPr fontId="1" type="noConversion"/>
  </si>
  <si>
    <t>보안</t>
    <phoneticPr fontId="1" type="noConversion"/>
  </si>
  <si>
    <t>비밀번호변경</t>
    <phoneticPr fontId="1" type="noConversion"/>
  </si>
  <si>
    <t>비밀번호에 ID가 포함된 경우 수정불가하도록 제한 요청.</t>
    <phoneticPr fontId="1" type="noConversion"/>
  </si>
  <si>
    <t>로그인</t>
    <phoneticPr fontId="1" type="noConversion"/>
  </si>
  <si>
    <t>최초 로그인 시 비밀번호 변경 화면에서 "다음에 변경" 기능 삭제, 계정 잠김 에러메시지 수정 요청</t>
    <phoneticPr fontId="1" type="noConversion"/>
  </si>
  <si>
    <t>A가 누군가의 권한을 변경(사업장-센터) 했거나 권한그룹의 메뉴 권한을 수정했을 때 로그 남기기</t>
    <phoneticPr fontId="1" type="noConversion"/>
  </si>
  <si>
    <t>비밀번호 암호화 BCryte =&gt; SHA-256 변경</t>
    <phoneticPr fontId="1" type="noConversion"/>
  </si>
  <si>
    <t>노민우</t>
    <phoneticPr fontId="1" type="noConversion"/>
  </si>
  <si>
    <t>개발</t>
    <phoneticPr fontId="1" type="noConversion"/>
  </si>
  <si>
    <t>보안</t>
    <phoneticPr fontId="1" type="noConversion"/>
  </si>
  <si>
    <t>접근통제-01</t>
    <phoneticPr fontId="1" type="noConversion"/>
  </si>
  <si>
    <t>불필요한 계정 관리 검토</t>
    <phoneticPr fontId="1" type="noConversion"/>
  </si>
  <si>
    <t>WMS(WEB)</t>
    <phoneticPr fontId="1" type="noConversion"/>
  </si>
  <si>
    <r>
      <t xml:space="preserve">30일 이상 미사용자, </t>
    </r>
    <r>
      <rPr>
        <b/>
        <sz val="10"/>
        <color theme="1"/>
        <rFont val="맑은 고딕"/>
        <family val="3"/>
        <charset val="129"/>
        <scheme val="minor"/>
      </rPr>
      <t xml:space="preserve">장기출장, 휴직, </t>
    </r>
    <r>
      <rPr>
        <sz val="10"/>
        <color theme="1"/>
        <rFont val="맑은 고딕"/>
        <family val="3"/>
        <charset val="129"/>
        <scheme val="minor"/>
      </rPr>
      <t>한번도 사용하지 않은 계정 등 자동 잠김/관리 검토 하는가?</t>
    </r>
    <phoneticPr fontId="1" type="noConversion"/>
  </si>
  <si>
    <t>김형택</t>
    <phoneticPr fontId="1" type="noConversion"/>
  </si>
  <si>
    <t>△</t>
    <phoneticPr fontId="1" type="noConversion"/>
  </si>
  <si>
    <r>
      <t xml:space="preserve">시스템설정&gt; 보안설정 &gt; 30일 &gt; 휴면 처리 - 로그인 불가
30일 로그인 불가 시 잠김
추가 필요 -&gt; </t>
    </r>
    <r>
      <rPr>
        <b/>
        <sz val="10"/>
        <color theme="1"/>
        <rFont val="맑은 고딕"/>
        <family val="3"/>
        <charset val="129"/>
        <scheme val="minor"/>
      </rPr>
      <t>사용자 UI 잠김여부, 최근업데이트(로그인 로그 추가)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스케줄러 시간 = 낮12시 =&gt; 새벽 1시</t>
    </r>
    <phoneticPr fontId="1" type="noConversion"/>
  </si>
  <si>
    <t>계정권한/관리</t>
    <phoneticPr fontId="1" type="noConversion"/>
  </si>
  <si>
    <t>외부사용자 권한 유효기간 한정</t>
    <phoneticPr fontId="1" type="noConversion"/>
  </si>
  <si>
    <t>외부사용자 계정 유효기간 지정하는가?</t>
    <phoneticPr fontId="1" type="noConversion"/>
  </si>
  <si>
    <t>N/A</t>
    <phoneticPr fontId="1" type="noConversion"/>
  </si>
  <si>
    <t>외부사용자(위탁계약) 없음 - 수기관리</t>
    <phoneticPr fontId="1" type="noConversion"/>
  </si>
  <si>
    <t>접근통제-03</t>
    <phoneticPr fontId="1" type="noConversion"/>
  </si>
  <si>
    <t>계정권한/관리</t>
    <phoneticPr fontId="1" type="noConversion"/>
  </si>
  <si>
    <t>WMS(WEB)</t>
    <phoneticPr fontId="1" type="noConversion"/>
  </si>
  <si>
    <t>공동계정 사용자 승인 및 검토 하는가?(로그이력, IP식별 등)</t>
    <phoneticPr fontId="1" type="noConversion"/>
  </si>
  <si>
    <t>김형택</t>
    <phoneticPr fontId="1" type="noConversion"/>
  </si>
  <si>
    <t>O</t>
    <phoneticPr fontId="1" type="noConversion"/>
  </si>
  <si>
    <t>admin 없음</t>
    <phoneticPr fontId="1" type="noConversion"/>
  </si>
  <si>
    <t>O</t>
    <phoneticPr fontId="1" type="noConversion"/>
  </si>
  <si>
    <t>사번으로 투팩터 가능함
사번으로 고유식별 체크</t>
    <phoneticPr fontId="1" type="noConversion"/>
  </si>
  <si>
    <t>권한그룹 6개, 시스템권한, 시스템관리자, 물류 등
기준정보&gt;사용자&gt; 권한그룹 필터</t>
    <phoneticPr fontId="1" type="noConversion"/>
  </si>
  <si>
    <t>보안</t>
    <phoneticPr fontId="1" type="noConversion"/>
  </si>
  <si>
    <t>업무범위에 맞지 않게 과도한 권한을 가지고 있는 사용자가 존재하는가?</t>
    <phoneticPr fontId="1" type="noConversion"/>
  </si>
  <si>
    <t>권한구분 되어 있음 / 
권한구분 - 사업장/센터
- 다시한번 더 함</t>
    <phoneticPr fontId="1" type="noConversion"/>
  </si>
  <si>
    <t>보안</t>
    <phoneticPr fontId="1" type="noConversion"/>
  </si>
  <si>
    <t>불필요한 서비스 금지</t>
    <phoneticPr fontId="1" type="noConversion"/>
  </si>
  <si>
    <t>서버내 불필요한 네트워크 프로토콜 삭제</t>
    <phoneticPr fontId="1" type="noConversion"/>
  </si>
  <si>
    <t>WMS(WEB)</t>
    <phoneticPr fontId="1" type="noConversion"/>
  </si>
  <si>
    <t>불필요한 네트워크를 통제하고있는가?(화이트리스트/필요한 네트워크만 사용)</t>
    <phoneticPr fontId="1" type="noConversion"/>
  </si>
  <si>
    <t>N/A</t>
    <phoneticPr fontId="1" type="noConversion"/>
  </si>
  <si>
    <t>방화벽 정책으로 대체</t>
    <phoneticPr fontId="1" type="noConversion"/>
  </si>
  <si>
    <t>접근통제-08</t>
    <phoneticPr fontId="1" type="noConversion"/>
  </si>
  <si>
    <t>시스템정보 노출가능성이 있는 서비스 허용금지(ping, finger등)</t>
    <phoneticPr fontId="1" type="noConversion"/>
  </si>
  <si>
    <t>필요한 서비스 허용 외 허용 금지하고있는가?(화이트리스트)</t>
    <phoneticPr fontId="1" type="noConversion"/>
  </si>
  <si>
    <t>O</t>
    <phoneticPr fontId="1" type="noConversion"/>
  </si>
  <si>
    <t>식별되어 있음
PORT: WEB 80, DB 5432, API 6270</t>
    <phoneticPr fontId="1" type="noConversion"/>
  </si>
  <si>
    <t>보안시스템 설치시 Port 지정해서 사용하는가?</t>
    <phoneticPr fontId="1" type="noConversion"/>
  </si>
  <si>
    <t>보안시스템 해당 없음</t>
    <phoneticPr fontId="1" type="noConversion"/>
  </si>
  <si>
    <t>인증-01</t>
    <phoneticPr fontId="1" type="noConversion"/>
  </si>
  <si>
    <t xml:space="preserve">강제 적용되어 있음 - 사용자 비번초기화 </t>
    <phoneticPr fontId="1" type="noConversion"/>
  </si>
  <si>
    <t>보안</t>
    <phoneticPr fontId="1" type="noConversion"/>
  </si>
  <si>
    <t>Null 패스워드, 사용자계정과 동일 한 패스워드 변경이 불가능한가?</t>
    <phoneticPr fontId="1" type="noConversion"/>
  </si>
  <si>
    <t>김형택</t>
    <phoneticPr fontId="1" type="noConversion"/>
  </si>
  <si>
    <r>
      <t xml:space="preserve">최초=초기비밀번호 제공 - 커스텀 가능
</t>
    </r>
    <r>
      <rPr>
        <b/>
        <sz val="10"/>
        <color theme="1"/>
        <rFont val="맑은 고딕"/>
        <family val="3"/>
        <charset val="129"/>
        <scheme val="minor"/>
      </rPr>
      <t>사용자ID와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동일한 패스워드는 사용 불가</t>
    </r>
    <r>
      <rPr>
        <sz val="10"/>
        <color theme="1"/>
        <rFont val="맑은 고딕"/>
        <family val="3"/>
        <charset val="129"/>
        <scheme val="minor"/>
      </rPr>
      <t xml:space="preserve">  + alert 경고 멘트
포함여부 제한 요청</t>
    </r>
    <phoneticPr fontId="1" type="noConversion"/>
  </si>
  <si>
    <t>보안</t>
    <phoneticPr fontId="1" type="noConversion"/>
  </si>
  <si>
    <t>패스워드생성/사용</t>
    <phoneticPr fontId="1" type="noConversion"/>
  </si>
  <si>
    <t>사용불가 패스워드 필터링</t>
    <phoneticPr fontId="1" type="noConversion"/>
  </si>
  <si>
    <t>적용되어 있음</t>
    <phoneticPr fontId="1" type="noConversion"/>
  </si>
  <si>
    <t>패스워드 관리</t>
    <phoneticPr fontId="1" type="noConversion"/>
  </si>
  <si>
    <t>90일</t>
    <phoneticPr fontId="1" type="noConversion"/>
  </si>
  <si>
    <t>패스워드 자동완성기능 적용 금지</t>
    <phoneticPr fontId="1" type="noConversion"/>
  </si>
  <si>
    <t>WMS(WEB)</t>
    <phoneticPr fontId="1" type="noConversion"/>
  </si>
  <si>
    <t>브라우저 기능</t>
    <phoneticPr fontId="1" type="noConversion"/>
  </si>
  <si>
    <t>패스워드 인증 제한</t>
    <phoneticPr fontId="1" type="noConversion"/>
  </si>
  <si>
    <t>패스워드 연속 5회 입력 제한 및 사용중지</t>
    <phoneticPr fontId="1" type="noConversion"/>
  </si>
  <si>
    <t>패스워드 5회 연 오류 시, 로그인을 제한하고 있는가? + 로그를 남기는가</t>
    <phoneticPr fontId="1" type="noConversion"/>
  </si>
  <si>
    <t xml:space="preserve">5회 설정 - 보안상의 이유로 잠김
시스템관리자가 해제 해야 함 </t>
    <phoneticPr fontId="1" type="noConversion"/>
  </si>
  <si>
    <t>사용중지시 본인확인절차 확인후 재부여, 초기화</t>
    <phoneticPr fontId="1" type="noConversion"/>
  </si>
  <si>
    <t>로그인 사용자가 직접 해제 할 수 없음</t>
    <phoneticPr fontId="1" type="noConversion"/>
  </si>
  <si>
    <t>Two-factor 인증 확인</t>
    <phoneticPr fontId="1" type="noConversion"/>
  </si>
  <si>
    <t>김형택</t>
    <phoneticPr fontId="1" type="noConversion"/>
  </si>
  <si>
    <t>사용자 생성 시 체크박스로 해당 기능 구현 확인함</t>
    <phoneticPr fontId="1" type="noConversion"/>
  </si>
  <si>
    <t>인증방식 강화</t>
    <phoneticPr fontId="1" type="noConversion"/>
  </si>
  <si>
    <t>애플리케이션 30분, 기타정보시스템 10분동안 입력이 없을경우 로그인 해제</t>
    <phoneticPr fontId="1" type="noConversion"/>
  </si>
  <si>
    <t>김형택</t>
    <phoneticPr fontId="1" type="noConversion"/>
  </si>
  <si>
    <t>O</t>
    <phoneticPr fontId="1" type="noConversion"/>
  </si>
  <si>
    <r>
      <t xml:space="preserve">별도 구분없이 10분 =&gt; </t>
    </r>
    <r>
      <rPr>
        <b/>
        <sz val="10"/>
        <color theme="1"/>
        <rFont val="맑은 고딕"/>
        <family val="3"/>
        <charset val="129"/>
        <scheme val="minor"/>
      </rPr>
      <t>정보보호 의견 반영</t>
    </r>
    <phoneticPr fontId="1" type="noConversion"/>
  </si>
  <si>
    <t>부인방지-01</t>
    <phoneticPr fontId="1" type="noConversion"/>
  </si>
  <si>
    <t>정보자산 운영담당 및 계정관리점검</t>
    <phoneticPr fontId="1" type="noConversion"/>
  </si>
  <si>
    <t>사용자계정 부여의 적절성 연2회 이상 점검</t>
    <phoneticPr fontId="1" type="noConversion"/>
  </si>
  <si>
    <t>사용자계정 부여를 적절하게 하였는지 점검하고 있는가?</t>
    <phoneticPr fontId="1" type="noConversion"/>
  </si>
  <si>
    <t>정보자산 운영담당 및 계정관리점검</t>
    <phoneticPr fontId="1" type="noConversion"/>
  </si>
  <si>
    <t>개인정보처리자 및 애플리케이션, 시스템 관리/운영자의 계정 및 권한에 대한 부여/변경/말소 이력로그이력을 최소3년이상 남길 수 있는가?</t>
    <phoneticPr fontId="1" type="noConversion"/>
  </si>
  <si>
    <t>△</t>
    <phoneticPr fontId="1" type="noConversion"/>
  </si>
  <si>
    <r>
      <t>로그인/로그아웃/사용자잠김/해제 만 존재함
접근자-IP-시간-</t>
    </r>
    <r>
      <rPr>
        <b/>
        <u/>
        <sz val="10"/>
        <color theme="1"/>
        <rFont val="맑은 고딕"/>
        <family val="3"/>
        <charset val="129"/>
        <scheme val="minor"/>
      </rPr>
      <t>행위(부여/변경/삭제)-대상(기능)</t>
    </r>
    <r>
      <rPr>
        <u/>
        <sz val="10"/>
        <color theme="1"/>
        <rFont val="맑은 고딕"/>
        <family val="3"/>
        <charset val="129"/>
        <scheme val="minor"/>
      </rPr>
      <t xml:space="preserve">
누적보관 / 자동 덮어쓰기 없음</t>
    </r>
    <phoneticPr fontId="1" type="noConversion"/>
  </si>
  <si>
    <t>암호화-01</t>
    <phoneticPr fontId="1" type="noConversion"/>
  </si>
  <si>
    <t>안전한 암호화 알고리즘 적용</t>
    <phoneticPr fontId="1" type="noConversion"/>
  </si>
  <si>
    <t>다. 암호화시 상급기관이 권고하는 알고리즘 사용
- 해쉬 알고리즘(단방향) - (각종 비밀번호, 인증정보등)
 : HAS-160 또는 SHA-256/384/512, 128bit 이상
- 대칭키 알고리즘(암/복호화) - (주요정보)
 : SEED 또는 ARIA, 128bit 이상
- 키교환 알고리즘
 : RSA 또는 DH(diffie-hellman), 2048bit 이상
- 전자서명 알고리즘
 : KCDSA 또는 RSA, 2048bit 이상
라. 사용자 로그인 인증정보 단방향(복호화 불가)암호화 적용</t>
    <phoneticPr fontId="1" type="noConversion"/>
  </si>
  <si>
    <r>
      <t xml:space="preserve">비밀번호 - </t>
    </r>
    <r>
      <rPr>
        <b/>
        <sz val="10"/>
        <color theme="1"/>
        <rFont val="맑은 고딕"/>
        <family val="3"/>
        <charset val="129"/>
        <scheme val="minor"/>
      </rPr>
      <t xml:space="preserve">Bcrypt 
</t>
    </r>
    <r>
      <rPr>
        <sz val="10"/>
        <color theme="1"/>
        <rFont val="맑은 고딕"/>
        <family val="3"/>
        <charset val="129"/>
        <scheme val="minor"/>
      </rPr>
      <t>대칭키 - AES-256
DB - Aes-256</t>
    </r>
    <phoneticPr fontId="1" type="noConversion"/>
  </si>
  <si>
    <t>DB암호화</t>
    <phoneticPr fontId="1" type="noConversion"/>
  </si>
  <si>
    <t>사용자: AES256-전화번호,이메일
거래처/가맹정 : AES256 - 대표자명, 이메일, 전화번호, 주소</t>
    <phoneticPr fontId="1" type="noConversion"/>
  </si>
  <si>
    <t>화면 마스킹</t>
    <phoneticPr fontId="1" type="noConversion"/>
  </si>
  <si>
    <t>사용자 프로그램에서 전화번호, 이메일 마스킹 처리 및 더블클릭시 보이는 로직 구현되어있는가?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</si>
  <si>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단일건 암호화 해제 시 기존 암호해제 된 컬럼은 다시 암호화 되도록 요청</t>
    </r>
    <r>
      <rPr>
        <sz val="10"/>
        <color theme="1"/>
        <rFont val="맑은 고딕"/>
        <family val="3"/>
        <charset val="129"/>
        <scheme val="minor"/>
      </rPr>
      <t xml:space="preserve"> 
사용자: 전화번호, 이메일
거래처: 전화번호, 이메일, 주소</t>
    </r>
    <phoneticPr fontId="1" type="noConversion"/>
  </si>
  <si>
    <t>[거래처] 프로그램 마스킹 처리</t>
    <phoneticPr fontId="1" type="noConversion"/>
  </si>
  <si>
    <t>거래처 프로그램에서 대표자명, 전화번호, 이메일, 주소 마스킹 처리 및 더블클릭시 보이는 로직 구현되어있는가?</t>
    <phoneticPr fontId="1" type="noConversion"/>
  </si>
  <si>
    <t>N/A</t>
    <phoneticPr fontId="1" type="noConversion"/>
  </si>
  <si>
    <t>위와 동일</t>
    <phoneticPr fontId="1" type="noConversion"/>
  </si>
  <si>
    <t>임직원 - 사번, 
센터 - 도급사아이디 생성규칙으로 구분</t>
    <phoneticPr fontId="1" type="noConversion"/>
  </si>
  <si>
    <t>보안관련</t>
    <phoneticPr fontId="1" type="noConversion"/>
  </si>
  <si>
    <t>체크항목</t>
    <phoneticPr fontId="1" type="noConversion"/>
  </si>
  <si>
    <t>재확인(△)</t>
    <phoneticPr fontId="1" type="noConversion"/>
  </si>
  <si>
    <t>재확인(△)</t>
    <phoneticPr fontId="1" type="noConversion"/>
  </si>
  <si>
    <t>가용재고 컬럼 추가</t>
    <phoneticPr fontId="1" type="noConversion"/>
  </si>
  <si>
    <t>차수별 관련 출고 로직은 open 이후</t>
    <phoneticPr fontId="1" type="noConversion"/>
  </si>
  <si>
    <t>품목 엑셀 업로드로 데이터 일괄 수정 기능 요청.
   - 상품명, 소비기한 고정여부, 유효기준일수, 임박기준일수, 묶음수량, 묶음단위명, 
     가로, 세로, 높이, 중량
   - 축산이력번호 등록 팝업처럼 데이터가 포함된 양식을 다운받을 수 있는 팝업 필요</t>
    <phoneticPr fontId="1" type="noConversion"/>
  </si>
  <si>
    <t>1/1일 이후</t>
    <phoneticPr fontId="1" type="noConversion"/>
  </si>
  <si>
    <t>사양변경</t>
    <phoneticPr fontId="1" type="noConversion"/>
  </si>
  <si>
    <t>* 2차 WMS 진행 현황</t>
    <phoneticPr fontId="1" type="noConversion"/>
  </si>
  <si>
    <t>사양변경</t>
    <phoneticPr fontId="1" type="noConversion"/>
  </si>
  <si>
    <t>이택</t>
    <phoneticPr fontId="1" type="noConversion"/>
  </si>
  <si>
    <t>거래처에 출고차수 신규 컬럼 추가 및 수정가능 로직 추가</t>
    <phoneticPr fontId="1" type="noConversion"/>
  </si>
  <si>
    <t>백현주</t>
    <phoneticPr fontId="1" type="noConversion"/>
  </si>
  <si>
    <t>차수별 출고지시</t>
    <phoneticPr fontId="1" type="noConversion"/>
  </si>
  <si>
    <t>노민우</t>
    <phoneticPr fontId="1" type="noConversion"/>
  </si>
  <si>
    <t>확인결과
(O,△,X)</t>
    <phoneticPr fontId="1" type="noConversion"/>
  </si>
  <si>
    <t>김재용</t>
    <phoneticPr fontId="1" type="noConversion"/>
  </si>
  <si>
    <t>공통</t>
    <phoneticPr fontId="1" type="noConversion"/>
  </si>
  <si>
    <t>사양변경</t>
    <phoneticPr fontId="1" type="noConversion"/>
  </si>
  <si>
    <t>체크 표시 이미지 호버 시 경로 안보이게</t>
    <phoneticPr fontId="1" type="noConversion"/>
  </si>
  <si>
    <t>김연수</t>
    <phoneticPr fontId="1" type="noConversion"/>
  </si>
  <si>
    <t>김재용</t>
    <phoneticPr fontId="1" type="noConversion"/>
  </si>
  <si>
    <t>외주입고 [강제확정] 기능 추가 요청</t>
    <phoneticPr fontId="1" type="noConversion"/>
  </si>
  <si>
    <t>백현주</t>
    <phoneticPr fontId="1" type="noConversion"/>
  </si>
  <si>
    <t>WMS 구축 프로젝트</t>
    <phoneticPr fontId="8" type="noConversion"/>
  </si>
  <si>
    <t>2026.01.01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</si>
</sst>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0.0_ "/>
    <numFmt numFmtId="177" formatCode="yyyy/mm/dd;@"/>
    <numFmt numFmtId="178" formatCode="#,##0_ "/>
    <numFmt numFmtId="179" formatCode="yyyy\-mm\-dd"/>
    <numFmt numFmtId="180" formatCode="0.0%"/>
    <numFmt numFmtId="181" formatCode="yyyy\.\ m\.\ d"/>
  </numFmts>
  <fonts count="4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323848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b/>
      <sz val="10"/>
      <color theme="1"/>
      <name val="Arial"/>
      <family val="2"/>
    </font>
    <font>
      <sz val="10"/>
      <color rgb="FFFF0000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Calibri"/>
      <family val="2"/>
    </font>
    <font>
      <b/>
      <u/>
      <sz val="10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theme="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8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16" fillId="0" borderId="0"/>
    <xf numFmtId="0" fontId="3" fillId="0" borderId="0">
      <alignment vertical="center"/>
    </xf>
    <xf numFmtId="0" fontId="17" fillId="0" borderId="0"/>
    <xf numFmtId="0" fontId="4" fillId="0" borderId="0">
      <alignment vertical="center"/>
    </xf>
  </cellStyleXfs>
  <cellXfs count="154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0" xfId="2" applyFont="1" applyFill="1" applyAlignment="1">
      <alignment horizontal="left"/>
    </xf>
    <xf numFmtId="0" fontId="0" fillId="3" borderId="0" xfId="0" applyFill="1">
      <alignment vertical="center"/>
    </xf>
    <xf numFmtId="0" fontId="6" fillId="3" borderId="0" xfId="2" applyFont="1" applyFill="1" applyAlignment="1">
      <alignment horizontal="right"/>
    </xf>
    <xf numFmtId="0" fontId="7" fillId="3" borderId="0" xfId="2" applyFont="1" applyFill="1" applyAlignment="1">
      <alignment horizontal="right"/>
    </xf>
    <xf numFmtId="0" fontId="9" fillId="3" borderId="0" xfId="2" applyFont="1" applyFill="1" applyAlignment="1">
      <alignment vertical="center"/>
    </xf>
    <xf numFmtId="0" fontId="10" fillId="3" borderId="0" xfId="2" applyFont="1" applyFill="1" applyAlignment="1">
      <alignment horizontal="right"/>
    </xf>
    <xf numFmtId="0" fontId="11" fillId="3" borderId="0" xfId="2" applyFont="1" applyFill="1" applyAlignment="1">
      <alignment horizontal="right"/>
    </xf>
    <xf numFmtId="0" fontId="13" fillId="4" borderId="0" xfId="3" applyFont="1" applyFill="1"/>
    <xf numFmtId="0" fontId="13" fillId="4" borderId="0" xfId="3" applyFont="1" applyFill="1" applyAlignment="1">
      <alignment horizontal="center"/>
    </xf>
    <xf numFmtId="0" fontId="14" fillId="2" borderId="1" xfId="3" applyFont="1" applyFill="1" applyBorder="1" applyAlignment="1">
      <alignment horizontal="center" vertical="center" wrapText="1"/>
    </xf>
    <xf numFmtId="176" fontId="15" fillId="4" borderId="1" xfId="3" applyNumberFormat="1" applyFont="1" applyFill="1" applyBorder="1" applyAlignment="1">
      <alignment horizontal="center" vertical="center" wrapText="1"/>
    </xf>
    <xf numFmtId="0" fontId="15" fillId="4" borderId="1" xfId="3" applyFont="1" applyFill="1" applyBorder="1" applyAlignment="1">
      <alignment horizontal="justify" vertical="center" wrapText="1"/>
    </xf>
    <xf numFmtId="0" fontId="15" fillId="4" borderId="1" xfId="3" applyFont="1" applyFill="1" applyBorder="1" applyAlignment="1">
      <alignment horizontal="center" vertical="center" wrapText="1"/>
    </xf>
    <xf numFmtId="177" fontId="15" fillId="4" borderId="1" xfId="3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0" borderId="0" xfId="0" applyFont="1">
      <alignment vertical="center"/>
    </xf>
    <xf numFmtId="42" fontId="2" fillId="0" borderId="1" xfId="0" applyNumberFormat="1" applyFont="1" applyBorder="1">
      <alignment vertical="center"/>
    </xf>
    <xf numFmtId="0" fontId="21" fillId="0" borderId="0" xfId="5" applyFont="1" applyAlignment="1">
      <alignment horizontal="left" vertical="center" shrinkToFit="1"/>
    </xf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4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14" fontId="24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6" borderId="1" xfId="4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78" fontId="26" fillId="5" borderId="1" xfId="0" applyNumberFormat="1" applyFont="1" applyFill="1" applyBorder="1" applyAlignment="1">
      <alignment horizontal="center" vertical="center"/>
    </xf>
    <xf numFmtId="0" fontId="27" fillId="8" borderId="6" xfId="6" applyFont="1" applyFill="1" applyBorder="1" applyAlignment="1">
      <alignment horizontal="center" vertical="center" wrapText="1"/>
    </xf>
    <xf numFmtId="179" fontId="2" fillId="9" borderId="6" xfId="6" applyNumberFormat="1" applyFont="1" applyFill="1" applyBorder="1" applyAlignment="1">
      <alignment horizontal="center" vertical="center" wrapText="1"/>
    </xf>
    <xf numFmtId="0" fontId="28" fillId="0" borderId="0" xfId="6" applyFont="1" applyAlignment="1">
      <alignment vertical="center"/>
    </xf>
    <xf numFmtId="0" fontId="2" fillId="10" borderId="6" xfId="6" applyFont="1" applyFill="1" applyBorder="1" applyAlignment="1">
      <alignment horizontal="center" vertical="center" wrapText="1"/>
    </xf>
    <xf numFmtId="179" fontId="2" fillId="10" borderId="6" xfId="6" applyNumberFormat="1" applyFont="1" applyFill="1" applyBorder="1" applyAlignment="1">
      <alignment horizontal="center" vertical="center" wrapText="1"/>
    </xf>
    <xf numFmtId="0" fontId="2" fillId="10" borderId="6" xfId="6" applyFont="1" applyFill="1" applyBorder="1" applyAlignment="1">
      <alignment horizontal="left" vertical="center" wrapText="1"/>
    </xf>
    <xf numFmtId="14" fontId="2" fillId="10" borderId="6" xfId="6" applyNumberFormat="1" applyFont="1" applyFill="1" applyBorder="1" applyAlignment="1">
      <alignment horizontal="center" vertical="center" wrapText="1"/>
    </xf>
    <xf numFmtId="0" fontId="2" fillId="10" borderId="6" xfId="6" applyFont="1" applyFill="1" applyBorder="1" applyAlignment="1">
      <alignment vertical="center" wrapText="1"/>
    </xf>
    <xf numFmtId="178" fontId="2" fillId="9" borderId="6" xfId="6" applyNumberFormat="1" applyFont="1" applyFill="1" applyBorder="1" applyAlignment="1">
      <alignment horizontal="center" vertical="center" wrapText="1"/>
    </xf>
    <xf numFmtId="180" fontId="2" fillId="9" borderId="6" xfId="6" applyNumberFormat="1" applyFont="1" applyFill="1" applyBorder="1" applyAlignment="1">
      <alignment horizontal="center" vertical="center" wrapText="1"/>
    </xf>
    <xf numFmtId="0" fontId="2" fillId="9" borderId="6" xfId="6" applyFont="1" applyFill="1" applyBorder="1" applyAlignment="1">
      <alignment vertical="center" wrapText="1"/>
    </xf>
    <xf numFmtId="0" fontId="2" fillId="0" borderId="0" xfId="6" applyFont="1" applyAlignment="1">
      <alignment vertical="center" wrapText="1"/>
    </xf>
    <xf numFmtId="0" fontId="2" fillId="0" borderId="0" xfId="6" applyFont="1" applyAlignment="1">
      <alignment horizontal="center" vertical="center" wrapText="1"/>
    </xf>
    <xf numFmtId="0" fontId="2" fillId="0" borderId="0" xfId="6" applyFont="1" applyAlignment="1">
      <alignment horizontal="left" vertical="center" wrapText="1"/>
    </xf>
    <xf numFmtId="181" fontId="2" fillId="0" borderId="0" xfId="6" applyNumberFormat="1" applyFont="1" applyAlignment="1">
      <alignment horizontal="center" vertical="center" wrapText="1"/>
    </xf>
    <xf numFmtId="0" fontId="2" fillId="0" borderId="0" xfId="6" applyFont="1" applyAlignment="1">
      <alignment horizontal="center" vertical="center"/>
    </xf>
    <xf numFmtId="0" fontId="30" fillId="5" borderId="10" xfId="0" applyFont="1" applyFill="1" applyBorder="1" applyAlignment="1" applyProtection="1">
      <alignment horizontal="center" vertical="center" wrapText="1"/>
      <protection locked="0"/>
    </xf>
    <xf numFmtId="0" fontId="31" fillId="5" borderId="10" xfId="0" applyFont="1" applyFill="1" applyBorder="1" applyAlignment="1" applyProtection="1">
      <alignment horizontal="center" vertical="center" wrapText="1"/>
      <protection locked="0"/>
    </xf>
    <xf numFmtId="0" fontId="30" fillId="0" borderId="10" xfId="0" applyFont="1" applyBorder="1" applyAlignment="1" applyProtection="1">
      <alignment horizontal="center" vertical="center" wrapText="1"/>
      <protection locked="0"/>
    </xf>
    <xf numFmtId="180" fontId="30" fillId="0" borderId="10" xfId="0" applyNumberFormat="1" applyFont="1" applyBorder="1" applyAlignment="1" applyProtection="1">
      <alignment horizontal="center" vertical="center" wrapText="1"/>
      <protection locked="0"/>
    </xf>
    <xf numFmtId="0" fontId="32" fillId="5" borderId="10" xfId="0" applyFont="1" applyFill="1" applyBorder="1" applyAlignment="1" applyProtection="1">
      <alignment horizontal="center" vertical="center" wrapText="1"/>
      <protection locked="0"/>
    </xf>
    <xf numFmtId="180" fontId="32" fillId="5" borderId="10" xfId="0" applyNumberFormat="1" applyFont="1" applyFill="1" applyBorder="1" applyAlignment="1" applyProtection="1">
      <alignment horizontal="center" vertical="center" wrapText="1"/>
      <protection locked="0"/>
    </xf>
    <xf numFmtId="42" fontId="2" fillId="0" borderId="1" xfId="0" applyNumberFormat="1" applyFont="1" applyBorder="1" applyAlignment="1">
      <alignment horizontal="center" vertical="center"/>
    </xf>
    <xf numFmtId="0" fontId="2" fillId="11" borderId="1" xfId="4" applyFont="1" applyFill="1" applyBorder="1" applyAlignment="1">
      <alignment horizontal="center" vertical="center"/>
    </xf>
    <xf numFmtId="0" fontId="2" fillId="12" borderId="1" xfId="4" applyFont="1" applyFill="1" applyBorder="1" applyAlignment="1">
      <alignment horizontal="center" vertical="center"/>
    </xf>
    <xf numFmtId="0" fontId="2" fillId="0" borderId="1" xfId="4" applyFont="1" applyBorder="1" applyAlignment="1">
      <alignment horizontal="left" vertical="center"/>
    </xf>
    <xf numFmtId="0" fontId="2" fillId="14" borderId="1" xfId="4" applyFont="1" applyFill="1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0" fontId="22" fillId="0" borderId="1" xfId="4" applyFont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2" fillId="14" borderId="1" xfId="4" applyFont="1" applyFill="1" applyBorder="1" applyAlignment="1">
      <alignment horizontal="center" vertical="center"/>
    </xf>
    <xf numFmtId="0" fontId="22" fillId="14" borderId="1" xfId="4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Font="1" applyFill="1" applyBorder="1">
      <alignment vertical="center"/>
    </xf>
    <xf numFmtId="0" fontId="2" fillId="14" borderId="1" xfId="4" applyFont="1" applyFill="1" applyBorder="1" applyAlignment="1">
      <alignment horizontal="left" vertical="center"/>
    </xf>
    <xf numFmtId="0" fontId="22" fillId="14" borderId="1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4" fontId="2" fillId="10" borderId="6" xfId="6" applyNumberFormat="1" applyFont="1" applyFill="1" applyBorder="1" applyAlignment="1">
      <alignment horizontal="left" vertical="center" wrapText="1"/>
    </xf>
    <xf numFmtId="0" fontId="28" fillId="0" borderId="0" xfId="6" applyFont="1" applyAlignment="1">
      <alignment vertical="center" wrapText="1"/>
    </xf>
    <xf numFmtId="14" fontId="2" fillId="10" borderId="6" xfId="6" applyNumberFormat="1" applyFont="1" applyFill="1" applyBorder="1" applyAlignment="1">
      <alignment vertical="center" wrapText="1"/>
    </xf>
    <xf numFmtId="0" fontId="29" fillId="7" borderId="6" xfId="6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>
      <alignment vertical="center"/>
    </xf>
    <xf numFmtId="0" fontId="2" fillId="15" borderId="1" xfId="0" applyFont="1" applyFill="1" applyBorder="1" applyAlignment="1">
      <alignment horizontal="left" vertical="center" wrapText="1"/>
    </xf>
    <xf numFmtId="0" fontId="2" fillId="8" borderId="6" xfId="6" applyFont="1" applyFill="1" applyBorder="1" applyAlignment="1">
      <alignment horizontal="center" vertical="center" wrapText="1"/>
    </xf>
    <xf numFmtId="0" fontId="2" fillId="16" borderId="6" xfId="6" applyFont="1" applyFill="1" applyBorder="1" applyAlignment="1">
      <alignment horizontal="center" vertical="center" wrapText="1"/>
    </xf>
    <xf numFmtId="0" fontId="2" fillId="0" borderId="6" xfId="6" applyFont="1" applyBorder="1" applyAlignment="1">
      <alignment horizontal="center" vertical="center" wrapText="1"/>
    </xf>
    <xf numFmtId="0" fontId="2" fillId="17" borderId="6" xfId="6" applyFont="1" applyFill="1" applyBorder="1" applyAlignment="1">
      <alignment horizontal="center" vertical="center" wrapText="1"/>
    </xf>
    <xf numFmtId="179" fontId="2" fillId="17" borderId="6" xfId="6" applyNumberFormat="1" applyFont="1" applyFill="1" applyBorder="1" applyAlignment="1">
      <alignment horizontal="center" vertical="center" wrapText="1"/>
    </xf>
    <xf numFmtId="0" fontId="2" fillId="17" borderId="6" xfId="6" applyFont="1" applyFill="1" applyBorder="1" applyAlignment="1">
      <alignment horizontal="left" vertical="center" wrapText="1"/>
    </xf>
    <xf numFmtId="0" fontId="2" fillId="17" borderId="6" xfId="6" applyFont="1" applyFill="1" applyBorder="1" applyAlignment="1">
      <alignment vertical="center" wrapText="1"/>
    </xf>
    <xf numFmtId="0" fontId="31" fillId="0" borderId="10" xfId="0" applyFont="1" applyBorder="1" applyAlignment="1" applyProtection="1">
      <alignment horizontal="center" vertical="center" wrapText="1"/>
      <protection locked="0"/>
    </xf>
    <xf numFmtId="0" fontId="2" fillId="5" borderId="10" xfId="0" applyFont="1" applyFill="1" applyBorder="1" applyAlignment="1" applyProtection="1">
      <alignment horizontal="center" vertical="center" wrapText="1"/>
      <protection locked="0"/>
    </xf>
    <xf numFmtId="180" fontId="2" fillId="0" borderId="10" xfId="0" applyNumberFormat="1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7" fillId="18" borderId="10" xfId="0" applyFont="1" applyFill="1" applyBorder="1" applyAlignment="1" applyProtection="1">
      <alignment horizontal="center" vertical="center" wrapText="1"/>
      <protection locked="0"/>
    </xf>
    <xf numFmtId="180" fontId="27" fillId="18" borderId="10" xfId="0" applyNumberFormat="1" applyFont="1" applyFill="1" applyBorder="1" applyAlignment="1" applyProtection="1">
      <alignment horizontal="center" vertical="center" wrapText="1"/>
      <protection locked="0"/>
    </xf>
    <xf numFmtId="14" fontId="2" fillId="19" borderId="6" xfId="6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180" fontId="2" fillId="0" borderId="10" xfId="0" applyNumberFormat="1" applyFont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top" wrapText="1"/>
    </xf>
    <xf numFmtId="14" fontId="2" fillId="10" borderId="7" xfId="6" applyNumberFormat="1" applyFont="1" applyFill="1" applyBorder="1" applyAlignment="1">
      <alignment horizontal="center" vertical="center" wrapText="1"/>
    </xf>
    <xf numFmtId="14" fontId="2" fillId="10" borderId="9" xfId="6" applyNumberFormat="1" applyFont="1" applyFill="1" applyBorder="1" applyAlignment="1">
      <alignment horizontal="center" vertical="center" wrapText="1"/>
    </xf>
    <xf numFmtId="14" fontId="2" fillId="10" borderId="14" xfId="6" applyNumberFormat="1" applyFont="1" applyFill="1" applyBorder="1" applyAlignment="1">
      <alignment horizontal="left" vertical="center" wrapText="1"/>
    </xf>
    <xf numFmtId="0" fontId="35" fillId="0" borderId="1" xfId="0" applyFont="1" applyBorder="1">
      <alignment vertical="center"/>
    </xf>
    <xf numFmtId="0" fontId="29" fillId="7" borderId="6" xfId="6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6" xfId="6" applyNumberFormat="1" applyFont="1" applyBorder="1" applyAlignment="1">
      <alignment horizontal="center" vertical="center" wrapText="1"/>
    </xf>
    <xf numFmtId="14" fontId="2" fillId="19" borderId="6" xfId="6" applyNumberFormat="1" applyFont="1" applyFill="1" applyBorder="1" applyAlignment="1">
      <alignment horizontal="left" vertical="center" wrapText="1"/>
    </xf>
    <xf numFmtId="0" fontId="2" fillId="0" borderId="6" xfId="6" applyFont="1" applyBorder="1" applyAlignment="1">
      <alignment vertical="center" wrapText="1"/>
    </xf>
    <xf numFmtId="14" fontId="38" fillId="19" borderId="6" xfId="6" applyNumberFormat="1" applyFont="1" applyFill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28" fillId="0" borderId="0" xfId="6" applyFont="1" applyAlignment="1">
      <alignment horizontal="center" vertical="center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0" fillId="0" borderId="20" xfId="0" applyBorder="1" applyAlignment="1">
      <alignment horizontal="left" vertical="center"/>
    </xf>
    <xf numFmtId="0" fontId="12" fillId="4" borderId="0" xfId="3" applyFont="1" applyFill="1" applyAlignment="1">
      <alignment horizontal="center" vertical="center"/>
    </xf>
    <xf numFmtId="0" fontId="2" fillId="10" borderId="14" xfId="6" applyFont="1" applyFill="1" applyBorder="1" applyAlignment="1">
      <alignment horizontal="center" vertical="center" wrapText="1"/>
    </xf>
    <xf numFmtId="0" fontId="2" fillId="10" borderId="12" xfId="6" applyFont="1" applyFill="1" applyBorder="1" applyAlignment="1">
      <alignment horizontal="center" vertical="center" wrapText="1"/>
    </xf>
    <xf numFmtId="179" fontId="2" fillId="10" borderId="14" xfId="6" applyNumberFormat="1" applyFont="1" applyFill="1" applyBorder="1" applyAlignment="1">
      <alignment horizontal="center" vertical="center" wrapText="1"/>
    </xf>
    <xf numFmtId="179" fontId="2" fillId="10" borderId="12" xfId="6" applyNumberFormat="1" applyFont="1" applyFill="1" applyBorder="1" applyAlignment="1">
      <alignment horizontal="center" vertical="center" wrapText="1"/>
    </xf>
    <xf numFmtId="0" fontId="2" fillId="9" borderId="7" xfId="6" applyFont="1" applyFill="1" applyBorder="1" applyAlignment="1">
      <alignment horizontal="center" vertical="center" wrapText="1"/>
    </xf>
    <xf numFmtId="0" fontId="2" fillId="9" borderId="8" xfId="6" applyFont="1" applyFill="1" applyBorder="1" applyAlignment="1">
      <alignment horizontal="center" vertical="center" wrapText="1"/>
    </xf>
    <xf numFmtId="0" fontId="2" fillId="0" borderId="16" xfId="6" applyFont="1" applyBorder="1" applyAlignment="1">
      <alignment horizontal="left" vertical="center" wrapText="1"/>
    </xf>
    <xf numFmtId="0" fontId="2" fillId="0" borderId="0" xfId="6" applyFont="1" applyAlignment="1">
      <alignment horizontal="left" vertical="center" wrapText="1"/>
    </xf>
    <xf numFmtId="179" fontId="2" fillId="10" borderId="11" xfId="6" applyNumberFormat="1" applyFont="1" applyFill="1" applyBorder="1" applyAlignment="1">
      <alignment horizontal="center" vertical="center" wrapText="1"/>
    </xf>
    <xf numFmtId="0" fontId="2" fillId="10" borderId="13" xfId="6" applyFont="1" applyFill="1" applyBorder="1" applyAlignment="1">
      <alignment horizontal="center" vertical="center" wrapText="1"/>
    </xf>
    <xf numFmtId="179" fontId="2" fillId="10" borderId="13" xfId="6" applyNumberFormat="1" applyFont="1" applyFill="1" applyBorder="1" applyAlignment="1">
      <alignment horizontal="center" vertical="center" wrapText="1"/>
    </xf>
    <xf numFmtId="0" fontId="21" fillId="7" borderId="0" xfId="6" applyFont="1" applyFill="1" applyAlignment="1">
      <alignment horizontal="left" vertical="center"/>
    </xf>
    <xf numFmtId="0" fontId="2" fillId="8" borderId="14" xfId="6" applyFont="1" applyFill="1" applyBorder="1" applyAlignment="1">
      <alignment horizontal="center" vertical="center" wrapText="1"/>
    </xf>
    <xf numFmtId="0" fontId="2" fillId="8" borderId="13" xfId="6" applyFont="1" applyFill="1" applyBorder="1" applyAlignment="1">
      <alignment horizontal="center" vertical="center" wrapText="1"/>
    </xf>
    <xf numFmtId="0" fontId="2" fillId="8" borderId="15" xfId="6" applyFont="1" applyFill="1" applyBorder="1" applyAlignment="1">
      <alignment horizontal="center" vertical="center" wrapText="1"/>
    </xf>
    <xf numFmtId="0" fontId="2" fillId="8" borderId="7" xfId="6" applyFont="1" applyFill="1" applyBorder="1" applyAlignment="1">
      <alignment horizontal="center" vertical="center" wrapText="1"/>
    </xf>
    <xf numFmtId="0" fontId="2" fillId="8" borderId="8" xfId="6" applyFont="1" applyFill="1" applyBorder="1" applyAlignment="1">
      <alignment horizontal="center" vertical="center" wrapText="1"/>
    </xf>
    <xf numFmtId="0" fontId="2" fillId="8" borderId="9" xfId="6" applyFont="1" applyFill="1" applyBorder="1" applyAlignment="1">
      <alignment horizontal="center" vertical="center" wrapText="1"/>
    </xf>
    <xf numFmtId="0" fontId="21" fillId="0" borderId="5" xfId="5" applyFont="1" applyBorder="1" applyAlignment="1">
      <alignment horizontal="left" vertical="center" shrinkToFit="1"/>
    </xf>
    <xf numFmtId="0" fontId="27" fillId="5" borderId="1" xfId="0" applyFont="1" applyFill="1" applyBorder="1" applyAlignment="1">
      <alignment horizontal="center" vertical="center"/>
    </xf>
    <xf numFmtId="0" fontId="2" fillId="9" borderId="9" xfId="6" applyFont="1" applyFill="1" applyBorder="1" applyAlignment="1">
      <alignment horizontal="center" vertical="center" wrapText="1"/>
    </xf>
    <xf numFmtId="42" fontId="2" fillId="0" borderId="3" xfId="0" applyNumberFormat="1" applyFont="1" applyBorder="1" applyAlignment="1">
      <alignment horizontal="center" vertical="center"/>
    </xf>
    <xf numFmtId="42" fontId="2" fillId="0" borderId="2" xfId="0" applyNumberFormat="1" applyFont="1" applyBorder="1" applyAlignment="1">
      <alignment horizontal="center" vertical="center"/>
    </xf>
    <xf numFmtId="42" fontId="2" fillId="0" borderId="4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42" fontId="2" fillId="0" borderId="3" xfId="0" applyNumberFormat="1" applyFont="1" applyBorder="1" applyAlignment="1">
      <alignment horizontal="center" vertical="center" wrapText="1"/>
    </xf>
    <xf numFmtId="42" fontId="2" fillId="0" borderId="2" xfId="0" applyNumberFormat="1" applyFont="1" applyBorder="1" applyAlignment="1">
      <alignment horizontal="center" vertical="center" wrapText="1"/>
    </xf>
    <xf numFmtId="42" fontId="2" fillId="0" borderId="4" xfId="0" applyNumberFormat="1" applyFont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2" xfId="3" xr:uid="{00000000-0005-0000-0000-000002000000}"/>
    <cellStyle name="표준 2 3" xfId="4" xr:uid="{00000000-0005-0000-0000-000003000000}"/>
    <cellStyle name="표준 3" xfId="2" xr:uid="{00000000-0005-0000-0000-000004000000}"/>
    <cellStyle name="표준 3 2" xfId="7" xr:uid="{00000000-0005-0000-0000-000005000000}"/>
    <cellStyle name="표준 4" xfId="5" xr:uid="{00000000-0005-0000-0000-000006000000}"/>
    <cellStyle name="표준 5" xfId="6" xr:uid="{00000000-0005-0000-0000-000007000000}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F08095D0-468B-4394-A10E-9F59E7CAAA14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3" name="그림 2" descr="화면 캡처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19050</xdr:rowOff>
        </xdr:from>
        <xdr:to>
          <xdr:col>6</xdr:col>
          <xdr:colOff>0</xdr:colOff>
          <xdr:row>23</xdr:row>
          <xdr:rowOff>95250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F$11" spid="_x0000_s42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57225" y="3276600"/>
              <a:ext cx="5048250" cy="24860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</xdr:row>
          <xdr:rowOff>101600</xdr:rowOff>
        </xdr:from>
        <xdr:to>
          <xdr:col>11</xdr:col>
          <xdr:colOff>0</xdr:colOff>
          <xdr:row>20</xdr:row>
          <xdr:rowOff>6350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3:$K$8" spid="_x0000_s422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362700" y="3359150"/>
              <a:ext cx="3886200" cy="16573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view="pageBreakPreview" zoomScaleNormal="100" zoomScaleSheetLayoutView="100" workbookViewId="0">
      <selection activeCell="Q15" sqref="Q15"/>
    </sheetView>
  </sheetViews>
  <sheetFormatPr defaultColWidth="8.75" defaultRowHeight="17"/>
  <cols>
    <col min="1" max="16384" width="8.75" style="3"/>
  </cols>
  <sheetData>
    <row r="1" spans="1:13" ht="25.5">
      <c r="A1" s="2"/>
    </row>
    <row r="4" spans="1:13" ht="30">
      <c r="J4" s="4"/>
      <c r="M4" s="5" t="s">
        <v>978</v>
      </c>
    </row>
    <row r="5" spans="1:13">
      <c r="J5" s="6"/>
      <c r="M5" s="6"/>
    </row>
    <row r="6" spans="1:13">
      <c r="J6" s="6"/>
      <c r="M6" s="6"/>
    </row>
    <row r="7" spans="1:13" ht="39.5">
      <c r="J7" s="7"/>
      <c r="M7" s="8" t="s">
        <v>138</v>
      </c>
    </row>
    <row r="8" spans="1:13">
      <c r="J8" s="6"/>
      <c r="M8" s="6"/>
    </row>
    <row r="9" spans="1:13" ht="25.5">
      <c r="J9" s="4"/>
      <c r="M9" s="4"/>
    </row>
    <row r="10" spans="1:13" ht="25.5">
      <c r="M10" s="4"/>
    </row>
    <row r="14" spans="1:13" ht="30">
      <c r="M14" s="5"/>
    </row>
    <row r="23" spans="1:16" ht="25.5">
      <c r="A23" s="2"/>
    </row>
    <row r="24" spans="1:16">
      <c r="P24"/>
    </row>
    <row r="26" spans="1:16">
      <c r="B26" s="3" t="s">
        <v>137</v>
      </c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view="pageBreakPreview" zoomScale="115" zoomScaleNormal="100" zoomScaleSheetLayoutView="115" workbookViewId="0">
      <selection activeCell="D5" sqref="D5"/>
    </sheetView>
  </sheetViews>
  <sheetFormatPr defaultColWidth="8.75" defaultRowHeight="17"/>
  <cols>
    <col min="1" max="2" width="12.5" style="3" customWidth="1"/>
    <col min="3" max="3" width="30.83203125" style="3" customWidth="1"/>
    <col min="4" max="5" width="12.5" style="3" customWidth="1"/>
    <col min="6" max="16384" width="8.75" style="3"/>
  </cols>
  <sheetData>
    <row r="1" spans="1:5" ht="21">
      <c r="A1" s="124" t="s">
        <v>0</v>
      </c>
      <c r="B1" s="124"/>
      <c r="C1" s="124"/>
      <c r="D1" s="124"/>
      <c r="E1" s="124"/>
    </row>
    <row r="2" spans="1:5" ht="10.15" customHeight="1">
      <c r="A2" s="9"/>
      <c r="B2" s="9"/>
      <c r="C2" s="9"/>
      <c r="D2" s="10"/>
      <c r="E2" s="10"/>
    </row>
    <row r="3" spans="1:5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>
      <c r="A4" s="12" t="s">
        <v>6</v>
      </c>
      <c r="B4" s="12" t="s">
        <v>7</v>
      </c>
      <c r="C4" s="13" t="s">
        <v>8</v>
      </c>
      <c r="D4" s="14" t="s">
        <v>760</v>
      </c>
      <c r="E4" s="15" t="s">
        <v>979</v>
      </c>
    </row>
    <row r="5" spans="1:5">
      <c r="A5" s="12"/>
      <c r="B5" s="15"/>
      <c r="C5" s="13"/>
      <c r="D5" s="14"/>
      <c r="E5" s="15"/>
    </row>
    <row r="6" spans="1:5">
      <c r="A6" s="12"/>
      <c r="B6" s="15"/>
      <c r="C6" s="13"/>
      <c r="D6" s="14"/>
      <c r="E6" s="14"/>
    </row>
    <row r="7" spans="1:5">
      <c r="A7" s="12"/>
      <c r="B7" s="15"/>
      <c r="C7" s="13"/>
      <c r="D7" s="14"/>
      <c r="E7" s="14"/>
    </row>
    <row r="8" spans="1:5">
      <c r="A8" s="12"/>
      <c r="B8" s="15"/>
      <c r="C8" s="13"/>
      <c r="D8" s="14"/>
      <c r="E8" s="14"/>
    </row>
    <row r="9" spans="1:5">
      <c r="A9" s="12"/>
      <c r="B9" s="15"/>
      <c r="C9" s="13"/>
      <c r="D9" s="14"/>
      <c r="E9" s="14"/>
    </row>
    <row r="10" spans="1:5">
      <c r="A10" s="12"/>
      <c r="B10" s="15"/>
      <c r="C10" s="13"/>
      <c r="D10" s="14"/>
      <c r="E10" s="14"/>
    </row>
    <row r="11" spans="1:5">
      <c r="A11" s="12"/>
      <c r="B11" s="15"/>
      <c r="C11" s="13"/>
      <c r="D11" s="14"/>
      <c r="E11" s="14"/>
    </row>
    <row r="12" spans="1:5">
      <c r="A12" s="12"/>
      <c r="B12" s="15"/>
      <c r="C12" s="13"/>
      <c r="D12" s="14"/>
      <c r="E12" s="14"/>
    </row>
    <row r="13" spans="1:5">
      <c r="A13" s="12"/>
      <c r="B13" s="15"/>
      <c r="C13" s="13"/>
      <c r="D13" s="14"/>
      <c r="E13" s="14"/>
    </row>
    <row r="14" spans="1:5">
      <c r="A14" s="12"/>
      <c r="B14" s="15"/>
      <c r="C14" s="13"/>
      <c r="D14" s="14"/>
      <c r="E14" s="14"/>
    </row>
    <row r="15" spans="1:5">
      <c r="A15" s="12"/>
      <c r="B15" s="15"/>
      <c r="C15" s="13"/>
      <c r="D15" s="14"/>
      <c r="E15" s="14"/>
    </row>
    <row r="16" spans="1:5">
      <c r="A16" s="12"/>
      <c r="B16" s="15"/>
      <c r="C16" s="13"/>
      <c r="D16" s="14"/>
      <c r="E16" s="14"/>
    </row>
    <row r="17" spans="1:5">
      <c r="A17" s="12"/>
      <c r="B17" s="15"/>
      <c r="C17" s="13"/>
      <c r="D17" s="14"/>
      <c r="E17" s="14"/>
    </row>
    <row r="18" spans="1:5">
      <c r="A18" s="12"/>
      <c r="B18" s="15"/>
      <c r="C18" s="13"/>
      <c r="D18" s="14"/>
      <c r="E18" s="14"/>
    </row>
    <row r="19" spans="1:5">
      <c r="A19" s="12"/>
      <c r="B19" s="15"/>
      <c r="C19" s="13"/>
      <c r="D19" s="14"/>
      <c r="E19" s="14"/>
    </row>
    <row r="20" spans="1:5">
      <c r="A20" s="12"/>
      <c r="B20" s="15"/>
      <c r="C20" s="13"/>
      <c r="D20" s="14"/>
      <c r="E20" s="14"/>
    </row>
    <row r="21" spans="1:5">
      <c r="A21" s="12"/>
      <c r="B21" s="15"/>
      <c r="C21" s="13"/>
      <c r="D21" s="14"/>
      <c r="E21" s="14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64"/>
  <sheetViews>
    <sheetView zoomScaleNormal="100" workbookViewId="0">
      <selection activeCell="E25" sqref="E25"/>
    </sheetView>
  </sheetViews>
  <sheetFormatPr defaultColWidth="12.58203125" defaultRowHeight="15" customHeight="1"/>
  <cols>
    <col min="1" max="1" width="6.83203125" style="39" customWidth="1"/>
    <col min="2" max="2" width="14.25" style="39" customWidth="1"/>
    <col min="3" max="3" width="16.08203125" style="39" bestFit="1" customWidth="1"/>
    <col min="4" max="8" width="7.75" style="39" customWidth="1"/>
    <col min="9" max="9" width="44.08203125" style="39" customWidth="1"/>
    <col min="10" max="16384" width="12.58203125" style="39"/>
  </cols>
  <sheetData>
    <row r="1" spans="1:9" ht="39" customHeight="1">
      <c r="A1" s="136" t="s">
        <v>150</v>
      </c>
      <c r="B1" s="136"/>
      <c r="C1" s="136"/>
      <c r="D1" s="136"/>
    </row>
    <row r="2" spans="1:9" ht="20.25" customHeight="1">
      <c r="A2" s="137" t="s">
        <v>702</v>
      </c>
      <c r="B2" s="137" t="s">
        <v>147</v>
      </c>
      <c r="C2" s="137" t="s">
        <v>152</v>
      </c>
      <c r="D2" s="140" t="s">
        <v>703</v>
      </c>
      <c r="E2" s="141"/>
      <c r="F2" s="141"/>
      <c r="G2" s="141"/>
      <c r="H2" s="142"/>
      <c r="I2" s="88"/>
    </row>
    <row r="3" spans="1:9" ht="20.25" customHeight="1">
      <c r="A3" s="138"/>
      <c r="B3" s="139"/>
      <c r="C3" s="138"/>
      <c r="D3" s="88" t="s">
        <v>141</v>
      </c>
      <c r="E3" s="88" t="s">
        <v>578</v>
      </c>
      <c r="F3" s="88" t="s">
        <v>595</v>
      </c>
      <c r="G3" s="88" t="s">
        <v>423</v>
      </c>
      <c r="H3" s="88" t="s">
        <v>704</v>
      </c>
      <c r="I3" s="88" t="s">
        <v>47</v>
      </c>
    </row>
    <row r="4" spans="1:9" ht="20.25" customHeight="1">
      <c r="A4" s="40">
        <v>1</v>
      </c>
      <c r="B4" s="29" t="s">
        <v>148</v>
      </c>
      <c r="C4" s="42" t="s">
        <v>154</v>
      </c>
      <c r="D4" s="40">
        <v>10</v>
      </c>
      <c r="E4" s="40"/>
      <c r="F4" s="40">
        <v>30</v>
      </c>
      <c r="G4" s="40"/>
      <c r="H4" s="89">
        <f>SUM(D4:G4)</f>
        <v>40</v>
      </c>
      <c r="I4" s="44" t="s">
        <v>705</v>
      </c>
    </row>
    <row r="5" spans="1:9" ht="20.25" customHeight="1">
      <c r="A5" s="125">
        <v>2</v>
      </c>
      <c r="B5" s="133" t="s">
        <v>151</v>
      </c>
      <c r="C5" s="42" t="s">
        <v>178</v>
      </c>
      <c r="D5" s="40">
        <v>5</v>
      </c>
      <c r="E5" s="40"/>
      <c r="F5" s="40">
        <v>20</v>
      </c>
      <c r="G5" s="40"/>
      <c r="H5" s="89">
        <f t="shared" ref="H5:H14" si="0">SUM(D5:G5)</f>
        <v>25</v>
      </c>
      <c r="I5" s="42" t="s">
        <v>706</v>
      </c>
    </row>
    <row r="6" spans="1:9" ht="20.25" customHeight="1">
      <c r="A6" s="126"/>
      <c r="B6" s="128"/>
      <c r="C6" s="42" t="s">
        <v>707</v>
      </c>
      <c r="D6" s="40">
        <v>15</v>
      </c>
      <c r="E6" s="90"/>
      <c r="F6" s="40">
        <v>20</v>
      </c>
      <c r="G6" s="40"/>
      <c r="H6" s="89">
        <f t="shared" si="0"/>
        <v>35</v>
      </c>
      <c r="I6" s="42" t="s">
        <v>173</v>
      </c>
    </row>
    <row r="7" spans="1:9" ht="20.25" customHeight="1">
      <c r="A7" s="40">
        <v>3</v>
      </c>
      <c r="B7" s="41" t="s">
        <v>708</v>
      </c>
      <c r="C7" s="42" t="s">
        <v>153</v>
      </c>
      <c r="D7" s="40">
        <v>5</v>
      </c>
      <c r="E7" s="90">
        <v>8</v>
      </c>
      <c r="F7" s="40">
        <v>10</v>
      </c>
      <c r="G7" s="40"/>
      <c r="H7" s="89">
        <f t="shared" si="0"/>
        <v>23</v>
      </c>
      <c r="I7" s="44" t="s">
        <v>709</v>
      </c>
    </row>
    <row r="8" spans="1:9" ht="20.25" customHeight="1">
      <c r="A8" s="125">
        <v>4</v>
      </c>
      <c r="B8" s="127" t="s">
        <v>710</v>
      </c>
      <c r="C8" s="42" t="s">
        <v>711</v>
      </c>
      <c r="D8" s="40">
        <v>30</v>
      </c>
      <c r="E8" s="90"/>
      <c r="F8" s="40">
        <v>45</v>
      </c>
      <c r="G8" s="40"/>
      <c r="H8" s="89">
        <f t="shared" si="0"/>
        <v>75</v>
      </c>
      <c r="I8" s="44" t="s">
        <v>712</v>
      </c>
    </row>
    <row r="9" spans="1:9" ht="20.25" customHeight="1">
      <c r="A9" s="126"/>
      <c r="B9" s="128"/>
      <c r="C9" s="42" t="s">
        <v>625</v>
      </c>
      <c r="D9" s="40"/>
      <c r="E9" s="90"/>
      <c r="F9" s="40">
        <v>15</v>
      </c>
      <c r="G9" s="40"/>
      <c r="H9" s="89">
        <f t="shared" si="0"/>
        <v>15</v>
      </c>
      <c r="I9" s="44" t="s">
        <v>713</v>
      </c>
    </row>
    <row r="10" spans="1:9" ht="20.25" customHeight="1">
      <c r="A10" s="134"/>
      <c r="B10" s="135"/>
      <c r="C10" s="42" t="s">
        <v>714</v>
      </c>
      <c r="D10" s="40"/>
      <c r="E10" s="90"/>
      <c r="F10" s="40">
        <v>15</v>
      </c>
      <c r="G10" s="40"/>
      <c r="H10" s="89">
        <f t="shared" si="0"/>
        <v>15</v>
      </c>
      <c r="I10" s="44" t="s">
        <v>715</v>
      </c>
    </row>
    <row r="11" spans="1:9" ht="20.25" customHeight="1">
      <c r="A11" s="125">
        <v>5</v>
      </c>
      <c r="B11" s="127" t="s">
        <v>716</v>
      </c>
      <c r="C11" s="42" t="s">
        <v>717</v>
      </c>
      <c r="D11" s="40"/>
      <c r="E11" s="90">
        <v>16</v>
      </c>
      <c r="F11" s="40">
        <v>30</v>
      </c>
      <c r="G11" s="40">
        <v>15</v>
      </c>
      <c r="H11" s="89">
        <f t="shared" si="0"/>
        <v>61</v>
      </c>
      <c r="I11" s="44" t="s">
        <v>177</v>
      </c>
    </row>
    <row r="12" spans="1:9" ht="20.25" customHeight="1">
      <c r="A12" s="126"/>
      <c r="B12" s="128"/>
      <c r="C12" s="42" t="s">
        <v>176</v>
      </c>
      <c r="D12" s="40"/>
      <c r="E12" s="90">
        <v>16</v>
      </c>
      <c r="F12" s="40">
        <v>20</v>
      </c>
      <c r="G12" s="40"/>
      <c r="H12" s="89">
        <f t="shared" si="0"/>
        <v>36</v>
      </c>
      <c r="I12" s="44" t="s">
        <v>175</v>
      </c>
    </row>
    <row r="13" spans="1:9" ht="20.25" customHeight="1">
      <c r="A13" s="126"/>
      <c r="B13" s="128"/>
      <c r="C13" s="42" t="s">
        <v>155</v>
      </c>
      <c r="D13" s="40"/>
      <c r="E13" s="40"/>
      <c r="F13" s="40">
        <v>20</v>
      </c>
      <c r="G13" s="40">
        <v>15</v>
      </c>
      <c r="H13" s="89">
        <f t="shared" si="0"/>
        <v>35</v>
      </c>
      <c r="I13" s="44" t="s">
        <v>174</v>
      </c>
    </row>
    <row r="14" spans="1:9" ht="20.25" customHeight="1">
      <c r="A14" s="91">
        <v>6</v>
      </c>
      <c r="B14" s="92" t="s">
        <v>689</v>
      </c>
      <c r="C14" s="93" t="s">
        <v>718</v>
      </c>
      <c r="D14" s="91"/>
      <c r="E14" s="91"/>
      <c r="F14" s="91">
        <v>30</v>
      </c>
      <c r="G14" s="91"/>
      <c r="H14" s="91">
        <f t="shared" si="0"/>
        <v>30</v>
      </c>
      <c r="I14" s="94" t="s">
        <v>719</v>
      </c>
    </row>
    <row r="15" spans="1:9" ht="20.149999999999999" customHeight="1">
      <c r="A15" s="129" t="s">
        <v>571</v>
      </c>
      <c r="B15" s="130"/>
      <c r="C15" s="45">
        <f>COUNTA(C4:C13)</f>
        <v>10</v>
      </c>
      <c r="D15" s="45">
        <f t="shared" ref="D15:G15" si="1">SUM(D4:D14)</f>
        <v>65</v>
      </c>
      <c r="E15" s="45">
        <f t="shared" si="1"/>
        <v>40</v>
      </c>
      <c r="F15" s="45">
        <f t="shared" si="1"/>
        <v>255</v>
      </c>
      <c r="G15" s="45">
        <f t="shared" si="1"/>
        <v>30</v>
      </c>
      <c r="H15" s="45">
        <f>SUM(H4:H14)</f>
        <v>390</v>
      </c>
      <c r="I15" s="47"/>
    </row>
    <row r="16" spans="1:9" ht="20.149999999999999" customHeight="1">
      <c r="A16" s="48"/>
      <c r="B16" s="49"/>
      <c r="C16" s="50"/>
      <c r="D16" s="131" t="s">
        <v>720</v>
      </c>
      <c r="E16" s="131"/>
      <c r="F16" s="131"/>
      <c r="G16" s="131"/>
      <c r="H16" s="131"/>
      <c r="I16" s="131"/>
    </row>
    <row r="17" spans="1:9" ht="20.149999999999999" customHeight="1">
      <c r="A17" s="48"/>
      <c r="B17" s="49"/>
      <c r="C17" s="50"/>
      <c r="D17" s="132" t="s">
        <v>721</v>
      </c>
      <c r="E17" s="132"/>
      <c r="F17" s="132"/>
      <c r="G17" s="132"/>
      <c r="H17" s="132"/>
      <c r="I17" s="48"/>
    </row>
    <row r="18" spans="1:9" ht="20.149999999999999" customHeight="1">
      <c r="A18" s="48"/>
      <c r="B18" s="49"/>
      <c r="C18" s="50"/>
      <c r="D18" s="48"/>
    </row>
    <row r="19" spans="1:9" ht="20.149999999999999" customHeight="1">
      <c r="A19" s="48"/>
      <c r="B19" s="49"/>
      <c r="C19" s="50"/>
      <c r="D19" s="48"/>
    </row>
    <row r="20" spans="1:9" ht="20.149999999999999" customHeight="1">
      <c r="A20" s="48"/>
      <c r="B20" s="49"/>
      <c r="C20" s="50"/>
      <c r="D20" s="48"/>
    </row>
    <row r="21" spans="1:9" ht="20.149999999999999" customHeight="1">
      <c r="B21" s="52"/>
    </row>
    <row r="22" spans="1:9" ht="20.149999999999999" customHeight="1">
      <c r="B22" s="52"/>
    </row>
    <row r="23" spans="1:9" ht="16">
      <c r="B23" s="52"/>
    </row>
    <row r="24" spans="1:9" ht="16">
      <c r="B24" s="52"/>
    </row>
    <row r="25" spans="1:9" ht="16">
      <c r="B25" s="52"/>
    </row>
    <row r="26" spans="1:9" ht="16">
      <c r="B26" s="52"/>
    </row>
    <row r="27" spans="1:9" ht="16">
      <c r="B27" s="52"/>
    </row>
    <row r="28" spans="1:9" ht="16">
      <c r="B28" s="52"/>
    </row>
    <row r="29" spans="1:9" ht="16">
      <c r="B29" s="52"/>
    </row>
    <row r="30" spans="1:9" ht="16">
      <c r="B30" s="52"/>
    </row>
    <row r="31" spans="1:9" ht="16">
      <c r="B31" s="52"/>
    </row>
    <row r="32" spans="1:9" ht="16">
      <c r="B32" s="52"/>
    </row>
    <row r="33" spans="2:2" ht="16">
      <c r="B33" s="52"/>
    </row>
    <row r="34" spans="2:2" ht="16">
      <c r="B34" s="52"/>
    </row>
    <row r="35" spans="2:2" ht="16">
      <c r="B35" s="52"/>
    </row>
    <row r="36" spans="2:2" ht="16">
      <c r="B36" s="52"/>
    </row>
    <row r="37" spans="2:2" ht="16">
      <c r="B37" s="52"/>
    </row>
    <row r="38" spans="2:2" ht="16">
      <c r="B38" s="52"/>
    </row>
    <row r="39" spans="2:2" ht="16">
      <c r="B39" s="52"/>
    </row>
    <row r="40" spans="2:2" ht="16">
      <c r="B40" s="52"/>
    </row>
    <row r="41" spans="2:2" ht="16">
      <c r="B41" s="52"/>
    </row>
    <row r="42" spans="2:2" ht="16">
      <c r="B42" s="52"/>
    </row>
    <row r="43" spans="2:2" ht="16">
      <c r="B43" s="52"/>
    </row>
    <row r="44" spans="2:2" ht="16">
      <c r="B44" s="52"/>
    </row>
    <row r="45" spans="2:2" ht="16">
      <c r="B45" s="52"/>
    </row>
    <row r="46" spans="2:2" ht="16">
      <c r="B46" s="52"/>
    </row>
    <row r="47" spans="2:2" ht="16">
      <c r="B47" s="52"/>
    </row>
    <row r="48" spans="2:2" ht="16">
      <c r="B48" s="52"/>
    </row>
    <row r="49" spans="2:2" ht="16">
      <c r="B49" s="52"/>
    </row>
    <row r="50" spans="2:2" ht="16">
      <c r="B50" s="52"/>
    </row>
    <row r="51" spans="2:2" ht="16">
      <c r="B51" s="52"/>
    </row>
    <row r="52" spans="2:2" ht="16">
      <c r="B52" s="52"/>
    </row>
    <row r="53" spans="2:2" ht="16">
      <c r="B53" s="52"/>
    </row>
    <row r="54" spans="2:2" ht="16">
      <c r="B54" s="52"/>
    </row>
    <row r="55" spans="2:2" ht="16">
      <c r="B55" s="52"/>
    </row>
    <row r="56" spans="2:2" ht="16">
      <c r="B56" s="52"/>
    </row>
    <row r="57" spans="2:2" ht="16">
      <c r="B57" s="52"/>
    </row>
    <row r="58" spans="2:2" ht="16">
      <c r="B58" s="52"/>
    </row>
    <row r="59" spans="2:2" ht="16">
      <c r="B59" s="52"/>
    </row>
    <row r="60" spans="2:2" ht="16">
      <c r="B60" s="52"/>
    </row>
    <row r="61" spans="2:2" ht="16">
      <c r="B61" s="52"/>
    </row>
    <row r="62" spans="2:2" ht="16">
      <c r="B62" s="52"/>
    </row>
    <row r="63" spans="2:2" ht="16">
      <c r="B63" s="52"/>
    </row>
    <row r="64" spans="2:2" ht="16">
      <c r="B64" s="52"/>
    </row>
  </sheetData>
  <autoFilter ref="A2:D13" xr:uid="{00000000-0009-0000-0000-000002000000}">
    <sortState xmlns:xlrd2="http://schemas.microsoft.com/office/spreadsheetml/2017/richdata2" ref="A5:K202">
      <sortCondition ref="A2:A202"/>
    </sortState>
  </autoFilter>
  <mergeCells count="14">
    <mergeCell ref="A5:A6"/>
    <mergeCell ref="B5:B6"/>
    <mergeCell ref="A8:A10"/>
    <mergeCell ref="B8:B10"/>
    <mergeCell ref="A1:D1"/>
    <mergeCell ref="A2:A3"/>
    <mergeCell ref="B2:B3"/>
    <mergeCell ref="C2:C3"/>
    <mergeCell ref="D2:H2"/>
    <mergeCell ref="A11:A13"/>
    <mergeCell ref="B11:B13"/>
    <mergeCell ref="A15:B15"/>
    <mergeCell ref="D16:I16"/>
    <mergeCell ref="D17:H1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218"/>
  <sheetViews>
    <sheetView zoomScaleNormal="100" workbookViewId="0">
      <pane xSplit="2" ySplit="2" topLeftCell="D25" activePane="bottomRight" state="frozen"/>
      <selection pane="topRight" activeCell="C1" sqref="C1"/>
      <selection pane="bottomLeft" activeCell="A3" sqref="A3"/>
      <selection pane="bottomRight" activeCell="J153" sqref="J153"/>
    </sheetView>
  </sheetViews>
  <sheetFormatPr defaultColWidth="9" defaultRowHeight="17"/>
  <cols>
    <col min="1" max="2" width="12" style="17" bestFit="1" customWidth="1"/>
    <col min="3" max="3" width="15.08203125" style="17" customWidth="1"/>
    <col min="4" max="4" width="30.75" style="19" customWidth="1"/>
    <col min="5" max="5" width="16.75" style="17" customWidth="1"/>
    <col min="6" max="6" width="65.83203125" style="19" customWidth="1"/>
    <col min="7" max="7" width="16.58203125" style="17" customWidth="1"/>
    <col min="8" max="8" width="10.33203125" style="17" bestFit="1" customWidth="1"/>
    <col min="9" max="9" width="12.83203125" style="17" bestFit="1" customWidth="1"/>
    <col min="10" max="10" width="51.33203125" style="19" bestFit="1" customWidth="1"/>
    <col min="11" max="11" width="21.25" style="17" customWidth="1"/>
    <col min="12" max="12" width="21.25" style="19" customWidth="1"/>
    <col min="13" max="16384" width="9" style="19"/>
  </cols>
  <sheetData>
    <row r="1" spans="1:12" ht="40" customHeight="1">
      <c r="A1" s="143" t="s">
        <v>139</v>
      </c>
      <c r="B1" s="143"/>
      <c r="C1" s="143"/>
      <c r="D1" s="143"/>
      <c r="F1" s="21"/>
    </row>
    <row r="2" spans="1:12" ht="32">
      <c r="A2" s="24" t="s">
        <v>149</v>
      </c>
      <c r="B2" s="24" t="s">
        <v>56</v>
      </c>
      <c r="C2" s="22" t="s">
        <v>57</v>
      </c>
      <c r="D2" s="22" t="s">
        <v>58</v>
      </c>
      <c r="E2" s="23" t="s">
        <v>19</v>
      </c>
      <c r="F2" s="22" t="s">
        <v>20</v>
      </c>
      <c r="G2" s="23" t="s">
        <v>21</v>
      </c>
      <c r="H2" s="23" t="s">
        <v>570</v>
      </c>
      <c r="I2" s="24" t="s">
        <v>969</v>
      </c>
      <c r="J2" s="22" t="s">
        <v>59</v>
      </c>
      <c r="K2" s="22" t="s">
        <v>60</v>
      </c>
      <c r="L2" s="22" t="s">
        <v>61</v>
      </c>
    </row>
    <row r="3" spans="1:12" s="1" customFormat="1" ht="20.149999999999999" hidden="1" customHeight="1">
      <c r="A3" s="25" t="s">
        <v>182</v>
      </c>
      <c r="B3" s="25" t="s">
        <v>183</v>
      </c>
      <c r="C3" s="25" t="s">
        <v>22</v>
      </c>
      <c r="D3" s="26" t="s">
        <v>62</v>
      </c>
      <c r="E3" s="27" t="s">
        <v>572</v>
      </c>
      <c r="F3" s="28" t="s">
        <v>63</v>
      </c>
      <c r="G3" s="29">
        <v>46007</v>
      </c>
      <c r="H3" s="30" t="s">
        <v>666</v>
      </c>
      <c r="I3" s="30" t="s">
        <v>13</v>
      </c>
      <c r="J3" s="31" t="s">
        <v>795</v>
      </c>
      <c r="K3" s="32"/>
      <c r="L3" s="31"/>
    </row>
    <row r="4" spans="1:12" s="1" customFormat="1" ht="20.149999999999999" hidden="1" customHeight="1">
      <c r="A4" s="25" t="s">
        <v>182</v>
      </c>
      <c r="B4" s="25" t="s">
        <v>184</v>
      </c>
      <c r="C4" s="25" t="s">
        <v>22</v>
      </c>
      <c r="D4" s="26" t="s">
        <v>64</v>
      </c>
      <c r="E4" s="27" t="s">
        <v>572</v>
      </c>
      <c r="F4" s="28" t="s">
        <v>65</v>
      </c>
      <c r="G4" s="29">
        <v>46014</v>
      </c>
      <c r="H4" s="30" t="s">
        <v>666</v>
      </c>
      <c r="I4" s="30" t="s">
        <v>837</v>
      </c>
      <c r="J4" s="28" t="s">
        <v>831</v>
      </c>
      <c r="K4" s="29">
        <v>46014</v>
      </c>
      <c r="L4" s="25" t="s">
        <v>837</v>
      </c>
    </row>
    <row r="5" spans="1:12" s="1" customFormat="1" ht="20.149999999999999" hidden="1" customHeight="1">
      <c r="A5" s="25" t="s">
        <v>182</v>
      </c>
      <c r="B5" s="25" t="s">
        <v>185</v>
      </c>
      <c r="C5" s="25" t="s">
        <v>66</v>
      </c>
      <c r="D5" s="26" t="s">
        <v>24</v>
      </c>
      <c r="E5" s="27" t="s">
        <v>572</v>
      </c>
      <c r="F5" s="28" t="s">
        <v>23</v>
      </c>
      <c r="G5" s="29">
        <v>46007</v>
      </c>
      <c r="H5" s="30" t="s">
        <v>666</v>
      </c>
      <c r="I5" s="30" t="s">
        <v>11</v>
      </c>
      <c r="J5" s="28"/>
      <c r="K5" s="33"/>
      <c r="L5" s="28"/>
    </row>
    <row r="6" spans="1:12" s="1" customFormat="1" ht="20.149999999999999" hidden="1" customHeight="1">
      <c r="A6" s="25" t="s">
        <v>182</v>
      </c>
      <c r="B6" s="25" t="s">
        <v>186</v>
      </c>
      <c r="C6" s="25" t="s">
        <v>16</v>
      </c>
      <c r="D6" s="26" t="s">
        <v>25</v>
      </c>
      <c r="E6" s="27" t="s">
        <v>572</v>
      </c>
      <c r="F6" s="28" t="s">
        <v>65</v>
      </c>
      <c r="G6" s="29">
        <v>46007</v>
      </c>
      <c r="H6" s="30" t="s">
        <v>666</v>
      </c>
      <c r="I6" s="30" t="s">
        <v>11</v>
      </c>
      <c r="J6" s="28"/>
      <c r="K6" s="33"/>
      <c r="L6" s="28"/>
    </row>
    <row r="7" spans="1:12" s="1" customFormat="1" ht="20.149999999999999" hidden="1" customHeight="1">
      <c r="A7" s="25" t="s">
        <v>182</v>
      </c>
      <c r="B7" s="25" t="s">
        <v>187</v>
      </c>
      <c r="C7" s="25" t="s">
        <v>66</v>
      </c>
      <c r="D7" s="26" t="s">
        <v>26</v>
      </c>
      <c r="E7" s="27" t="s">
        <v>572</v>
      </c>
      <c r="F7" s="28" t="s">
        <v>27</v>
      </c>
      <c r="G7" s="29">
        <v>46007</v>
      </c>
      <c r="H7" s="30" t="s">
        <v>666</v>
      </c>
      <c r="I7" s="30" t="s">
        <v>11</v>
      </c>
      <c r="J7" s="28"/>
      <c r="K7" s="33"/>
      <c r="L7" s="28"/>
    </row>
    <row r="8" spans="1:12" s="1" customFormat="1" ht="20.149999999999999" hidden="1" customHeight="1">
      <c r="A8" s="25" t="s">
        <v>182</v>
      </c>
      <c r="B8" s="25" t="s">
        <v>188</v>
      </c>
      <c r="C8" s="25" t="s">
        <v>67</v>
      </c>
      <c r="D8" s="26" t="s">
        <v>29</v>
      </c>
      <c r="E8" s="27" t="s">
        <v>572</v>
      </c>
      <c r="F8" s="28" t="s">
        <v>63</v>
      </c>
      <c r="G8" s="29">
        <v>46007</v>
      </c>
      <c r="H8" s="30" t="s">
        <v>666</v>
      </c>
      <c r="I8" s="30" t="s">
        <v>11</v>
      </c>
      <c r="J8" s="28"/>
      <c r="K8" s="33"/>
      <c r="L8" s="28"/>
    </row>
    <row r="9" spans="1:12" s="1" customFormat="1" ht="20.149999999999999" hidden="1" customHeight="1">
      <c r="A9" s="25" t="s">
        <v>182</v>
      </c>
      <c r="B9" s="25" t="s">
        <v>189</v>
      </c>
      <c r="C9" s="25" t="s">
        <v>68</v>
      </c>
      <c r="D9" s="26" t="s">
        <v>30</v>
      </c>
      <c r="E9" s="27" t="s">
        <v>572</v>
      </c>
      <c r="F9" s="28" t="s">
        <v>69</v>
      </c>
      <c r="G9" s="29">
        <v>46007</v>
      </c>
      <c r="H9" s="30" t="s">
        <v>666</v>
      </c>
      <c r="I9" s="30" t="s">
        <v>11</v>
      </c>
      <c r="J9" s="28"/>
      <c r="K9" s="33"/>
      <c r="L9" s="28"/>
    </row>
    <row r="10" spans="1:12" s="1" customFormat="1" ht="20.149999999999999" hidden="1" customHeight="1">
      <c r="A10" s="25" t="s">
        <v>182</v>
      </c>
      <c r="B10" s="25" t="s">
        <v>190</v>
      </c>
      <c r="C10" s="25" t="s">
        <v>28</v>
      </c>
      <c r="D10" s="26" t="s">
        <v>70</v>
      </c>
      <c r="E10" s="27" t="s">
        <v>572</v>
      </c>
      <c r="F10" s="28" t="s">
        <v>71</v>
      </c>
      <c r="G10" s="29">
        <v>46007</v>
      </c>
      <c r="H10" s="30" t="s">
        <v>666</v>
      </c>
      <c r="I10" s="30" t="s">
        <v>11</v>
      </c>
      <c r="J10" s="28"/>
      <c r="K10" s="33"/>
      <c r="L10" s="28"/>
    </row>
    <row r="11" spans="1:12" s="1" customFormat="1" ht="20.149999999999999" hidden="1" customHeight="1">
      <c r="A11" s="25" t="s">
        <v>182</v>
      </c>
      <c r="B11" s="25" t="s">
        <v>191</v>
      </c>
      <c r="C11" s="25" t="s">
        <v>28</v>
      </c>
      <c r="D11" s="26" t="s">
        <v>180</v>
      </c>
      <c r="E11" s="27" t="s">
        <v>572</v>
      </c>
      <c r="F11" s="26" t="s">
        <v>179</v>
      </c>
      <c r="G11" s="29">
        <v>46007</v>
      </c>
      <c r="H11" s="30" t="s">
        <v>666</v>
      </c>
      <c r="I11" s="30" t="s">
        <v>11</v>
      </c>
      <c r="J11" s="28"/>
      <c r="K11" s="33"/>
      <c r="L11" s="28"/>
    </row>
    <row r="12" spans="1:12" s="1" customFormat="1" ht="20.149999999999999" hidden="1" customHeight="1">
      <c r="A12" s="25" t="s">
        <v>182</v>
      </c>
      <c r="B12" s="25" t="s">
        <v>192</v>
      </c>
      <c r="C12" s="25" t="s">
        <v>9</v>
      </c>
      <c r="D12" s="26" t="s">
        <v>142</v>
      </c>
      <c r="E12" s="34" t="s">
        <v>141</v>
      </c>
      <c r="F12" s="28" t="s">
        <v>144</v>
      </c>
      <c r="G12" s="33">
        <v>46014</v>
      </c>
      <c r="H12" s="25" t="s">
        <v>675</v>
      </c>
      <c r="I12" s="25" t="s">
        <v>11</v>
      </c>
      <c r="J12" s="28" t="s">
        <v>674</v>
      </c>
      <c r="K12" s="33"/>
      <c r="L12" s="28"/>
    </row>
    <row r="13" spans="1:12" s="1" customFormat="1" ht="20.149999999999999" hidden="1" customHeight="1">
      <c r="A13" s="25" t="s">
        <v>182</v>
      </c>
      <c r="B13" s="25" t="s">
        <v>193</v>
      </c>
      <c r="C13" s="25" t="s">
        <v>72</v>
      </c>
      <c r="D13" s="26" t="s">
        <v>73</v>
      </c>
      <c r="E13" s="27" t="s">
        <v>572</v>
      </c>
      <c r="F13" s="28" t="s">
        <v>74</v>
      </c>
      <c r="G13" s="33">
        <v>46014</v>
      </c>
      <c r="H13" s="25" t="s">
        <v>675</v>
      </c>
      <c r="I13" s="25" t="s">
        <v>11</v>
      </c>
      <c r="J13" s="28"/>
      <c r="K13" s="33"/>
      <c r="L13" s="28"/>
    </row>
    <row r="14" spans="1:12" s="1" customFormat="1" ht="20.149999999999999" hidden="1" customHeight="1">
      <c r="A14" s="25" t="s">
        <v>182</v>
      </c>
      <c r="B14" s="25" t="s">
        <v>194</v>
      </c>
      <c r="C14" s="25" t="s">
        <v>72</v>
      </c>
      <c r="D14" s="26" t="s">
        <v>31</v>
      </c>
      <c r="E14" s="27" t="s">
        <v>572</v>
      </c>
      <c r="F14" s="28" t="s">
        <v>23</v>
      </c>
      <c r="G14" s="33">
        <v>46007</v>
      </c>
      <c r="H14" s="25" t="s">
        <v>675</v>
      </c>
      <c r="I14" s="30" t="s">
        <v>11</v>
      </c>
      <c r="J14" s="28"/>
      <c r="K14" s="33"/>
      <c r="L14" s="28"/>
    </row>
    <row r="15" spans="1:12" s="1" customFormat="1" ht="20.149999999999999" hidden="1" customHeight="1">
      <c r="A15" s="25" t="s">
        <v>182</v>
      </c>
      <c r="B15" s="25" t="s">
        <v>195</v>
      </c>
      <c r="C15" s="25" t="s">
        <v>9</v>
      </c>
      <c r="D15" s="26" t="s">
        <v>75</v>
      </c>
      <c r="E15" s="27" t="s">
        <v>572</v>
      </c>
      <c r="F15" s="28" t="s">
        <v>76</v>
      </c>
      <c r="G15" s="33">
        <v>46014</v>
      </c>
      <c r="H15" s="25" t="s">
        <v>675</v>
      </c>
      <c r="I15" s="25" t="s">
        <v>11</v>
      </c>
      <c r="J15" s="28" t="s">
        <v>676</v>
      </c>
      <c r="K15" s="33"/>
      <c r="L15" s="28"/>
    </row>
    <row r="16" spans="1:12" s="1" customFormat="1" ht="20.149999999999999" hidden="1" customHeight="1">
      <c r="A16" s="25" t="s">
        <v>182</v>
      </c>
      <c r="B16" s="25" t="s">
        <v>196</v>
      </c>
      <c r="C16" s="25" t="s">
        <v>77</v>
      </c>
      <c r="D16" s="26" t="s">
        <v>143</v>
      </c>
      <c r="E16" s="34" t="s">
        <v>141</v>
      </c>
      <c r="F16" s="28" t="s">
        <v>836</v>
      </c>
      <c r="G16" s="33">
        <v>46007</v>
      </c>
      <c r="H16" s="25" t="s">
        <v>675</v>
      </c>
      <c r="I16" s="30" t="s">
        <v>11</v>
      </c>
      <c r="J16" s="35"/>
      <c r="K16" s="25"/>
      <c r="L16" s="35"/>
    </row>
    <row r="17" spans="1:12" s="1" customFormat="1" ht="20.149999999999999" hidden="1" customHeight="1">
      <c r="A17" s="25" t="s">
        <v>182</v>
      </c>
      <c r="B17" s="25" t="s">
        <v>197</v>
      </c>
      <c r="C17" s="25" t="s">
        <v>78</v>
      </c>
      <c r="D17" s="26" t="s">
        <v>79</v>
      </c>
      <c r="E17" s="27" t="s">
        <v>572</v>
      </c>
      <c r="F17" s="28" t="s">
        <v>833</v>
      </c>
      <c r="G17" s="33">
        <v>46007</v>
      </c>
      <c r="H17" s="25" t="s">
        <v>675</v>
      </c>
      <c r="I17" s="30" t="s">
        <v>11</v>
      </c>
      <c r="J17" s="28"/>
      <c r="K17" s="25"/>
      <c r="L17" s="28"/>
    </row>
    <row r="18" spans="1:12" s="1" customFormat="1" ht="20.149999999999999" hidden="1" customHeight="1">
      <c r="A18" s="25" t="s">
        <v>182</v>
      </c>
      <c r="B18" s="25" t="s">
        <v>198</v>
      </c>
      <c r="C18" s="25" t="s">
        <v>78</v>
      </c>
      <c r="D18" s="26" t="s">
        <v>80</v>
      </c>
      <c r="E18" s="27" t="s">
        <v>572</v>
      </c>
      <c r="F18" s="28" t="s">
        <v>181</v>
      </c>
      <c r="G18" s="33">
        <v>46007</v>
      </c>
      <c r="H18" s="25" t="s">
        <v>675</v>
      </c>
      <c r="I18" s="30" t="s">
        <v>11</v>
      </c>
      <c r="J18" s="28"/>
      <c r="K18" s="25"/>
      <c r="L18" s="28"/>
    </row>
    <row r="19" spans="1:12" s="1" customFormat="1" ht="20.149999999999999" hidden="1" customHeight="1">
      <c r="A19" s="25" t="s">
        <v>182</v>
      </c>
      <c r="B19" s="25" t="s">
        <v>199</v>
      </c>
      <c r="C19" s="25" t="s">
        <v>82</v>
      </c>
      <c r="D19" s="26" t="s">
        <v>83</v>
      </c>
      <c r="E19" s="27" t="s">
        <v>572</v>
      </c>
      <c r="F19" s="28" t="s">
        <v>63</v>
      </c>
      <c r="G19" s="33">
        <v>46007</v>
      </c>
      <c r="H19" s="25" t="s">
        <v>675</v>
      </c>
      <c r="I19" s="30" t="s">
        <v>11</v>
      </c>
      <c r="J19" s="28"/>
      <c r="K19" s="25"/>
      <c r="L19" s="28"/>
    </row>
    <row r="20" spans="1:12" s="1" customFormat="1" ht="20.149999999999999" hidden="1" customHeight="1">
      <c r="A20" s="25" t="s">
        <v>182</v>
      </c>
      <c r="B20" s="25" t="s">
        <v>200</v>
      </c>
      <c r="C20" s="25" t="s">
        <v>82</v>
      </c>
      <c r="D20" s="26" t="s">
        <v>32</v>
      </c>
      <c r="E20" s="27" t="s">
        <v>572</v>
      </c>
      <c r="F20" s="28" t="s">
        <v>81</v>
      </c>
      <c r="G20" s="33">
        <v>46007</v>
      </c>
      <c r="H20" s="25" t="s">
        <v>675</v>
      </c>
      <c r="I20" s="30" t="s">
        <v>11</v>
      </c>
      <c r="J20" s="28"/>
      <c r="K20" s="33"/>
      <c r="L20" s="28"/>
    </row>
    <row r="21" spans="1:12" s="1" customFormat="1" ht="20.149999999999999" hidden="1" customHeight="1">
      <c r="A21" s="25" t="s">
        <v>201</v>
      </c>
      <c r="B21" s="66" t="s">
        <v>156</v>
      </c>
      <c r="C21" s="63" t="s">
        <v>223</v>
      </c>
      <c r="D21" s="71" t="s">
        <v>166</v>
      </c>
      <c r="E21" s="34" t="s">
        <v>141</v>
      </c>
      <c r="F21" s="28" t="s">
        <v>145</v>
      </c>
      <c r="G21" s="29">
        <v>46007</v>
      </c>
      <c r="H21" s="30" t="s">
        <v>666</v>
      </c>
      <c r="I21" s="30" t="s">
        <v>11</v>
      </c>
      <c r="J21" s="35"/>
      <c r="K21" s="25"/>
      <c r="L21" s="35"/>
    </row>
    <row r="22" spans="1:12" s="1" customFormat="1" ht="20.149999999999999" hidden="1" customHeight="1">
      <c r="A22" s="25" t="s">
        <v>201</v>
      </c>
      <c r="B22" s="66" t="s">
        <v>157</v>
      </c>
      <c r="C22" s="63" t="s">
        <v>84</v>
      </c>
      <c r="D22" s="71" t="s">
        <v>33</v>
      </c>
      <c r="E22" s="27" t="s">
        <v>572</v>
      </c>
      <c r="F22" s="28" t="s">
        <v>167</v>
      </c>
      <c r="G22" s="29">
        <v>46007</v>
      </c>
      <c r="H22" s="30" t="s">
        <v>666</v>
      </c>
      <c r="I22" s="30" t="s">
        <v>11</v>
      </c>
      <c r="J22" s="28"/>
      <c r="K22" s="25"/>
      <c r="L22" s="28"/>
    </row>
    <row r="23" spans="1:12" s="1" customFormat="1" ht="20.149999999999999" hidden="1" customHeight="1">
      <c r="A23" s="25" t="s">
        <v>201</v>
      </c>
      <c r="B23" s="66" t="s">
        <v>158</v>
      </c>
      <c r="C23" s="63" t="s">
        <v>85</v>
      </c>
      <c r="D23" s="71" t="s">
        <v>87</v>
      </c>
      <c r="E23" s="27" t="s">
        <v>572</v>
      </c>
      <c r="F23" s="28" t="s">
        <v>206</v>
      </c>
      <c r="G23" s="29">
        <v>46008</v>
      </c>
      <c r="H23" s="25" t="s">
        <v>722</v>
      </c>
      <c r="I23" s="30" t="s">
        <v>11</v>
      </c>
      <c r="J23" s="28" t="s">
        <v>723</v>
      </c>
      <c r="K23" s="25"/>
      <c r="L23" s="28"/>
    </row>
    <row r="24" spans="1:12" s="1" customFormat="1" ht="20.149999999999999" hidden="1" customHeight="1">
      <c r="A24" s="25" t="s">
        <v>201</v>
      </c>
      <c r="B24" s="66" t="s">
        <v>159</v>
      </c>
      <c r="C24" s="63" t="s">
        <v>84</v>
      </c>
      <c r="D24" s="71" t="s">
        <v>86</v>
      </c>
      <c r="E24" s="27" t="s">
        <v>572</v>
      </c>
      <c r="F24" s="28" t="s">
        <v>203</v>
      </c>
      <c r="G24" s="29">
        <v>46008</v>
      </c>
      <c r="H24" s="25" t="s">
        <v>722</v>
      </c>
      <c r="I24" s="30" t="s">
        <v>11</v>
      </c>
      <c r="J24" s="28"/>
      <c r="K24" s="25"/>
      <c r="L24" s="28"/>
    </row>
    <row r="25" spans="1:12" s="1" customFormat="1" ht="32">
      <c r="A25" s="25" t="s">
        <v>201</v>
      </c>
      <c r="B25" s="66" t="s">
        <v>160</v>
      </c>
      <c r="C25" s="63" t="s">
        <v>10</v>
      </c>
      <c r="D25" s="71" t="s">
        <v>88</v>
      </c>
      <c r="E25" s="63" t="s">
        <v>573</v>
      </c>
      <c r="F25" s="28" t="s">
        <v>232</v>
      </c>
      <c r="G25" s="29">
        <v>46017</v>
      </c>
      <c r="H25" s="30" t="s">
        <v>968</v>
      </c>
      <c r="I25" s="30" t="s">
        <v>13</v>
      </c>
      <c r="J25" s="35" t="s">
        <v>838</v>
      </c>
      <c r="K25" s="29"/>
      <c r="L25" s="25"/>
    </row>
    <row r="26" spans="1:12" s="1" customFormat="1" ht="20.149999999999999" hidden="1" customHeight="1">
      <c r="A26" s="25" t="s">
        <v>201</v>
      </c>
      <c r="B26" s="66" t="s">
        <v>161</v>
      </c>
      <c r="C26" s="63" t="s">
        <v>17</v>
      </c>
      <c r="D26" s="71" t="s">
        <v>229</v>
      </c>
      <c r="E26" s="63" t="s">
        <v>573</v>
      </c>
      <c r="F26" s="28" t="s">
        <v>216</v>
      </c>
      <c r="G26" s="29">
        <v>46008</v>
      </c>
      <c r="H26" s="30" t="s">
        <v>666</v>
      </c>
      <c r="I26" s="30" t="s">
        <v>11</v>
      </c>
      <c r="J26" s="28"/>
      <c r="K26" s="25"/>
      <c r="L26" s="28"/>
    </row>
    <row r="27" spans="1:12" s="1" customFormat="1" ht="20.149999999999999" customHeight="1">
      <c r="A27" s="25" t="s">
        <v>201</v>
      </c>
      <c r="B27" s="66" t="s">
        <v>161</v>
      </c>
      <c r="C27" s="63" t="s">
        <v>10</v>
      </c>
      <c r="D27" s="71" t="s">
        <v>832</v>
      </c>
      <c r="E27" s="63" t="s">
        <v>573</v>
      </c>
      <c r="F27" s="28" t="s">
        <v>217</v>
      </c>
      <c r="G27" s="29">
        <v>46017</v>
      </c>
      <c r="H27" s="30" t="s">
        <v>968</v>
      </c>
      <c r="I27" s="30" t="s">
        <v>13</v>
      </c>
      <c r="J27" s="28" t="s">
        <v>733</v>
      </c>
      <c r="K27" s="25"/>
      <c r="L27" s="28"/>
    </row>
    <row r="28" spans="1:12" s="1" customFormat="1" ht="20.149999999999999" hidden="1" customHeight="1">
      <c r="A28" s="25" t="s">
        <v>201</v>
      </c>
      <c r="B28" s="66" t="s">
        <v>213</v>
      </c>
      <c r="C28" s="63" t="s">
        <v>85</v>
      </c>
      <c r="D28" s="71" t="s">
        <v>209</v>
      </c>
      <c r="E28" s="27" t="s">
        <v>572</v>
      </c>
      <c r="F28" s="28" t="s">
        <v>207</v>
      </c>
      <c r="G28" s="29">
        <v>46007</v>
      </c>
      <c r="H28" s="30" t="s">
        <v>666</v>
      </c>
      <c r="I28" s="30" t="s">
        <v>11</v>
      </c>
      <c r="J28" s="28"/>
      <c r="K28" s="25"/>
      <c r="L28" s="28"/>
    </row>
    <row r="29" spans="1:12" s="1" customFormat="1" ht="20.149999999999999" hidden="1" customHeight="1">
      <c r="A29" s="25" t="s">
        <v>201</v>
      </c>
      <c r="B29" s="66" t="s">
        <v>162</v>
      </c>
      <c r="C29" s="63" t="s">
        <v>86</v>
      </c>
      <c r="D29" s="71" t="s">
        <v>12</v>
      </c>
      <c r="E29" s="27" t="s">
        <v>572</v>
      </c>
      <c r="F29" s="28" t="s">
        <v>204</v>
      </c>
      <c r="G29" s="29">
        <v>46007</v>
      </c>
      <c r="H29" s="30" t="s">
        <v>666</v>
      </c>
      <c r="I29" s="30" t="s">
        <v>11</v>
      </c>
      <c r="J29" s="28"/>
      <c r="K29" s="25"/>
      <c r="L29" s="28"/>
    </row>
    <row r="30" spans="1:12" s="1" customFormat="1" ht="20.149999999999999" hidden="1" customHeight="1">
      <c r="A30" s="25" t="s">
        <v>201</v>
      </c>
      <c r="B30" s="66" t="s">
        <v>163</v>
      </c>
      <c r="C30" s="63" t="s">
        <v>218</v>
      </c>
      <c r="D30" s="71" t="s">
        <v>205</v>
      </c>
      <c r="E30" s="63" t="s">
        <v>573</v>
      </c>
      <c r="F30" s="28" t="s">
        <v>208</v>
      </c>
      <c r="G30" s="29">
        <v>46007</v>
      </c>
      <c r="H30" s="30" t="s">
        <v>666</v>
      </c>
      <c r="I30" s="30" t="s">
        <v>11</v>
      </c>
      <c r="J30" s="28"/>
      <c r="K30" s="25"/>
      <c r="L30" s="28"/>
    </row>
    <row r="31" spans="1:12" s="1" customFormat="1" ht="20.149999999999999" hidden="1" customHeight="1">
      <c r="A31" s="25" t="s">
        <v>201</v>
      </c>
      <c r="B31" s="66" t="s">
        <v>164</v>
      </c>
      <c r="C31" s="63" t="s">
        <v>88</v>
      </c>
      <c r="D31" s="71" t="s">
        <v>212</v>
      </c>
      <c r="E31" s="27" t="s">
        <v>572</v>
      </c>
      <c r="F31" s="28" t="s">
        <v>210</v>
      </c>
      <c r="G31" s="29">
        <v>46007</v>
      </c>
      <c r="H31" s="30" t="s">
        <v>666</v>
      </c>
      <c r="I31" s="30" t="s">
        <v>11</v>
      </c>
      <c r="J31" s="28"/>
      <c r="K31" s="25"/>
      <c r="L31" s="28"/>
    </row>
    <row r="32" spans="1:12" s="1" customFormat="1" ht="20.149999999999999" hidden="1" customHeight="1">
      <c r="A32" s="25" t="s">
        <v>201</v>
      </c>
      <c r="B32" s="66" t="s">
        <v>165</v>
      </c>
      <c r="C32" s="63" t="s">
        <v>88</v>
      </c>
      <c r="D32" s="73" t="s">
        <v>211</v>
      </c>
      <c r="E32" s="27" t="s">
        <v>572</v>
      </c>
      <c r="F32" s="28" t="s">
        <v>202</v>
      </c>
      <c r="G32" s="29">
        <v>46007</v>
      </c>
      <c r="H32" s="30" t="s">
        <v>666</v>
      </c>
      <c r="I32" s="30" t="s">
        <v>11</v>
      </c>
      <c r="J32" s="28"/>
      <c r="K32" s="25"/>
      <c r="L32" s="28"/>
    </row>
    <row r="33" spans="1:12" s="1" customFormat="1" ht="20.149999999999999" hidden="1" customHeight="1">
      <c r="A33" s="25" t="s">
        <v>201</v>
      </c>
      <c r="B33" s="66" t="s">
        <v>214</v>
      </c>
      <c r="C33" s="63" t="s">
        <v>88</v>
      </c>
      <c r="D33" s="71" t="s">
        <v>93</v>
      </c>
      <c r="E33" s="27" t="s">
        <v>572</v>
      </c>
      <c r="F33" s="28" t="s">
        <v>34</v>
      </c>
      <c r="G33" s="29">
        <v>46007</v>
      </c>
      <c r="H33" s="30" t="s">
        <v>666</v>
      </c>
      <c r="I33" s="30" t="s">
        <v>11</v>
      </c>
      <c r="J33" s="28"/>
      <c r="K33" s="25"/>
      <c r="L33" s="28"/>
    </row>
    <row r="34" spans="1:12" s="1" customFormat="1" ht="20.149999999999999" hidden="1" customHeight="1">
      <c r="A34" s="25" t="s">
        <v>201</v>
      </c>
      <c r="B34" s="66" t="s">
        <v>215</v>
      </c>
      <c r="C34" s="63" t="s">
        <v>88</v>
      </c>
      <c r="D34" s="71" t="s">
        <v>35</v>
      </c>
      <c r="E34" s="27" t="s">
        <v>572</v>
      </c>
      <c r="F34" s="28" t="s">
        <v>36</v>
      </c>
      <c r="G34" s="29">
        <v>46007</v>
      </c>
      <c r="H34" s="30" t="s">
        <v>666</v>
      </c>
      <c r="I34" s="30" t="s">
        <v>11</v>
      </c>
      <c r="J34" s="28"/>
      <c r="K34" s="25"/>
      <c r="L34" s="28"/>
    </row>
    <row r="35" spans="1:12" s="1" customFormat="1" ht="20.149999999999999" hidden="1" customHeight="1">
      <c r="A35" s="25" t="s">
        <v>201</v>
      </c>
      <c r="B35" s="25" t="s">
        <v>168</v>
      </c>
      <c r="C35" s="27" t="s">
        <v>223</v>
      </c>
      <c r="D35" s="26" t="s">
        <v>220</v>
      </c>
      <c r="E35" s="34" t="s">
        <v>141</v>
      </c>
      <c r="F35" s="28" t="s">
        <v>221</v>
      </c>
      <c r="G35" s="33">
        <v>46007</v>
      </c>
      <c r="H35" s="25" t="s">
        <v>667</v>
      </c>
      <c r="I35" s="30" t="s">
        <v>11</v>
      </c>
      <c r="J35" s="28"/>
      <c r="K35" s="25"/>
      <c r="L35" s="28"/>
    </row>
    <row r="36" spans="1:12" s="1" customFormat="1" ht="20.149999999999999" hidden="1" customHeight="1">
      <c r="A36" s="25" t="s">
        <v>201</v>
      </c>
      <c r="B36" s="25" t="s">
        <v>169</v>
      </c>
      <c r="C36" s="27" t="s">
        <v>224</v>
      </c>
      <c r="D36" s="26" t="s">
        <v>219</v>
      </c>
      <c r="E36" s="34" t="s">
        <v>141</v>
      </c>
      <c r="F36" s="28" t="s">
        <v>222</v>
      </c>
      <c r="G36" s="33">
        <v>46007</v>
      </c>
      <c r="H36" s="25" t="s">
        <v>668</v>
      </c>
      <c r="I36" s="30" t="s">
        <v>11</v>
      </c>
      <c r="J36" s="28"/>
      <c r="K36" s="25"/>
      <c r="L36" s="28"/>
    </row>
    <row r="37" spans="1:12" s="1" customFormat="1" ht="20.149999999999999" hidden="1" customHeight="1">
      <c r="A37" s="25" t="s">
        <v>201</v>
      </c>
      <c r="B37" s="25" t="s">
        <v>170</v>
      </c>
      <c r="C37" s="27" t="s">
        <v>84</v>
      </c>
      <c r="D37" s="26" t="s">
        <v>254</v>
      </c>
      <c r="E37" s="27" t="s">
        <v>572</v>
      </c>
      <c r="F37" s="28" t="s">
        <v>225</v>
      </c>
      <c r="G37" s="29">
        <v>46008</v>
      </c>
      <c r="H37" s="30" t="s">
        <v>666</v>
      </c>
      <c r="I37" s="30" t="s">
        <v>11</v>
      </c>
      <c r="J37" s="28"/>
      <c r="K37" s="25"/>
      <c r="L37" s="28"/>
    </row>
    <row r="38" spans="1:12" s="1" customFormat="1" ht="20.149999999999999" hidden="1" customHeight="1">
      <c r="A38" s="25" t="s">
        <v>201</v>
      </c>
      <c r="B38" s="25" t="s">
        <v>171</v>
      </c>
      <c r="C38" s="27" t="s">
        <v>86</v>
      </c>
      <c r="D38" s="26" t="s">
        <v>87</v>
      </c>
      <c r="E38" s="27" t="s">
        <v>572</v>
      </c>
      <c r="F38" s="28" t="s">
        <v>226</v>
      </c>
      <c r="G38" s="33">
        <v>46007</v>
      </c>
      <c r="H38" s="25" t="s">
        <v>667</v>
      </c>
      <c r="I38" s="30" t="s">
        <v>11</v>
      </c>
      <c r="J38" s="28"/>
      <c r="K38" s="25"/>
      <c r="L38" s="28"/>
    </row>
    <row r="39" spans="1:12" s="1" customFormat="1" ht="20.149999999999999" hidden="1" customHeight="1">
      <c r="A39" s="25" t="s">
        <v>201</v>
      </c>
      <c r="B39" s="25" t="s">
        <v>172</v>
      </c>
      <c r="C39" s="27" t="s">
        <v>18</v>
      </c>
      <c r="D39" s="26" t="s">
        <v>86</v>
      </c>
      <c r="E39" s="27" t="s">
        <v>572</v>
      </c>
      <c r="F39" s="28" t="s">
        <v>227</v>
      </c>
      <c r="G39" s="33">
        <v>46007</v>
      </c>
      <c r="H39" s="25" t="s">
        <v>667</v>
      </c>
      <c r="I39" s="30" t="s">
        <v>11</v>
      </c>
      <c r="J39" s="28"/>
      <c r="K39" s="25"/>
      <c r="L39" s="28"/>
    </row>
    <row r="40" spans="1:12" s="1" customFormat="1" ht="20.149999999999999" hidden="1" customHeight="1">
      <c r="A40" s="25" t="s">
        <v>201</v>
      </c>
      <c r="B40" s="25" t="s">
        <v>228</v>
      </c>
      <c r="C40" s="27" t="s">
        <v>218</v>
      </c>
      <c r="D40" s="26" t="s">
        <v>88</v>
      </c>
      <c r="E40" s="63" t="s">
        <v>573</v>
      </c>
      <c r="F40" s="28" t="s">
        <v>231</v>
      </c>
      <c r="G40" s="29">
        <v>46008</v>
      </c>
      <c r="H40" s="30" t="s">
        <v>666</v>
      </c>
      <c r="I40" s="30" t="s">
        <v>11</v>
      </c>
      <c r="J40" s="35"/>
      <c r="K40" s="25"/>
      <c r="L40" s="35"/>
    </row>
    <row r="41" spans="1:12" s="1" customFormat="1" ht="20.149999999999999" hidden="1" customHeight="1">
      <c r="A41" s="25" t="s">
        <v>201</v>
      </c>
      <c r="B41" s="25" t="s">
        <v>233</v>
      </c>
      <c r="C41" s="27" t="s">
        <v>17</v>
      </c>
      <c r="D41" s="26" t="s">
        <v>229</v>
      </c>
      <c r="E41" s="63" t="s">
        <v>573</v>
      </c>
      <c r="F41" s="28" t="s">
        <v>230</v>
      </c>
      <c r="G41" s="29">
        <v>46008</v>
      </c>
      <c r="H41" s="30" t="s">
        <v>666</v>
      </c>
      <c r="I41" s="30" t="s">
        <v>11</v>
      </c>
      <c r="J41" s="35"/>
      <c r="K41" s="25"/>
      <c r="L41" s="35"/>
    </row>
    <row r="42" spans="1:12" s="1" customFormat="1" ht="20.149999999999999" hidden="1" customHeight="1">
      <c r="A42" s="25" t="s">
        <v>201</v>
      </c>
      <c r="B42" s="25" t="s">
        <v>248</v>
      </c>
      <c r="C42" s="27" t="s">
        <v>237</v>
      </c>
      <c r="D42" s="62" t="s">
        <v>243</v>
      </c>
      <c r="E42" s="27" t="s">
        <v>572</v>
      </c>
      <c r="F42" s="28" t="s">
        <v>234</v>
      </c>
      <c r="G42" s="29">
        <v>46007</v>
      </c>
      <c r="H42" s="30" t="s">
        <v>666</v>
      </c>
      <c r="I42" s="30" t="s">
        <v>11</v>
      </c>
      <c r="J42" s="35"/>
      <c r="K42" s="25"/>
      <c r="L42" s="35"/>
    </row>
    <row r="43" spans="1:12" s="1" customFormat="1" ht="20.149999999999999" hidden="1" customHeight="1">
      <c r="A43" s="25" t="s">
        <v>201</v>
      </c>
      <c r="B43" s="25" t="s">
        <v>250</v>
      </c>
      <c r="C43" s="27" t="s">
        <v>238</v>
      </c>
      <c r="D43" s="62" t="s">
        <v>242</v>
      </c>
      <c r="E43" s="34" t="s">
        <v>141</v>
      </c>
      <c r="F43" s="28" t="s">
        <v>241</v>
      </c>
      <c r="G43" s="29">
        <v>46007</v>
      </c>
      <c r="H43" s="30" t="s">
        <v>666</v>
      </c>
      <c r="I43" s="30" t="s">
        <v>11</v>
      </c>
      <c r="J43" s="35"/>
      <c r="K43" s="25"/>
      <c r="L43" s="35"/>
    </row>
    <row r="44" spans="1:12" s="1" customFormat="1" ht="20.149999999999999" hidden="1" customHeight="1">
      <c r="A44" s="25" t="s">
        <v>201</v>
      </c>
      <c r="B44" s="25" t="s">
        <v>251</v>
      </c>
      <c r="C44" s="64" t="s">
        <v>239</v>
      </c>
      <c r="D44" s="62" t="s">
        <v>244</v>
      </c>
      <c r="E44" s="27" t="s">
        <v>572</v>
      </c>
      <c r="F44" s="28" t="s">
        <v>235</v>
      </c>
      <c r="G44" s="29">
        <v>46007</v>
      </c>
      <c r="H44" s="30" t="s">
        <v>666</v>
      </c>
      <c r="I44" s="30" t="s">
        <v>11</v>
      </c>
      <c r="J44" s="35"/>
      <c r="K44" s="25"/>
      <c r="L44" s="35"/>
    </row>
    <row r="45" spans="1:12" s="1" customFormat="1" ht="20.149999999999999" hidden="1" customHeight="1">
      <c r="A45" s="25" t="s">
        <v>201</v>
      </c>
      <c r="B45" s="25" t="s">
        <v>252</v>
      </c>
      <c r="C45" s="64" t="s">
        <v>240</v>
      </c>
      <c r="D45" s="62" t="s">
        <v>245</v>
      </c>
      <c r="E45" s="27" t="s">
        <v>572</v>
      </c>
      <c r="F45" s="28" t="s">
        <v>236</v>
      </c>
      <c r="G45" s="29">
        <v>46007</v>
      </c>
      <c r="H45" s="30" t="s">
        <v>666</v>
      </c>
      <c r="I45" s="30" t="s">
        <v>11</v>
      </c>
      <c r="J45" s="35"/>
      <c r="K45" s="25"/>
      <c r="L45" s="35"/>
    </row>
    <row r="46" spans="1:12" s="1" customFormat="1" ht="20.149999999999999" hidden="1" customHeight="1">
      <c r="A46" s="25" t="s">
        <v>201</v>
      </c>
      <c r="B46" s="25" t="s">
        <v>253</v>
      </c>
      <c r="C46" s="64" t="s">
        <v>240</v>
      </c>
      <c r="D46" s="62" t="s">
        <v>246</v>
      </c>
      <c r="E46" s="27" t="s">
        <v>572</v>
      </c>
      <c r="F46" s="28" t="s">
        <v>247</v>
      </c>
      <c r="G46" s="29">
        <v>46007</v>
      </c>
      <c r="H46" s="30" t="s">
        <v>666</v>
      </c>
      <c r="I46" s="30" t="s">
        <v>11</v>
      </c>
      <c r="J46" s="35"/>
      <c r="K46" s="25"/>
      <c r="L46" s="35"/>
    </row>
    <row r="47" spans="1:12" s="1" customFormat="1" ht="20.149999999999999" hidden="1" customHeight="1">
      <c r="A47" s="25" t="s">
        <v>272</v>
      </c>
      <c r="B47" s="25" t="s">
        <v>273</v>
      </c>
      <c r="C47" s="64" t="s">
        <v>40</v>
      </c>
      <c r="D47" s="65" t="s">
        <v>118</v>
      </c>
      <c r="E47" s="27" t="s">
        <v>572</v>
      </c>
      <c r="F47" s="28" t="s">
        <v>119</v>
      </c>
      <c r="G47" s="29">
        <v>46008</v>
      </c>
      <c r="H47" s="30" t="s">
        <v>666</v>
      </c>
      <c r="I47" s="30" t="s">
        <v>11</v>
      </c>
      <c r="J47" s="35"/>
      <c r="K47" s="25"/>
      <c r="L47" s="35"/>
    </row>
    <row r="48" spans="1:12" s="1" customFormat="1" ht="20.149999999999999" hidden="1" customHeight="1">
      <c r="A48" s="25" t="s">
        <v>272</v>
      </c>
      <c r="B48" s="25" t="s">
        <v>274</v>
      </c>
      <c r="C48" s="64" t="s">
        <v>120</v>
      </c>
      <c r="D48" s="65" t="s">
        <v>118</v>
      </c>
      <c r="E48" s="27" t="s">
        <v>572</v>
      </c>
      <c r="F48" s="28" t="s">
        <v>121</v>
      </c>
      <c r="G48" s="29">
        <v>46008</v>
      </c>
      <c r="H48" s="30" t="s">
        <v>666</v>
      </c>
      <c r="I48" s="30" t="s">
        <v>11</v>
      </c>
      <c r="J48" s="28"/>
      <c r="K48" s="25"/>
      <c r="L48" s="28"/>
    </row>
    <row r="49" spans="1:12" s="1" customFormat="1" ht="20.149999999999999" hidden="1" customHeight="1">
      <c r="A49" s="25" t="s">
        <v>272</v>
      </c>
      <c r="B49" s="25" t="s">
        <v>275</v>
      </c>
      <c r="C49" s="64" t="s">
        <v>122</v>
      </c>
      <c r="D49" s="65" t="s">
        <v>122</v>
      </c>
      <c r="E49" s="27" t="s">
        <v>572</v>
      </c>
      <c r="F49" s="28" t="s">
        <v>123</v>
      </c>
      <c r="G49" s="29">
        <v>46008</v>
      </c>
      <c r="H49" s="30" t="s">
        <v>666</v>
      </c>
      <c r="I49" s="30" t="s">
        <v>11</v>
      </c>
      <c r="J49" s="28"/>
      <c r="K49" s="25"/>
      <c r="L49" s="28"/>
    </row>
    <row r="50" spans="1:12" s="1" customFormat="1" ht="20.149999999999999" hidden="1" customHeight="1">
      <c r="A50" s="25" t="s">
        <v>272</v>
      </c>
      <c r="B50" s="25" t="s">
        <v>276</v>
      </c>
      <c r="C50" s="64" t="s">
        <v>122</v>
      </c>
      <c r="D50" s="65" t="s">
        <v>124</v>
      </c>
      <c r="E50" s="27" t="s">
        <v>572</v>
      </c>
      <c r="F50" s="28" t="s">
        <v>41</v>
      </c>
      <c r="G50" s="29">
        <v>46008</v>
      </c>
      <c r="H50" s="30" t="s">
        <v>666</v>
      </c>
      <c r="I50" s="30" t="s">
        <v>11</v>
      </c>
      <c r="J50" s="35"/>
      <c r="K50" s="25"/>
      <c r="L50" s="35"/>
    </row>
    <row r="51" spans="1:12" s="1" customFormat="1" ht="20.149999999999999" hidden="1" customHeight="1">
      <c r="A51" s="25" t="s">
        <v>272</v>
      </c>
      <c r="B51" s="25" t="s">
        <v>277</v>
      </c>
      <c r="C51" s="64" t="s">
        <v>125</v>
      </c>
      <c r="D51" s="65" t="s">
        <v>126</v>
      </c>
      <c r="E51" s="63" t="s">
        <v>573</v>
      </c>
      <c r="F51" s="28" t="s">
        <v>383</v>
      </c>
      <c r="G51" s="29">
        <v>46008</v>
      </c>
      <c r="H51" s="30" t="s">
        <v>666</v>
      </c>
      <c r="I51" s="30" t="s">
        <v>11</v>
      </c>
      <c r="J51" s="28"/>
      <c r="K51" s="25"/>
      <c r="L51" s="28"/>
    </row>
    <row r="52" spans="1:12" s="1" customFormat="1" ht="20.149999999999999" hidden="1" customHeight="1">
      <c r="A52" s="25" t="s">
        <v>272</v>
      </c>
      <c r="B52" s="25" t="s">
        <v>386</v>
      </c>
      <c r="C52" s="64" t="s">
        <v>127</v>
      </c>
      <c r="D52" s="65" t="s">
        <v>128</v>
      </c>
      <c r="E52" s="27" t="s">
        <v>572</v>
      </c>
      <c r="F52" s="28" t="s">
        <v>129</v>
      </c>
      <c r="G52" s="29">
        <v>46008</v>
      </c>
      <c r="H52" s="30" t="s">
        <v>666</v>
      </c>
      <c r="I52" s="30" t="s">
        <v>11</v>
      </c>
      <c r="J52" s="28"/>
      <c r="K52" s="25"/>
      <c r="L52" s="28"/>
    </row>
    <row r="53" spans="1:12" s="1" customFormat="1" ht="20.149999999999999" hidden="1" customHeight="1">
      <c r="A53" s="25" t="s">
        <v>272</v>
      </c>
      <c r="B53" s="25" t="s">
        <v>385</v>
      </c>
      <c r="C53" s="64" t="s">
        <v>127</v>
      </c>
      <c r="D53" s="65" t="s">
        <v>130</v>
      </c>
      <c r="E53" s="27" t="s">
        <v>572</v>
      </c>
      <c r="F53" s="28" t="s">
        <v>384</v>
      </c>
      <c r="G53" s="29">
        <v>46008</v>
      </c>
      <c r="H53" s="30" t="s">
        <v>666</v>
      </c>
      <c r="I53" s="30" t="s">
        <v>11</v>
      </c>
      <c r="J53" s="28"/>
      <c r="K53" s="25"/>
      <c r="L53" s="28"/>
    </row>
    <row r="54" spans="1:12" s="1" customFormat="1" ht="20.149999999999999" hidden="1" customHeight="1">
      <c r="A54" s="25" t="s">
        <v>272</v>
      </c>
      <c r="B54" s="66" t="s">
        <v>362</v>
      </c>
      <c r="C54" s="67" t="s">
        <v>357</v>
      </c>
      <c r="D54" s="71" t="s">
        <v>370</v>
      </c>
      <c r="E54" s="27" t="s">
        <v>572</v>
      </c>
      <c r="F54" s="28" t="s">
        <v>235</v>
      </c>
      <c r="G54" s="29">
        <v>46008</v>
      </c>
      <c r="H54" s="25" t="s">
        <v>729</v>
      </c>
      <c r="I54" s="30" t="s">
        <v>11</v>
      </c>
      <c r="J54" s="28"/>
      <c r="K54" s="25"/>
      <c r="L54" s="28"/>
    </row>
    <row r="55" spans="1:12" s="1" customFormat="1" ht="20.149999999999999" hidden="1" customHeight="1">
      <c r="A55" s="25" t="s">
        <v>272</v>
      </c>
      <c r="B55" s="66" t="s">
        <v>363</v>
      </c>
      <c r="C55" s="67" t="s">
        <v>357</v>
      </c>
      <c r="D55" s="71" t="s">
        <v>370</v>
      </c>
      <c r="E55" s="27" t="s">
        <v>572</v>
      </c>
      <c r="F55" s="28" t="s">
        <v>352</v>
      </c>
      <c r="G55" s="29">
        <v>46008</v>
      </c>
      <c r="H55" s="25" t="s">
        <v>729</v>
      </c>
      <c r="I55" s="30" t="s">
        <v>11</v>
      </c>
      <c r="J55" s="28"/>
      <c r="K55" s="25"/>
      <c r="L55" s="28"/>
    </row>
    <row r="56" spans="1:12" s="1" customFormat="1" ht="20.149999999999999" hidden="1" customHeight="1">
      <c r="A56" s="25" t="s">
        <v>272</v>
      </c>
      <c r="B56" s="66" t="s">
        <v>364</v>
      </c>
      <c r="C56" s="67" t="s">
        <v>357</v>
      </c>
      <c r="D56" s="71" t="s">
        <v>370</v>
      </c>
      <c r="E56" s="27" t="s">
        <v>572</v>
      </c>
      <c r="F56" s="28" t="s">
        <v>353</v>
      </c>
      <c r="G56" s="29">
        <v>46008</v>
      </c>
      <c r="H56" s="25" t="s">
        <v>729</v>
      </c>
      <c r="I56" s="30" t="s">
        <v>11</v>
      </c>
      <c r="J56" s="28"/>
      <c r="K56" s="25"/>
      <c r="L56" s="28"/>
    </row>
    <row r="57" spans="1:12" s="1" customFormat="1" ht="20.149999999999999" hidden="1" customHeight="1">
      <c r="A57" s="25" t="s">
        <v>272</v>
      </c>
      <c r="B57" s="66" t="s">
        <v>379</v>
      </c>
      <c r="C57" s="67" t="s">
        <v>357</v>
      </c>
      <c r="D57" s="71" t="s">
        <v>372</v>
      </c>
      <c r="E57" s="27" t="s">
        <v>572</v>
      </c>
      <c r="F57" s="28" t="s">
        <v>371</v>
      </c>
      <c r="G57" s="29">
        <v>46008</v>
      </c>
      <c r="H57" s="25" t="s">
        <v>729</v>
      </c>
      <c r="I57" s="30" t="s">
        <v>11</v>
      </c>
      <c r="J57" s="28"/>
      <c r="K57" s="25"/>
      <c r="L57" s="28"/>
    </row>
    <row r="58" spans="1:12" s="1" customFormat="1" ht="20.149999999999999" hidden="1" customHeight="1">
      <c r="A58" s="25" t="s">
        <v>272</v>
      </c>
      <c r="B58" s="66" t="s">
        <v>378</v>
      </c>
      <c r="C58" s="67" t="s">
        <v>358</v>
      </c>
      <c r="D58" s="71" t="s">
        <v>370</v>
      </c>
      <c r="E58" s="27" t="s">
        <v>572</v>
      </c>
      <c r="F58" s="28" t="s">
        <v>235</v>
      </c>
      <c r="G58" s="29">
        <v>46008</v>
      </c>
      <c r="H58" s="25" t="s">
        <v>729</v>
      </c>
      <c r="I58" s="30" t="s">
        <v>11</v>
      </c>
      <c r="J58" s="28"/>
      <c r="K58" s="25"/>
      <c r="L58" s="28"/>
    </row>
    <row r="59" spans="1:12" s="1" customFormat="1" ht="20.149999999999999" hidden="1" customHeight="1">
      <c r="A59" s="25" t="s">
        <v>272</v>
      </c>
      <c r="B59" s="66" t="s">
        <v>365</v>
      </c>
      <c r="C59" s="67" t="s">
        <v>358</v>
      </c>
      <c r="D59" s="71" t="s">
        <v>370</v>
      </c>
      <c r="E59" s="27" t="s">
        <v>572</v>
      </c>
      <c r="F59" s="28" t="s">
        <v>352</v>
      </c>
      <c r="G59" s="29">
        <v>46008</v>
      </c>
      <c r="H59" s="25" t="s">
        <v>729</v>
      </c>
      <c r="I59" s="30" t="s">
        <v>11</v>
      </c>
      <c r="J59" s="28"/>
      <c r="K59" s="25"/>
      <c r="L59" s="28"/>
    </row>
    <row r="60" spans="1:12" s="1" customFormat="1" ht="20.149999999999999" hidden="1" customHeight="1">
      <c r="A60" s="25" t="s">
        <v>272</v>
      </c>
      <c r="B60" s="66" t="s">
        <v>366</v>
      </c>
      <c r="C60" s="67" t="s">
        <v>359</v>
      </c>
      <c r="D60" s="71" t="s">
        <v>370</v>
      </c>
      <c r="E60" s="27" t="s">
        <v>572</v>
      </c>
      <c r="F60" s="28" t="s">
        <v>355</v>
      </c>
      <c r="G60" s="29">
        <v>46008</v>
      </c>
      <c r="H60" s="25" t="s">
        <v>729</v>
      </c>
      <c r="I60" s="30" t="s">
        <v>11</v>
      </c>
      <c r="J60" s="28"/>
      <c r="K60" s="25"/>
      <c r="L60" s="28"/>
    </row>
    <row r="61" spans="1:12" s="1" customFormat="1" ht="20.149999999999999" hidden="1" customHeight="1">
      <c r="A61" s="25" t="s">
        <v>272</v>
      </c>
      <c r="B61" s="66" t="s">
        <v>367</v>
      </c>
      <c r="C61" s="67" t="s">
        <v>360</v>
      </c>
      <c r="D61" s="71" t="s">
        <v>370</v>
      </c>
      <c r="E61" s="27" t="s">
        <v>572</v>
      </c>
      <c r="F61" s="28" t="s">
        <v>354</v>
      </c>
      <c r="G61" s="29">
        <v>46008</v>
      </c>
      <c r="H61" s="25" t="s">
        <v>729</v>
      </c>
      <c r="I61" s="30" t="s">
        <v>11</v>
      </c>
      <c r="J61" s="28"/>
      <c r="K61" s="25"/>
      <c r="L61" s="28"/>
    </row>
    <row r="62" spans="1:12" s="1" customFormat="1" ht="20.149999999999999" hidden="1" customHeight="1">
      <c r="A62" s="25" t="s">
        <v>272</v>
      </c>
      <c r="B62" s="66" t="s">
        <v>380</v>
      </c>
      <c r="C62" s="67" t="s">
        <v>249</v>
      </c>
      <c r="D62" s="71" t="s">
        <v>665</v>
      </c>
      <c r="E62" s="27" t="s">
        <v>572</v>
      </c>
      <c r="F62" s="28" t="s">
        <v>235</v>
      </c>
      <c r="G62" s="29">
        <v>46008</v>
      </c>
      <c r="H62" s="25" t="s">
        <v>729</v>
      </c>
      <c r="I62" s="30" t="s">
        <v>11</v>
      </c>
      <c r="J62" s="28"/>
      <c r="K62" s="25"/>
      <c r="L62" s="28"/>
    </row>
    <row r="63" spans="1:12" s="1" customFormat="1" ht="20.149999999999999" hidden="1" customHeight="1">
      <c r="A63" s="25" t="s">
        <v>272</v>
      </c>
      <c r="B63" s="66" t="s">
        <v>381</v>
      </c>
      <c r="C63" s="67" t="s">
        <v>361</v>
      </c>
      <c r="D63" s="71" t="s">
        <v>373</v>
      </c>
      <c r="E63" s="27" t="s">
        <v>572</v>
      </c>
      <c r="F63" s="28" t="s">
        <v>235</v>
      </c>
      <c r="G63" s="29">
        <v>46008</v>
      </c>
      <c r="H63" s="25" t="s">
        <v>729</v>
      </c>
      <c r="I63" s="30" t="s">
        <v>11</v>
      </c>
      <c r="J63" s="28"/>
      <c r="K63" s="25"/>
      <c r="L63" s="28"/>
    </row>
    <row r="64" spans="1:12" s="1" customFormat="1" ht="20.149999999999999" hidden="1" customHeight="1">
      <c r="A64" s="25" t="s">
        <v>272</v>
      </c>
      <c r="B64" s="66" t="s">
        <v>368</v>
      </c>
      <c r="C64" s="67" t="s">
        <v>361</v>
      </c>
      <c r="D64" s="71" t="s">
        <v>374</v>
      </c>
      <c r="E64" s="27" t="s">
        <v>572</v>
      </c>
      <c r="F64" s="35" t="s">
        <v>356</v>
      </c>
      <c r="G64" s="29">
        <v>46008</v>
      </c>
      <c r="H64" s="25" t="s">
        <v>729</v>
      </c>
      <c r="I64" s="30" t="s">
        <v>11</v>
      </c>
      <c r="J64" s="28"/>
      <c r="K64" s="25"/>
      <c r="L64" s="28"/>
    </row>
    <row r="65" spans="1:12" s="1" customFormat="1" ht="20.149999999999999" hidden="1" customHeight="1">
      <c r="A65" s="25" t="s">
        <v>272</v>
      </c>
      <c r="B65" s="66" t="s">
        <v>369</v>
      </c>
      <c r="C65" s="67" t="s">
        <v>375</v>
      </c>
      <c r="D65" s="71" t="s">
        <v>376</v>
      </c>
      <c r="E65" s="27" t="s">
        <v>572</v>
      </c>
      <c r="F65" s="28" t="s">
        <v>377</v>
      </c>
      <c r="G65" s="29">
        <v>46008</v>
      </c>
      <c r="H65" s="25" t="s">
        <v>729</v>
      </c>
      <c r="I65" s="30" t="s">
        <v>11</v>
      </c>
      <c r="J65" s="28"/>
      <c r="K65" s="25"/>
      <c r="L65" s="28"/>
    </row>
    <row r="66" spans="1:12" s="1" customFormat="1" ht="20.149999999999999" hidden="1" customHeight="1">
      <c r="A66" s="25" t="s">
        <v>272</v>
      </c>
      <c r="B66" s="66" t="s">
        <v>382</v>
      </c>
      <c r="C66" s="63" t="s">
        <v>102</v>
      </c>
      <c r="D66" s="72" t="s">
        <v>103</v>
      </c>
      <c r="E66" s="63" t="s">
        <v>573</v>
      </c>
      <c r="F66" s="28" t="s">
        <v>104</v>
      </c>
      <c r="G66" s="33">
        <v>46014</v>
      </c>
      <c r="H66" s="25" t="s">
        <v>725</v>
      </c>
      <c r="I66" s="30" t="s">
        <v>11</v>
      </c>
      <c r="J66" s="35" t="s">
        <v>734</v>
      </c>
      <c r="K66" s="33">
        <v>46014</v>
      </c>
      <c r="L66" s="35"/>
    </row>
    <row r="67" spans="1:12" s="1" customFormat="1" ht="20.149999999999999" hidden="1" customHeight="1">
      <c r="A67" s="25" t="s">
        <v>272</v>
      </c>
      <c r="B67" s="25" t="s">
        <v>278</v>
      </c>
      <c r="C67" s="27" t="s">
        <v>91</v>
      </c>
      <c r="D67" s="28" t="s">
        <v>279</v>
      </c>
      <c r="E67" s="27" t="s">
        <v>572</v>
      </c>
      <c r="F67" s="28" t="s">
        <v>724</v>
      </c>
      <c r="G67" s="33">
        <v>46008</v>
      </c>
      <c r="H67" s="25" t="s">
        <v>722</v>
      </c>
      <c r="I67" s="30" t="s">
        <v>11</v>
      </c>
      <c r="J67" s="28"/>
      <c r="K67" s="25"/>
      <c r="L67" s="28"/>
    </row>
    <row r="68" spans="1:12" s="1" customFormat="1" ht="20.149999999999999" hidden="1" customHeight="1">
      <c r="A68" s="25" t="s">
        <v>272</v>
      </c>
      <c r="B68" s="25" t="s">
        <v>280</v>
      </c>
      <c r="C68" s="27" t="s">
        <v>91</v>
      </c>
      <c r="D68" s="28" t="s">
        <v>38</v>
      </c>
      <c r="E68" s="63" t="s">
        <v>573</v>
      </c>
      <c r="F68" s="28" t="s">
        <v>37</v>
      </c>
      <c r="G68" s="33">
        <v>46008</v>
      </c>
      <c r="H68" s="25" t="s">
        <v>725</v>
      </c>
      <c r="I68" s="30" t="s">
        <v>11</v>
      </c>
      <c r="J68" s="28"/>
      <c r="K68" s="25"/>
      <c r="L68" s="28"/>
    </row>
    <row r="69" spans="1:12" s="1" customFormat="1" ht="20.149999999999999" hidden="1" customHeight="1">
      <c r="A69" s="25" t="s">
        <v>272</v>
      </c>
      <c r="B69" s="25" t="s">
        <v>281</v>
      </c>
      <c r="C69" s="27" t="s">
        <v>95</v>
      </c>
      <c r="D69" s="28" t="s">
        <v>96</v>
      </c>
      <c r="E69" s="27" t="s">
        <v>572</v>
      </c>
      <c r="F69" s="28" t="s">
        <v>97</v>
      </c>
      <c r="G69" s="33">
        <v>46008</v>
      </c>
      <c r="H69" s="25" t="s">
        <v>725</v>
      </c>
      <c r="I69" s="30" t="s">
        <v>11</v>
      </c>
      <c r="J69" s="35"/>
      <c r="K69" s="25"/>
      <c r="L69" s="35"/>
    </row>
    <row r="70" spans="1:12" s="1" customFormat="1" ht="20.149999999999999" hidden="1" customHeight="1">
      <c r="A70" s="25" t="s">
        <v>272</v>
      </c>
      <c r="B70" s="25" t="s">
        <v>282</v>
      </c>
      <c r="C70" s="27" t="s">
        <v>98</v>
      </c>
      <c r="D70" s="28" t="s">
        <v>92</v>
      </c>
      <c r="E70" s="27" t="s">
        <v>572</v>
      </c>
      <c r="F70" s="28" t="s">
        <v>37</v>
      </c>
      <c r="G70" s="33">
        <v>46008</v>
      </c>
      <c r="H70" s="25" t="s">
        <v>725</v>
      </c>
      <c r="I70" s="30" t="s">
        <v>11</v>
      </c>
      <c r="J70" s="35"/>
      <c r="K70" s="25"/>
      <c r="L70" s="35"/>
    </row>
    <row r="71" spans="1:12" s="1" customFormat="1" ht="20.149999999999999" hidden="1" customHeight="1">
      <c r="A71" s="25" t="s">
        <v>272</v>
      </c>
      <c r="B71" s="25" t="s">
        <v>283</v>
      </c>
      <c r="C71" s="27" t="s">
        <v>95</v>
      </c>
      <c r="D71" s="26" t="s">
        <v>100</v>
      </c>
      <c r="E71" s="27" t="s">
        <v>572</v>
      </c>
      <c r="F71" s="28" t="s">
        <v>101</v>
      </c>
      <c r="G71" s="33">
        <v>46008</v>
      </c>
      <c r="H71" s="25" t="s">
        <v>725</v>
      </c>
      <c r="I71" s="30" t="s">
        <v>11</v>
      </c>
      <c r="J71" s="28"/>
      <c r="K71" s="25"/>
      <c r="L71" s="28"/>
    </row>
    <row r="72" spans="1:12" s="1" customFormat="1" ht="20.149999999999999" hidden="1" customHeight="1">
      <c r="A72" s="25" t="s">
        <v>272</v>
      </c>
      <c r="B72" s="25" t="s">
        <v>284</v>
      </c>
      <c r="C72" s="27" t="s">
        <v>95</v>
      </c>
      <c r="D72" s="28" t="s">
        <v>92</v>
      </c>
      <c r="E72" s="63" t="s">
        <v>573</v>
      </c>
      <c r="F72" s="28" t="s">
        <v>99</v>
      </c>
      <c r="G72" s="33">
        <v>46008</v>
      </c>
      <c r="H72" s="25" t="s">
        <v>725</v>
      </c>
      <c r="I72" s="30" t="s">
        <v>11</v>
      </c>
      <c r="J72" s="35"/>
      <c r="K72" s="25"/>
      <c r="L72" s="35"/>
    </row>
    <row r="73" spans="1:12" s="1" customFormat="1" ht="20.149999999999999" hidden="1" customHeight="1">
      <c r="A73" s="25" t="s">
        <v>272</v>
      </c>
      <c r="B73" s="25" t="s">
        <v>285</v>
      </c>
      <c r="C73" s="64" t="s">
        <v>105</v>
      </c>
      <c r="D73" s="26" t="s">
        <v>106</v>
      </c>
      <c r="E73" s="27" t="s">
        <v>572</v>
      </c>
      <c r="F73" s="28" t="s">
        <v>107</v>
      </c>
      <c r="G73" s="33">
        <v>46008</v>
      </c>
      <c r="H73" s="25" t="s">
        <v>725</v>
      </c>
      <c r="I73" s="30" t="s">
        <v>11</v>
      </c>
      <c r="J73" s="28"/>
      <c r="K73" s="25"/>
      <c r="L73" s="28"/>
    </row>
    <row r="74" spans="1:12" s="1" customFormat="1" ht="20.149999999999999" hidden="1" customHeight="1">
      <c r="A74" s="25" t="s">
        <v>272</v>
      </c>
      <c r="B74" s="25" t="s">
        <v>286</v>
      </c>
      <c r="C74" s="64" t="s">
        <v>39</v>
      </c>
      <c r="D74" s="26" t="s">
        <v>108</v>
      </c>
      <c r="E74" s="27" t="s">
        <v>572</v>
      </c>
      <c r="F74" s="28" t="s">
        <v>109</v>
      </c>
      <c r="G74" s="33">
        <v>46008</v>
      </c>
      <c r="H74" s="25" t="s">
        <v>725</v>
      </c>
      <c r="I74" s="30" t="s">
        <v>11</v>
      </c>
      <c r="J74" s="28"/>
      <c r="K74" s="25"/>
      <c r="L74" s="28"/>
    </row>
    <row r="75" spans="1:12" s="1" customFormat="1" ht="20.149999999999999" hidden="1" customHeight="1">
      <c r="A75" s="25" t="s">
        <v>272</v>
      </c>
      <c r="B75" s="25" t="s">
        <v>287</v>
      </c>
      <c r="C75" s="64" t="s">
        <v>39</v>
      </c>
      <c r="D75" s="26" t="s">
        <v>110</v>
      </c>
      <c r="E75" s="27" t="s">
        <v>572</v>
      </c>
      <c r="F75" s="28" t="s">
        <v>111</v>
      </c>
      <c r="G75" s="33">
        <v>46008</v>
      </c>
      <c r="H75" s="25" t="s">
        <v>725</v>
      </c>
      <c r="I75" s="30" t="s">
        <v>11</v>
      </c>
      <c r="J75" s="35"/>
      <c r="K75" s="25"/>
      <c r="L75" s="35"/>
    </row>
    <row r="76" spans="1:12" s="1" customFormat="1" ht="20.149999999999999" hidden="1" customHeight="1">
      <c r="A76" s="25" t="s">
        <v>272</v>
      </c>
      <c r="B76" s="25" t="s">
        <v>294</v>
      </c>
      <c r="C76" s="64" t="s">
        <v>105</v>
      </c>
      <c r="D76" s="26" t="s">
        <v>112</v>
      </c>
      <c r="E76" s="27" t="s">
        <v>572</v>
      </c>
      <c r="F76" s="28" t="s">
        <v>113</v>
      </c>
      <c r="G76" s="33">
        <v>46008</v>
      </c>
      <c r="H76" s="25" t="s">
        <v>725</v>
      </c>
      <c r="I76" s="30" t="s">
        <v>11</v>
      </c>
      <c r="J76" s="35"/>
      <c r="K76" s="25"/>
      <c r="L76" s="35"/>
    </row>
    <row r="77" spans="1:12" s="1" customFormat="1" ht="20.149999999999999" hidden="1" customHeight="1">
      <c r="A77" s="25" t="s">
        <v>272</v>
      </c>
      <c r="B77" s="25" t="s">
        <v>310</v>
      </c>
      <c r="C77" s="27" t="s">
        <v>288</v>
      </c>
      <c r="D77" s="26" t="s">
        <v>290</v>
      </c>
      <c r="E77" s="34" t="s">
        <v>141</v>
      </c>
      <c r="F77" s="28" t="s">
        <v>304</v>
      </c>
      <c r="G77" s="33">
        <v>46008</v>
      </c>
      <c r="H77" s="25" t="s">
        <v>727</v>
      </c>
      <c r="I77" s="30" t="s">
        <v>11</v>
      </c>
      <c r="J77" s="35"/>
      <c r="K77" s="25"/>
      <c r="L77" s="35"/>
    </row>
    <row r="78" spans="1:12" s="1" customFormat="1" ht="20.149999999999999" hidden="1" customHeight="1">
      <c r="A78" s="25" t="s">
        <v>272</v>
      </c>
      <c r="B78" s="25" t="s">
        <v>311</v>
      </c>
      <c r="C78" s="27" t="s">
        <v>289</v>
      </c>
      <c r="D78" s="26" t="s">
        <v>291</v>
      </c>
      <c r="E78" s="34" t="s">
        <v>141</v>
      </c>
      <c r="F78" s="28" t="s">
        <v>305</v>
      </c>
      <c r="G78" s="33">
        <v>46008</v>
      </c>
      <c r="H78" s="25" t="s">
        <v>727</v>
      </c>
      <c r="I78" s="30" t="s">
        <v>11</v>
      </c>
      <c r="J78" s="35"/>
      <c r="K78" s="25"/>
      <c r="L78" s="35"/>
    </row>
    <row r="79" spans="1:12" s="1" customFormat="1" ht="20.149999999999999" hidden="1" customHeight="1">
      <c r="A79" s="25" t="s">
        <v>272</v>
      </c>
      <c r="B79" s="25" t="s">
        <v>312</v>
      </c>
      <c r="C79" s="27" t="s">
        <v>292</v>
      </c>
      <c r="D79" s="26" t="s">
        <v>293</v>
      </c>
      <c r="E79" s="34" t="s">
        <v>141</v>
      </c>
      <c r="F79" s="28" t="s">
        <v>306</v>
      </c>
      <c r="G79" s="33">
        <v>46008</v>
      </c>
      <c r="H79" s="25" t="s">
        <v>722</v>
      </c>
      <c r="I79" s="30" t="s">
        <v>11</v>
      </c>
      <c r="J79" s="35"/>
      <c r="K79" s="25"/>
      <c r="L79" s="35"/>
    </row>
    <row r="80" spans="1:12" s="1" customFormat="1" ht="20.149999999999999" hidden="1" customHeight="1">
      <c r="A80" s="25" t="s">
        <v>272</v>
      </c>
      <c r="B80" s="25" t="s">
        <v>313</v>
      </c>
      <c r="C80" s="27" t="s">
        <v>90</v>
      </c>
      <c r="D80" s="26" t="s">
        <v>295</v>
      </c>
      <c r="E80" s="27" t="s">
        <v>572</v>
      </c>
      <c r="F80" s="28" t="s">
        <v>296</v>
      </c>
      <c r="G80" s="33">
        <v>46008</v>
      </c>
      <c r="H80" s="25" t="s">
        <v>722</v>
      </c>
      <c r="I80" s="30" t="s">
        <v>11</v>
      </c>
      <c r="J80" s="35"/>
      <c r="K80" s="25"/>
      <c r="L80" s="35"/>
    </row>
    <row r="81" spans="1:12" s="1" customFormat="1" ht="20.149999999999999" hidden="1" customHeight="1">
      <c r="A81" s="25" t="s">
        <v>272</v>
      </c>
      <c r="B81" s="25" t="s">
        <v>314</v>
      </c>
      <c r="C81" s="27" t="s">
        <v>90</v>
      </c>
      <c r="D81" s="26" t="s">
        <v>298</v>
      </c>
      <c r="E81" s="27" t="s">
        <v>572</v>
      </c>
      <c r="F81" s="28" t="s">
        <v>297</v>
      </c>
      <c r="G81" s="33">
        <v>46008</v>
      </c>
      <c r="H81" s="25" t="s">
        <v>722</v>
      </c>
      <c r="I81" s="30" t="s">
        <v>11</v>
      </c>
      <c r="J81" s="35"/>
      <c r="K81" s="25"/>
      <c r="L81" s="35"/>
    </row>
    <row r="82" spans="1:12" s="1" customFormat="1" ht="20.149999999999999" hidden="1" customHeight="1">
      <c r="A82" s="25" t="s">
        <v>272</v>
      </c>
      <c r="B82" s="25" t="s">
        <v>315</v>
      </c>
      <c r="C82" s="27" t="s">
        <v>90</v>
      </c>
      <c r="D82" s="62" t="s">
        <v>299</v>
      </c>
      <c r="E82" s="27" t="s">
        <v>572</v>
      </c>
      <c r="F82" s="28" t="s">
        <v>300</v>
      </c>
      <c r="G82" s="33">
        <v>46008</v>
      </c>
      <c r="H82" s="25" t="s">
        <v>726</v>
      </c>
      <c r="I82" s="30" t="s">
        <v>11</v>
      </c>
      <c r="J82" s="35"/>
      <c r="K82" s="25"/>
      <c r="L82" s="35"/>
    </row>
    <row r="83" spans="1:12" s="1" customFormat="1" ht="20.149999999999999" hidden="1" customHeight="1">
      <c r="A83" s="25" t="s">
        <v>272</v>
      </c>
      <c r="B83" s="25" t="s">
        <v>316</v>
      </c>
      <c r="C83" s="27" t="s">
        <v>89</v>
      </c>
      <c r="D83" s="26" t="s">
        <v>93</v>
      </c>
      <c r="E83" s="27" t="s">
        <v>572</v>
      </c>
      <c r="F83" s="28" t="s">
        <v>301</v>
      </c>
      <c r="G83" s="33">
        <v>46008</v>
      </c>
      <c r="H83" s="25" t="s">
        <v>726</v>
      </c>
      <c r="I83" s="30" t="s">
        <v>11</v>
      </c>
      <c r="J83" s="35"/>
      <c r="K83" s="25"/>
      <c r="L83" s="35"/>
    </row>
    <row r="84" spans="1:12" s="1" customFormat="1" ht="20.149999999999999" hidden="1" customHeight="1">
      <c r="A84" s="25" t="s">
        <v>272</v>
      </c>
      <c r="B84" s="25" t="s">
        <v>317</v>
      </c>
      <c r="C84" s="27" t="s">
        <v>90</v>
      </c>
      <c r="D84" s="62" t="s">
        <v>302</v>
      </c>
      <c r="E84" s="27" t="s">
        <v>572</v>
      </c>
      <c r="F84" s="28" t="s">
        <v>321</v>
      </c>
      <c r="G84" s="33">
        <v>46008</v>
      </c>
      <c r="H84" s="25" t="s">
        <v>722</v>
      </c>
      <c r="I84" s="30" t="s">
        <v>11</v>
      </c>
      <c r="J84" s="28"/>
      <c r="K84" s="25"/>
      <c r="L84" s="28"/>
    </row>
    <row r="85" spans="1:12" s="1" customFormat="1" ht="20.149999999999999" hidden="1" customHeight="1">
      <c r="A85" s="25" t="s">
        <v>272</v>
      </c>
      <c r="B85" s="25" t="s">
        <v>318</v>
      </c>
      <c r="C85" s="27" t="s">
        <v>288</v>
      </c>
      <c r="D85" s="62" t="s">
        <v>303</v>
      </c>
      <c r="E85" s="34" t="s">
        <v>141</v>
      </c>
      <c r="F85" s="28" t="s">
        <v>309</v>
      </c>
      <c r="G85" s="33">
        <v>46008</v>
      </c>
      <c r="H85" s="25" t="s">
        <v>727</v>
      </c>
      <c r="I85" s="30" t="s">
        <v>11</v>
      </c>
      <c r="J85" s="28"/>
      <c r="K85" s="25"/>
      <c r="L85" s="28"/>
    </row>
    <row r="86" spans="1:12" s="1" customFormat="1" ht="20.149999999999999" hidden="1" customHeight="1">
      <c r="A86" s="25" t="s">
        <v>272</v>
      </c>
      <c r="B86" s="25" t="s">
        <v>319</v>
      </c>
      <c r="C86" s="27" t="s">
        <v>289</v>
      </c>
      <c r="D86" s="62" t="s">
        <v>303</v>
      </c>
      <c r="E86" s="34" t="s">
        <v>141</v>
      </c>
      <c r="F86" s="28" t="s">
        <v>308</v>
      </c>
      <c r="G86" s="33">
        <v>46008</v>
      </c>
      <c r="H86" s="25" t="s">
        <v>728</v>
      </c>
      <c r="I86" s="30" t="s">
        <v>11</v>
      </c>
      <c r="J86" s="28"/>
      <c r="K86" s="25"/>
      <c r="L86" s="28"/>
    </row>
    <row r="87" spans="1:12" s="1" customFormat="1" ht="20.149999999999999" hidden="1" customHeight="1">
      <c r="A87" s="25" t="s">
        <v>272</v>
      </c>
      <c r="B87" s="25" t="s">
        <v>320</v>
      </c>
      <c r="C87" s="27" t="s">
        <v>292</v>
      </c>
      <c r="D87" s="62" t="s">
        <v>303</v>
      </c>
      <c r="E87" s="34" t="s">
        <v>141</v>
      </c>
      <c r="F87" s="28" t="s">
        <v>307</v>
      </c>
      <c r="G87" s="33">
        <v>46008</v>
      </c>
      <c r="H87" s="25" t="s">
        <v>722</v>
      </c>
      <c r="I87" s="30" t="s">
        <v>11</v>
      </c>
      <c r="J87" s="28"/>
      <c r="K87" s="25"/>
      <c r="L87" s="28"/>
    </row>
    <row r="88" spans="1:12" s="1" customFormat="1" ht="20.149999999999999" hidden="1" customHeight="1">
      <c r="A88" s="25" t="s">
        <v>272</v>
      </c>
      <c r="B88" s="25" t="s">
        <v>326</v>
      </c>
      <c r="C88" s="64" t="s">
        <v>114</v>
      </c>
      <c r="D88" s="26" t="s">
        <v>325</v>
      </c>
      <c r="E88" s="27" t="s">
        <v>572</v>
      </c>
      <c r="F88" s="28" t="s">
        <v>235</v>
      </c>
      <c r="G88" s="33">
        <v>46008</v>
      </c>
      <c r="H88" s="25" t="s">
        <v>730</v>
      </c>
      <c r="I88" s="30" t="s">
        <v>11</v>
      </c>
      <c r="J88" s="35"/>
      <c r="K88" s="25"/>
      <c r="L88" s="35"/>
    </row>
    <row r="89" spans="1:12" s="1" customFormat="1" ht="20.149999999999999" hidden="1" customHeight="1">
      <c r="A89" s="25" t="s">
        <v>272</v>
      </c>
      <c r="B89" s="25" t="s">
        <v>327</v>
      </c>
      <c r="C89" s="64" t="s">
        <v>115</v>
      </c>
      <c r="D89" s="26" t="s">
        <v>324</v>
      </c>
      <c r="E89" s="27" t="s">
        <v>572</v>
      </c>
      <c r="F89" s="28" t="s">
        <v>322</v>
      </c>
      <c r="G89" s="33">
        <v>46008</v>
      </c>
      <c r="H89" s="25" t="s">
        <v>730</v>
      </c>
      <c r="I89" s="30" t="s">
        <v>11</v>
      </c>
      <c r="J89" s="35"/>
      <c r="K89" s="25"/>
      <c r="L89" s="35"/>
    </row>
    <row r="90" spans="1:12" s="1" customFormat="1" ht="20.149999999999999" hidden="1" customHeight="1">
      <c r="A90" s="25" t="s">
        <v>272</v>
      </c>
      <c r="B90" s="25" t="s">
        <v>328</v>
      </c>
      <c r="C90" s="64" t="s">
        <v>115</v>
      </c>
      <c r="D90" s="26" t="s">
        <v>116</v>
      </c>
      <c r="E90" s="27" t="s">
        <v>572</v>
      </c>
      <c r="F90" s="28" t="s">
        <v>323</v>
      </c>
      <c r="G90" s="33">
        <v>46008</v>
      </c>
      <c r="H90" s="25" t="s">
        <v>730</v>
      </c>
      <c r="I90" s="30" t="s">
        <v>11</v>
      </c>
      <c r="J90" s="28"/>
      <c r="K90" s="25"/>
      <c r="L90" s="28"/>
    </row>
    <row r="91" spans="1:12" s="1" customFormat="1" ht="20.149999999999999" hidden="1" customHeight="1">
      <c r="A91" s="25" t="s">
        <v>272</v>
      </c>
      <c r="B91" s="25" t="s">
        <v>334</v>
      </c>
      <c r="C91" s="64" t="s">
        <v>329</v>
      </c>
      <c r="D91" s="26" t="s">
        <v>330</v>
      </c>
      <c r="E91" s="27" t="s">
        <v>572</v>
      </c>
      <c r="F91" s="28" t="s">
        <v>235</v>
      </c>
      <c r="G91" s="33">
        <v>46008</v>
      </c>
      <c r="H91" s="25" t="s">
        <v>730</v>
      </c>
      <c r="I91" s="30" t="s">
        <v>11</v>
      </c>
      <c r="J91" s="35"/>
      <c r="K91" s="25"/>
      <c r="L91" s="35"/>
    </row>
    <row r="92" spans="1:12" s="1" customFormat="1" ht="20.149999999999999" hidden="1" customHeight="1">
      <c r="A92" s="25" t="s">
        <v>272</v>
      </c>
      <c r="B92" s="25" t="s">
        <v>339</v>
      </c>
      <c r="C92" s="64" t="s">
        <v>329</v>
      </c>
      <c r="D92" s="26" t="s">
        <v>331</v>
      </c>
      <c r="E92" s="27" t="s">
        <v>572</v>
      </c>
      <c r="F92" s="28" t="s">
        <v>332</v>
      </c>
      <c r="G92" s="33">
        <v>46008</v>
      </c>
      <c r="H92" s="25" t="s">
        <v>730</v>
      </c>
      <c r="I92" s="30" t="s">
        <v>11</v>
      </c>
      <c r="J92" s="35"/>
      <c r="K92" s="25"/>
      <c r="L92" s="35"/>
    </row>
    <row r="93" spans="1:12" s="1" customFormat="1" ht="20.149999999999999" hidden="1" customHeight="1">
      <c r="A93" s="25" t="s">
        <v>272</v>
      </c>
      <c r="B93" s="25" t="s">
        <v>340</v>
      </c>
      <c r="C93" s="64" t="s">
        <v>333</v>
      </c>
      <c r="D93" s="65" t="s">
        <v>343</v>
      </c>
      <c r="E93" s="27" t="s">
        <v>572</v>
      </c>
      <c r="F93" s="28" t="s">
        <v>335</v>
      </c>
      <c r="G93" s="33">
        <v>46008</v>
      </c>
      <c r="H93" s="25" t="s">
        <v>730</v>
      </c>
      <c r="I93" s="30" t="s">
        <v>11</v>
      </c>
      <c r="J93" s="35"/>
      <c r="K93" s="25"/>
      <c r="L93" s="35"/>
    </row>
    <row r="94" spans="1:12" s="1" customFormat="1" ht="20.149999999999999" hidden="1" customHeight="1">
      <c r="A94" s="25" t="s">
        <v>272</v>
      </c>
      <c r="B94" s="25" t="s">
        <v>341</v>
      </c>
      <c r="C94" s="64" t="s">
        <v>117</v>
      </c>
      <c r="D94" s="65" t="s">
        <v>344</v>
      </c>
      <c r="E94" s="27" t="s">
        <v>572</v>
      </c>
      <c r="F94" s="28" t="s">
        <v>347</v>
      </c>
      <c r="G94" s="33">
        <v>46008</v>
      </c>
      <c r="H94" s="25" t="s">
        <v>730</v>
      </c>
      <c r="I94" s="30" t="s">
        <v>11</v>
      </c>
      <c r="J94" s="35"/>
      <c r="K94" s="25"/>
      <c r="L94" s="35"/>
    </row>
    <row r="95" spans="1:12" s="1" customFormat="1" ht="20.149999999999999" hidden="1" customHeight="1">
      <c r="A95" s="25" t="s">
        <v>272</v>
      </c>
      <c r="B95" s="25" t="s">
        <v>342</v>
      </c>
      <c r="C95" s="64" t="s">
        <v>117</v>
      </c>
      <c r="D95" s="65" t="s">
        <v>345</v>
      </c>
      <c r="E95" s="27" t="s">
        <v>572</v>
      </c>
      <c r="F95" s="28" t="s">
        <v>348</v>
      </c>
      <c r="G95" s="33">
        <v>46008</v>
      </c>
      <c r="H95" s="25" t="s">
        <v>730</v>
      </c>
      <c r="I95" s="30" t="s">
        <v>11</v>
      </c>
      <c r="J95" s="28"/>
      <c r="K95" s="25"/>
      <c r="L95" s="28"/>
    </row>
    <row r="96" spans="1:12" s="1" customFormat="1" ht="20.149999999999999" hidden="1" customHeight="1">
      <c r="A96" s="25" t="s">
        <v>272</v>
      </c>
      <c r="B96" s="25" t="s">
        <v>351</v>
      </c>
      <c r="C96" s="64" t="s">
        <v>117</v>
      </c>
      <c r="D96" s="65" t="s">
        <v>346</v>
      </c>
      <c r="E96" s="27" t="s">
        <v>572</v>
      </c>
      <c r="F96" s="28" t="s">
        <v>349</v>
      </c>
      <c r="G96" s="33">
        <v>46008</v>
      </c>
      <c r="H96" s="25" t="s">
        <v>730</v>
      </c>
      <c r="I96" s="30" t="s">
        <v>11</v>
      </c>
      <c r="J96" s="28"/>
      <c r="K96" s="25"/>
      <c r="L96" s="28"/>
    </row>
    <row r="97" spans="1:12" s="1" customFormat="1" ht="20.149999999999999" hidden="1" customHeight="1">
      <c r="A97" s="25" t="s">
        <v>272</v>
      </c>
      <c r="B97" s="25" t="s">
        <v>350</v>
      </c>
      <c r="C97" s="64" t="s">
        <v>338</v>
      </c>
      <c r="D97" s="65" t="s">
        <v>337</v>
      </c>
      <c r="E97" s="27" t="s">
        <v>572</v>
      </c>
      <c r="F97" s="28" t="s">
        <v>336</v>
      </c>
      <c r="G97" s="33">
        <v>46008</v>
      </c>
      <c r="H97" s="25" t="s">
        <v>730</v>
      </c>
      <c r="I97" s="30" t="s">
        <v>11</v>
      </c>
      <c r="J97" s="28"/>
      <c r="K97" s="25"/>
      <c r="L97" s="28"/>
    </row>
    <row r="98" spans="1:12" s="1" customFormat="1" ht="20.149999999999999" hidden="1" customHeight="1">
      <c r="A98" s="25" t="s">
        <v>262</v>
      </c>
      <c r="B98" s="25" t="s">
        <v>255</v>
      </c>
      <c r="C98" s="27" t="s">
        <v>576</v>
      </c>
      <c r="D98" s="26" t="s">
        <v>577</v>
      </c>
      <c r="E98" s="61" t="s">
        <v>578</v>
      </c>
      <c r="F98" s="28" t="s">
        <v>579</v>
      </c>
      <c r="G98" s="33">
        <v>46008</v>
      </c>
      <c r="H98" s="25" t="s">
        <v>730</v>
      </c>
      <c r="I98" s="30" t="s">
        <v>11</v>
      </c>
      <c r="J98" s="35"/>
      <c r="K98" s="25"/>
      <c r="L98" s="35"/>
    </row>
    <row r="99" spans="1:12" s="1" customFormat="1" ht="20.149999999999999" hidden="1" customHeight="1">
      <c r="A99" s="25" t="s">
        <v>262</v>
      </c>
      <c r="B99" s="25" t="s">
        <v>256</v>
      </c>
      <c r="C99" s="27" t="s">
        <v>14</v>
      </c>
      <c r="D99" s="26" t="s">
        <v>264</v>
      </c>
      <c r="E99" s="27" t="s">
        <v>572</v>
      </c>
      <c r="F99" s="28" t="s">
        <v>580</v>
      </c>
      <c r="G99" s="33">
        <v>46008</v>
      </c>
      <c r="H99" s="25" t="s">
        <v>730</v>
      </c>
      <c r="I99" s="30" t="s">
        <v>11</v>
      </c>
      <c r="J99" s="28"/>
      <c r="K99" s="25"/>
      <c r="L99" s="28"/>
    </row>
    <row r="100" spans="1:12" s="1" customFormat="1" ht="20.149999999999999" hidden="1" customHeight="1">
      <c r="A100" s="25" t="s">
        <v>262</v>
      </c>
      <c r="B100" s="25" t="s">
        <v>257</v>
      </c>
      <c r="C100" s="27" t="s">
        <v>94</v>
      </c>
      <c r="D100" s="26" t="s">
        <v>87</v>
      </c>
      <c r="E100" s="27" t="s">
        <v>572</v>
      </c>
      <c r="F100" s="28" t="s">
        <v>583</v>
      </c>
      <c r="G100" s="33">
        <v>46008</v>
      </c>
      <c r="H100" s="25" t="s">
        <v>730</v>
      </c>
      <c r="I100" s="30" t="s">
        <v>11</v>
      </c>
      <c r="J100" s="28"/>
      <c r="K100" s="25"/>
      <c r="L100" s="28"/>
    </row>
    <row r="101" spans="1:12" s="1" customFormat="1" ht="20.149999999999999" hidden="1" customHeight="1">
      <c r="A101" s="25" t="s">
        <v>262</v>
      </c>
      <c r="B101" s="25" t="s">
        <v>258</v>
      </c>
      <c r="C101" s="27" t="s">
        <v>94</v>
      </c>
      <c r="D101" s="26" t="s">
        <v>581</v>
      </c>
      <c r="E101" s="27" t="s">
        <v>572</v>
      </c>
      <c r="F101" s="28" t="s">
        <v>584</v>
      </c>
      <c r="G101" s="33">
        <v>46008</v>
      </c>
      <c r="H101" s="25" t="s">
        <v>730</v>
      </c>
      <c r="I101" s="30" t="s">
        <v>11</v>
      </c>
      <c r="J101" s="28"/>
      <c r="K101" s="25"/>
      <c r="L101" s="28"/>
    </row>
    <row r="102" spans="1:12" s="1" customFormat="1" ht="20.149999999999999" hidden="1" customHeight="1">
      <c r="A102" s="25" t="s">
        <v>262</v>
      </c>
      <c r="B102" s="25" t="s">
        <v>259</v>
      </c>
      <c r="C102" s="27" t="s">
        <v>94</v>
      </c>
      <c r="D102" s="26" t="s">
        <v>269</v>
      </c>
      <c r="E102" s="27" t="s">
        <v>572</v>
      </c>
      <c r="F102" s="28" t="s">
        <v>271</v>
      </c>
      <c r="G102" s="33">
        <v>46008</v>
      </c>
      <c r="H102" s="25" t="s">
        <v>730</v>
      </c>
      <c r="I102" s="30" t="s">
        <v>11</v>
      </c>
      <c r="J102" s="28"/>
      <c r="K102" s="25"/>
      <c r="L102" s="28"/>
    </row>
    <row r="103" spans="1:12" s="1" customFormat="1" ht="20.149999999999999" hidden="1" customHeight="1">
      <c r="A103" s="25" t="s">
        <v>262</v>
      </c>
      <c r="B103" s="25" t="s">
        <v>260</v>
      </c>
      <c r="C103" s="27" t="s">
        <v>94</v>
      </c>
      <c r="D103" s="26" t="s">
        <v>265</v>
      </c>
      <c r="E103" s="27" t="s">
        <v>572</v>
      </c>
      <c r="F103" s="28" t="s">
        <v>270</v>
      </c>
      <c r="G103" s="33">
        <v>46008</v>
      </c>
      <c r="H103" s="25" t="s">
        <v>730</v>
      </c>
      <c r="I103" s="30" t="s">
        <v>11</v>
      </c>
      <c r="J103" s="35"/>
      <c r="K103" s="25"/>
      <c r="L103" s="35"/>
    </row>
    <row r="104" spans="1:12" s="1" customFormat="1" ht="20.149999999999999" hidden="1" customHeight="1">
      <c r="A104" s="25" t="s">
        <v>262</v>
      </c>
      <c r="B104" s="25" t="s">
        <v>261</v>
      </c>
      <c r="C104" s="27" t="s">
        <v>94</v>
      </c>
      <c r="D104" s="26" t="s">
        <v>266</v>
      </c>
      <c r="E104" s="34" t="s">
        <v>146</v>
      </c>
      <c r="F104" s="28" t="s">
        <v>267</v>
      </c>
      <c r="G104" s="33">
        <v>46008</v>
      </c>
      <c r="H104" s="25" t="s">
        <v>730</v>
      </c>
      <c r="I104" s="30" t="s">
        <v>11</v>
      </c>
      <c r="J104" s="28"/>
      <c r="K104" s="25"/>
      <c r="L104" s="28"/>
    </row>
    <row r="105" spans="1:12" s="1" customFormat="1" ht="20.149999999999999" hidden="1" customHeight="1">
      <c r="A105" s="25" t="s">
        <v>262</v>
      </c>
      <c r="B105" s="25" t="s">
        <v>575</v>
      </c>
      <c r="C105" s="27" t="s">
        <v>15</v>
      </c>
      <c r="D105" s="26" t="s">
        <v>582</v>
      </c>
      <c r="E105" s="61" t="s">
        <v>263</v>
      </c>
      <c r="F105" s="28" t="s">
        <v>268</v>
      </c>
      <c r="G105" s="29">
        <v>46014</v>
      </c>
      <c r="H105" s="25" t="s">
        <v>730</v>
      </c>
      <c r="I105" s="30" t="s">
        <v>837</v>
      </c>
      <c r="J105" s="28" t="s">
        <v>731</v>
      </c>
      <c r="K105" s="25"/>
      <c r="L105" s="28"/>
    </row>
    <row r="106" spans="1:12" s="1" customFormat="1" ht="20.149999999999999" hidden="1" customHeight="1">
      <c r="A106" s="25" t="s">
        <v>387</v>
      </c>
      <c r="B106" s="66" t="s">
        <v>388</v>
      </c>
      <c r="C106" s="67" t="s">
        <v>391</v>
      </c>
      <c r="D106" s="71" t="s">
        <v>392</v>
      </c>
      <c r="E106" s="61" t="s">
        <v>263</v>
      </c>
      <c r="F106" s="28" t="s">
        <v>393</v>
      </c>
      <c r="G106" s="33">
        <v>46007</v>
      </c>
      <c r="H106" s="25" t="s">
        <v>669</v>
      </c>
      <c r="I106" s="25" t="s">
        <v>670</v>
      </c>
      <c r="J106" s="35"/>
      <c r="K106" s="25"/>
      <c r="L106" s="35"/>
    </row>
    <row r="107" spans="1:12" s="1" customFormat="1" ht="20.149999999999999" hidden="1" customHeight="1">
      <c r="A107" s="25" t="s">
        <v>387</v>
      </c>
      <c r="B107" s="66" t="s">
        <v>389</v>
      </c>
      <c r="C107" s="67" t="s">
        <v>391</v>
      </c>
      <c r="D107" s="71" t="s">
        <v>406</v>
      </c>
      <c r="E107" s="61" t="s">
        <v>263</v>
      </c>
      <c r="F107" s="28" t="s">
        <v>394</v>
      </c>
      <c r="G107" s="33">
        <v>46008</v>
      </c>
      <c r="H107" s="25" t="s">
        <v>669</v>
      </c>
      <c r="I107" s="25" t="s">
        <v>670</v>
      </c>
      <c r="J107" s="35"/>
      <c r="K107" s="25"/>
      <c r="L107" s="35"/>
    </row>
    <row r="108" spans="1:12" s="1" customFormat="1" ht="20.149999999999999" hidden="1" customHeight="1">
      <c r="A108" s="25" t="s">
        <v>387</v>
      </c>
      <c r="B108" s="66" t="s">
        <v>390</v>
      </c>
      <c r="C108" s="67" t="s">
        <v>131</v>
      </c>
      <c r="D108" s="71" t="s">
        <v>395</v>
      </c>
      <c r="E108" s="27" t="s">
        <v>572</v>
      </c>
      <c r="F108" s="28" t="s">
        <v>396</v>
      </c>
      <c r="G108" s="33">
        <v>46007</v>
      </c>
      <c r="H108" s="25" t="s">
        <v>669</v>
      </c>
      <c r="I108" s="25" t="s">
        <v>670</v>
      </c>
      <c r="J108" s="35"/>
      <c r="K108" s="25"/>
      <c r="L108" s="35"/>
    </row>
    <row r="109" spans="1:12" s="1" customFormat="1" ht="20.149999999999999" hidden="1" customHeight="1">
      <c r="A109" s="25" t="s">
        <v>387</v>
      </c>
      <c r="B109" s="66" t="s">
        <v>411</v>
      </c>
      <c r="C109" s="67" t="s">
        <v>404</v>
      </c>
      <c r="D109" s="71" t="s">
        <v>399</v>
      </c>
      <c r="E109" s="27" t="s">
        <v>572</v>
      </c>
      <c r="F109" s="28" t="s">
        <v>400</v>
      </c>
      <c r="G109" s="33">
        <v>46008</v>
      </c>
      <c r="H109" s="25" t="s">
        <v>669</v>
      </c>
      <c r="I109" s="25" t="s">
        <v>670</v>
      </c>
      <c r="J109" s="28"/>
      <c r="K109" s="25"/>
      <c r="L109" s="28"/>
    </row>
    <row r="110" spans="1:12" s="1" customFormat="1" ht="20.149999999999999" hidden="1" customHeight="1">
      <c r="A110" s="25" t="s">
        <v>387</v>
      </c>
      <c r="B110" s="66" t="s">
        <v>409</v>
      </c>
      <c r="C110" s="67" t="s">
        <v>131</v>
      </c>
      <c r="D110" s="71" t="s">
        <v>397</v>
      </c>
      <c r="E110" s="27" t="s">
        <v>572</v>
      </c>
      <c r="F110" s="28" t="s">
        <v>398</v>
      </c>
      <c r="G110" s="33">
        <v>46007</v>
      </c>
      <c r="H110" s="25" t="s">
        <v>669</v>
      </c>
      <c r="I110" s="25" t="s">
        <v>670</v>
      </c>
      <c r="J110" s="28"/>
      <c r="K110" s="25"/>
      <c r="L110" s="28"/>
    </row>
    <row r="111" spans="1:12" s="1" customFormat="1" ht="20.149999999999999" hidden="1" customHeight="1">
      <c r="A111" s="25" t="s">
        <v>387</v>
      </c>
      <c r="B111" s="66" t="s">
        <v>412</v>
      </c>
      <c r="C111" s="67" t="s">
        <v>131</v>
      </c>
      <c r="D111" s="71" t="s">
        <v>401</v>
      </c>
      <c r="E111" s="27" t="s">
        <v>572</v>
      </c>
      <c r="F111" s="28" t="s">
        <v>402</v>
      </c>
      <c r="G111" s="33">
        <v>46008</v>
      </c>
      <c r="H111" s="25" t="s">
        <v>669</v>
      </c>
      <c r="I111" s="25" t="s">
        <v>670</v>
      </c>
      <c r="J111" s="28"/>
      <c r="K111" s="25"/>
      <c r="L111" s="28"/>
    </row>
    <row r="112" spans="1:12" s="1" customFormat="1" ht="20.149999999999999" hidden="1" customHeight="1">
      <c r="A112" s="25" t="s">
        <v>387</v>
      </c>
      <c r="B112" s="66" t="s">
        <v>413</v>
      </c>
      <c r="C112" s="67" t="s">
        <v>391</v>
      </c>
      <c r="D112" s="71" t="s">
        <v>407</v>
      </c>
      <c r="E112" s="61" t="s">
        <v>263</v>
      </c>
      <c r="F112" s="28" t="s">
        <v>405</v>
      </c>
      <c r="G112" s="33">
        <v>46008</v>
      </c>
      <c r="H112" s="25" t="s">
        <v>669</v>
      </c>
      <c r="I112" s="25" t="s">
        <v>670</v>
      </c>
      <c r="J112" s="28"/>
      <c r="K112" s="25"/>
      <c r="L112" s="28"/>
    </row>
    <row r="113" spans="1:12" s="1" customFormat="1" ht="20.149999999999999" hidden="1" customHeight="1">
      <c r="A113" s="25" t="s">
        <v>387</v>
      </c>
      <c r="B113" s="66" t="s">
        <v>414</v>
      </c>
      <c r="C113" s="67" t="s">
        <v>391</v>
      </c>
      <c r="D113" s="71" t="s">
        <v>408</v>
      </c>
      <c r="E113" s="61" t="s">
        <v>263</v>
      </c>
      <c r="F113" s="28" t="s">
        <v>403</v>
      </c>
      <c r="G113" s="33">
        <v>46008</v>
      </c>
      <c r="H113" s="25" t="s">
        <v>669</v>
      </c>
      <c r="I113" s="25" t="s">
        <v>670</v>
      </c>
      <c r="J113" s="28"/>
      <c r="K113" s="25"/>
      <c r="L113" s="28"/>
    </row>
    <row r="114" spans="1:12" s="1" customFormat="1" ht="20.149999999999999" hidden="1" customHeight="1">
      <c r="A114" s="25" t="s">
        <v>387</v>
      </c>
      <c r="B114" s="66" t="s">
        <v>418</v>
      </c>
      <c r="C114" s="67" t="s">
        <v>131</v>
      </c>
      <c r="D114" s="71" t="s">
        <v>132</v>
      </c>
      <c r="E114" s="27" t="s">
        <v>572</v>
      </c>
      <c r="F114" s="28" t="s">
        <v>133</v>
      </c>
      <c r="G114" s="33">
        <v>46007</v>
      </c>
      <c r="H114" s="25" t="s">
        <v>669</v>
      </c>
      <c r="I114" s="25" t="s">
        <v>670</v>
      </c>
      <c r="J114" s="35"/>
      <c r="K114" s="25"/>
      <c r="L114" s="35"/>
    </row>
    <row r="115" spans="1:12" s="1" customFormat="1" ht="20.149999999999999" hidden="1" customHeight="1">
      <c r="A115" s="25" t="s">
        <v>387</v>
      </c>
      <c r="B115" s="66" t="s">
        <v>410</v>
      </c>
      <c r="C115" s="67" t="s">
        <v>131</v>
      </c>
      <c r="D115" s="71" t="s">
        <v>415</v>
      </c>
      <c r="E115" s="27" t="s">
        <v>572</v>
      </c>
      <c r="F115" s="28" t="s">
        <v>416</v>
      </c>
      <c r="G115" s="33">
        <v>46007</v>
      </c>
      <c r="H115" s="25" t="s">
        <v>669</v>
      </c>
      <c r="I115" s="25" t="s">
        <v>670</v>
      </c>
      <c r="J115" s="28"/>
      <c r="K115" s="25"/>
      <c r="L115" s="28"/>
    </row>
    <row r="116" spans="1:12" s="1" customFormat="1" ht="20.149999999999999" hidden="1" customHeight="1">
      <c r="A116" s="25" t="s">
        <v>387</v>
      </c>
      <c r="B116" s="66" t="s">
        <v>429</v>
      </c>
      <c r="C116" s="67" t="s">
        <v>391</v>
      </c>
      <c r="D116" s="71" t="s">
        <v>408</v>
      </c>
      <c r="E116" s="61" t="s">
        <v>263</v>
      </c>
      <c r="F116" s="28" t="s">
        <v>417</v>
      </c>
      <c r="G116" s="33">
        <v>46008</v>
      </c>
      <c r="H116" s="25" t="s">
        <v>669</v>
      </c>
      <c r="I116" s="25" t="s">
        <v>670</v>
      </c>
      <c r="J116" s="28"/>
      <c r="K116" s="25"/>
      <c r="L116" s="28"/>
    </row>
    <row r="117" spans="1:12" s="1" customFormat="1" ht="20.149999999999999" hidden="1" customHeight="1">
      <c r="A117" s="25" t="s">
        <v>387</v>
      </c>
      <c r="B117" s="70" t="s">
        <v>430</v>
      </c>
      <c r="C117" s="67" t="s">
        <v>134</v>
      </c>
      <c r="D117" s="74" t="s">
        <v>419</v>
      </c>
      <c r="E117" s="27" t="s">
        <v>572</v>
      </c>
      <c r="F117" s="28" t="s">
        <v>420</v>
      </c>
      <c r="G117" s="33">
        <v>46007</v>
      </c>
      <c r="H117" s="25" t="s">
        <v>669</v>
      </c>
      <c r="I117" s="25" t="s">
        <v>670</v>
      </c>
      <c r="J117" s="28"/>
      <c r="K117" s="25"/>
      <c r="L117" s="28"/>
    </row>
    <row r="118" spans="1:12" s="1" customFormat="1" ht="20.149999999999999" hidden="1" customHeight="1">
      <c r="A118" s="25" t="s">
        <v>387</v>
      </c>
      <c r="B118" s="70" t="s">
        <v>431</v>
      </c>
      <c r="C118" s="67" t="s">
        <v>421</v>
      </c>
      <c r="D118" s="74" t="s">
        <v>422</v>
      </c>
      <c r="E118" s="60" t="s">
        <v>423</v>
      </c>
      <c r="F118" s="28" t="s">
        <v>451</v>
      </c>
      <c r="G118" s="33">
        <v>46007</v>
      </c>
      <c r="H118" s="25" t="s">
        <v>669</v>
      </c>
      <c r="I118" s="25" t="s">
        <v>670</v>
      </c>
      <c r="J118" s="28"/>
      <c r="K118" s="25"/>
      <c r="L118" s="28"/>
    </row>
    <row r="119" spans="1:12" s="1" customFormat="1" ht="20.149999999999999" hidden="1" customHeight="1">
      <c r="A119" s="25" t="s">
        <v>387</v>
      </c>
      <c r="B119" s="70" t="s">
        <v>432</v>
      </c>
      <c r="C119" s="67" t="s">
        <v>421</v>
      </c>
      <c r="D119" s="74" t="s">
        <v>424</v>
      </c>
      <c r="E119" s="60" t="s">
        <v>425</v>
      </c>
      <c r="F119" s="28" t="s">
        <v>426</v>
      </c>
      <c r="G119" s="33">
        <v>46007</v>
      </c>
      <c r="H119" s="25" t="s">
        <v>669</v>
      </c>
      <c r="I119" s="25" t="s">
        <v>670</v>
      </c>
      <c r="J119" s="28"/>
      <c r="K119" s="25"/>
      <c r="L119" s="28"/>
    </row>
    <row r="120" spans="1:12" s="1" customFormat="1" ht="20.149999999999999" hidden="1" customHeight="1">
      <c r="A120" s="25" t="s">
        <v>387</v>
      </c>
      <c r="B120" s="70" t="s">
        <v>444</v>
      </c>
      <c r="C120" s="67" t="s">
        <v>427</v>
      </c>
      <c r="D120" s="74" t="s">
        <v>428</v>
      </c>
      <c r="E120" s="27" t="s">
        <v>572</v>
      </c>
      <c r="F120" s="28" t="s">
        <v>420</v>
      </c>
      <c r="G120" s="33">
        <v>46007</v>
      </c>
      <c r="H120" s="25" t="s">
        <v>669</v>
      </c>
      <c r="I120" s="25" t="s">
        <v>670</v>
      </c>
      <c r="J120" s="28"/>
      <c r="K120" s="25"/>
      <c r="L120" s="28"/>
    </row>
    <row r="121" spans="1:12" s="1" customFormat="1" ht="20.149999999999999" hidden="1" customHeight="1">
      <c r="A121" s="25" t="s">
        <v>387</v>
      </c>
      <c r="B121" s="70" t="s">
        <v>445</v>
      </c>
      <c r="C121" s="67" t="s">
        <v>134</v>
      </c>
      <c r="D121" s="74" t="s">
        <v>436</v>
      </c>
      <c r="E121" s="27" t="s">
        <v>572</v>
      </c>
      <c r="F121" s="28" t="s">
        <v>433</v>
      </c>
      <c r="G121" s="33">
        <v>46007</v>
      </c>
      <c r="H121" s="25" t="s">
        <v>669</v>
      </c>
      <c r="I121" s="25" t="s">
        <v>670</v>
      </c>
      <c r="J121" s="28"/>
      <c r="K121" s="25"/>
      <c r="L121" s="28"/>
    </row>
    <row r="122" spans="1:12" s="1" customFormat="1" ht="20.149999999999999" hidden="1" customHeight="1">
      <c r="A122" s="25" t="s">
        <v>387</v>
      </c>
      <c r="B122" s="70" t="s">
        <v>446</v>
      </c>
      <c r="C122" s="67" t="s">
        <v>134</v>
      </c>
      <c r="D122" s="74" t="s">
        <v>436</v>
      </c>
      <c r="E122" s="27" t="s">
        <v>572</v>
      </c>
      <c r="F122" s="28" t="s">
        <v>434</v>
      </c>
      <c r="G122" s="33">
        <v>46007</v>
      </c>
      <c r="H122" s="25" t="s">
        <v>669</v>
      </c>
      <c r="I122" s="25" t="s">
        <v>670</v>
      </c>
      <c r="J122" s="35"/>
      <c r="K122" s="25"/>
      <c r="L122" s="35"/>
    </row>
    <row r="123" spans="1:12" s="1" customFormat="1" ht="20.149999999999999" hidden="1" customHeight="1">
      <c r="A123" s="25" t="s">
        <v>387</v>
      </c>
      <c r="B123" s="70" t="s">
        <v>447</v>
      </c>
      <c r="C123" s="67" t="s">
        <v>134</v>
      </c>
      <c r="D123" s="74" t="s">
        <v>437</v>
      </c>
      <c r="E123" s="27" t="s">
        <v>572</v>
      </c>
      <c r="F123" s="28" t="s">
        <v>438</v>
      </c>
      <c r="G123" s="33">
        <v>46007</v>
      </c>
      <c r="H123" s="25" t="s">
        <v>669</v>
      </c>
      <c r="I123" s="25" t="s">
        <v>670</v>
      </c>
      <c r="J123" s="28"/>
      <c r="K123" s="25"/>
      <c r="L123" s="28"/>
    </row>
    <row r="124" spans="1:12" s="1" customFormat="1" ht="20.149999999999999" hidden="1" customHeight="1">
      <c r="A124" s="25" t="s">
        <v>387</v>
      </c>
      <c r="B124" s="70" t="s">
        <v>448</v>
      </c>
      <c r="C124" s="67" t="s">
        <v>134</v>
      </c>
      <c r="D124" s="74" t="s">
        <v>439</v>
      </c>
      <c r="E124" s="27" t="s">
        <v>572</v>
      </c>
      <c r="F124" s="28" t="s">
        <v>435</v>
      </c>
      <c r="G124" s="33">
        <v>46007</v>
      </c>
      <c r="H124" s="25" t="s">
        <v>669</v>
      </c>
      <c r="I124" s="25" t="s">
        <v>670</v>
      </c>
      <c r="J124" s="28"/>
      <c r="K124" s="25"/>
      <c r="L124" s="28"/>
    </row>
    <row r="125" spans="1:12" s="1" customFormat="1" ht="20.149999999999999" hidden="1" customHeight="1">
      <c r="A125" s="25" t="s">
        <v>387</v>
      </c>
      <c r="B125" s="70" t="s">
        <v>449</v>
      </c>
      <c r="C125" s="67" t="s">
        <v>42</v>
      </c>
      <c r="D125" s="74" t="s">
        <v>442</v>
      </c>
      <c r="E125" s="27" t="s">
        <v>572</v>
      </c>
      <c r="F125" s="28" t="s">
        <v>440</v>
      </c>
      <c r="G125" s="33">
        <v>46007</v>
      </c>
      <c r="H125" s="25" t="s">
        <v>669</v>
      </c>
      <c r="I125" s="25" t="s">
        <v>670</v>
      </c>
      <c r="J125" s="35"/>
      <c r="K125" s="25"/>
      <c r="L125" s="35"/>
    </row>
    <row r="126" spans="1:12" s="1" customFormat="1" ht="20.149999999999999" hidden="1" customHeight="1">
      <c r="A126" s="25" t="s">
        <v>387</v>
      </c>
      <c r="B126" s="70" t="s">
        <v>450</v>
      </c>
      <c r="C126" s="67" t="s">
        <v>134</v>
      </c>
      <c r="D126" s="74" t="s">
        <v>443</v>
      </c>
      <c r="E126" s="27" t="s">
        <v>572</v>
      </c>
      <c r="F126" s="28" t="s">
        <v>441</v>
      </c>
      <c r="G126" s="33">
        <v>46007</v>
      </c>
      <c r="H126" s="25" t="s">
        <v>669</v>
      </c>
      <c r="I126" s="25" t="s">
        <v>670</v>
      </c>
      <c r="J126" s="28"/>
      <c r="K126" s="25"/>
      <c r="L126" s="28"/>
    </row>
    <row r="127" spans="1:12" s="1" customFormat="1" ht="20.149999999999999" hidden="1" customHeight="1">
      <c r="A127" s="25" t="s">
        <v>387</v>
      </c>
      <c r="B127" s="70" t="s">
        <v>458</v>
      </c>
      <c r="C127" s="67" t="s">
        <v>135</v>
      </c>
      <c r="D127" s="74" t="s">
        <v>136</v>
      </c>
      <c r="E127" s="27" t="s">
        <v>572</v>
      </c>
      <c r="F127" s="28" t="s">
        <v>129</v>
      </c>
      <c r="G127" s="33">
        <v>46007</v>
      </c>
      <c r="H127" s="25" t="s">
        <v>669</v>
      </c>
      <c r="I127" s="25" t="s">
        <v>670</v>
      </c>
      <c r="J127" s="28"/>
      <c r="K127" s="25"/>
      <c r="L127" s="28"/>
    </row>
    <row r="128" spans="1:12" s="1" customFormat="1" ht="20.149999999999999" hidden="1" customHeight="1">
      <c r="A128" s="25" t="s">
        <v>387</v>
      </c>
      <c r="B128" s="70" t="s">
        <v>459</v>
      </c>
      <c r="C128" s="67" t="s">
        <v>135</v>
      </c>
      <c r="D128" s="74" t="s">
        <v>454</v>
      </c>
      <c r="E128" s="27" t="s">
        <v>572</v>
      </c>
      <c r="F128" s="28" t="s">
        <v>457</v>
      </c>
      <c r="G128" s="33">
        <v>46007</v>
      </c>
      <c r="H128" s="25" t="s">
        <v>669</v>
      </c>
      <c r="I128" s="25" t="s">
        <v>670</v>
      </c>
      <c r="J128" s="35"/>
      <c r="K128" s="25"/>
      <c r="L128" s="35"/>
    </row>
    <row r="129" spans="1:12" s="1" customFormat="1" ht="20.149999999999999" hidden="1" customHeight="1">
      <c r="A129" s="25" t="s">
        <v>387</v>
      </c>
      <c r="B129" s="70" t="s">
        <v>460</v>
      </c>
      <c r="C129" s="67" t="s">
        <v>135</v>
      </c>
      <c r="D129" s="74" t="s">
        <v>455</v>
      </c>
      <c r="E129" s="27" t="s">
        <v>572</v>
      </c>
      <c r="F129" s="28" t="s">
        <v>456</v>
      </c>
      <c r="G129" s="33">
        <v>46007</v>
      </c>
      <c r="H129" s="25" t="s">
        <v>669</v>
      </c>
      <c r="I129" s="25" t="s">
        <v>670</v>
      </c>
      <c r="J129" s="28"/>
      <c r="K129" s="25"/>
      <c r="L129" s="28"/>
    </row>
    <row r="130" spans="1:12" s="1" customFormat="1" ht="20.149999999999999" hidden="1" customHeight="1">
      <c r="A130" s="25" t="s">
        <v>387</v>
      </c>
      <c r="B130" s="70" t="s">
        <v>461</v>
      </c>
      <c r="C130" s="67" t="s">
        <v>452</v>
      </c>
      <c r="D130" s="74" t="s">
        <v>453</v>
      </c>
      <c r="E130" s="63" t="s">
        <v>573</v>
      </c>
      <c r="F130" s="28" t="s">
        <v>462</v>
      </c>
      <c r="G130" s="33">
        <v>46007</v>
      </c>
      <c r="H130" s="25" t="s">
        <v>669</v>
      </c>
      <c r="I130" s="25" t="s">
        <v>670</v>
      </c>
      <c r="J130" s="28"/>
      <c r="K130" s="25"/>
      <c r="L130" s="28"/>
    </row>
    <row r="131" spans="1:12" s="1" customFormat="1" ht="20.149999999999999" hidden="1" customHeight="1">
      <c r="A131" s="25" t="s">
        <v>387</v>
      </c>
      <c r="B131" s="70" t="s">
        <v>467</v>
      </c>
      <c r="C131" s="67" t="s">
        <v>498</v>
      </c>
      <c r="D131" s="71" t="s">
        <v>499</v>
      </c>
      <c r="E131" s="61" t="s">
        <v>263</v>
      </c>
      <c r="F131" s="28" t="s">
        <v>500</v>
      </c>
      <c r="G131" s="29">
        <v>46008</v>
      </c>
      <c r="H131" s="30" t="s">
        <v>666</v>
      </c>
      <c r="I131" s="30" t="s">
        <v>11</v>
      </c>
      <c r="J131" s="28"/>
      <c r="K131" s="25"/>
      <c r="L131" s="28"/>
    </row>
    <row r="132" spans="1:12" s="1" customFormat="1" ht="20.149999999999999" hidden="1" customHeight="1">
      <c r="A132" s="25" t="s">
        <v>387</v>
      </c>
      <c r="B132" s="70" t="s">
        <v>468</v>
      </c>
      <c r="C132" s="67" t="s">
        <v>488</v>
      </c>
      <c r="D132" s="68" t="s">
        <v>488</v>
      </c>
      <c r="E132" s="27" t="s">
        <v>572</v>
      </c>
      <c r="F132" s="28" t="s">
        <v>463</v>
      </c>
      <c r="G132" s="29">
        <v>46008</v>
      </c>
      <c r="H132" s="30" t="s">
        <v>666</v>
      </c>
      <c r="I132" s="30" t="s">
        <v>11</v>
      </c>
      <c r="J132" s="35"/>
      <c r="K132" s="25"/>
      <c r="L132" s="35"/>
    </row>
    <row r="133" spans="1:12" s="1" customFormat="1" ht="20.149999999999999" hidden="1" customHeight="1">
      <c r="A133" s="25" t="s">
        <v>387</v>
      </c>
      <c r="B133" s="70" t="s">
        <v>469</v>
      </c>
      <c r="C133" s="67" t="s">
        <v>488</v>
      </c>
      <c r="D133" s="68" t="s">
        <v>488</v>
      </c>
      <c r="E133" s="27" t="s">
        <v>572</v>
      </c>
      <c r="F133" s="28" t="s">
        <v>489</v>
      </c>
      <c r="G133" s="29">
        <v>46008</v>
      </c>
      <c r="H133" s="30" t="s">
        <v>666</v>
      </c>
      <c r="I133" s="30" t="s">
        <v>11</v>
      </c>
      <c r="J133" s="35"/>
      <c r="K133" s="25"/>
      <c r="L133" s="35"/>
    </row>
    <row r="134" spans="1:12" s="1" customFormat="1" ht="20.149999999999999" hidden="1" customHeight="1">
      <c r="A134" s="25" t="s">
        <v>387</v>
      </c>
      <c r="B134" s="70" t="s">
        <v>470</v>
      </c>
      <c r="C134" s="67" t="s">
        <v>488</v>
      </c>
      <c r="D134" s="68" t="s">
        <v>488</v>
      </c>
      <c r="E134" s="27" t="s">
        <v>572</v>
      </c>
      <c r="F134" s="28" t="s">
        <v>490</v>
      </c>
      <c r="G134" s="29">
        <v>46008</v>
      </c>
      <c r="H134" s="30" t="s">
        <v>666</v>
      </c>
      <c r="I134" s="30" t="s">
        <v>11</v>
      </c>
      <c r="J134" s="35"/>
      <c r="K134" s="25"/>
      <c r="L134" s="35"/>
    </row>
    <row r="135" spans="1:12" s="1" customFormat="1" ht="20.149999999999999" hidden="1" customHeight="1">
      <c r="A135" s="25" t="s">
        <v>387</v>
      </c>
      <c r="B135" s="70" t="s">
        <v>471</v>
      </c>
      <c r="C135" s="67" t="s">
        <v>488</v>
      </c>
      <c r="D135" s="68" t="s">
        <v>488</v>
      </c>
      <c r="E135" s="27" t="s">
        <v>572</v>
      </c>
      <c r="F135" s="28" t="s">
        <v>491</v>
      </c>
      <c r="G135" s="29">
        <v>46008</v>
      </c>
      <c r="H135" s="30" t="s">
        <v>666</v>
      </c>
      <c r="I135" s="30" t="s">
        <v>11</v>
      </c>
      <c r="J135" s="35"/>
      <c r="K135" s="25"/>
      <c r="L135" s="35"/>
    </row>
    <row r="136" spans="1:12" s="1" customFormat="1" ht="20.149999999999999" hidden="1" customHeight="1">
      <c r="A136" s="25" t="s">
        <v>387</v>
      </c>
      <c r="B136" s="70" t="s">
        <v>480</v>
      </c>
      <c r="C136" s="67" t="s">
        <v>473</v>
      </c>
      <c r="D136" s="74" t="s">
        <v>474</v>
      </c>
      <c r="E136" s="60" t="s">
        <v>425</v>
      </c>
      <c r="F136" s="28" t="s">
        <v>472</v>
      </c>
      <c r="G136" s="33">
        <v>46007</v>
      </c>
      <c r="H136" s="25" t="s">
        <v>669</v>
      </c>
      <c r="I136" s="25" t="s">
        <v>670</v>
      </c>
      <c r="J136" s="28"/>
      <c r="K136" s="25"/>
      <c r="L136" s="28"/>
    </row>
    <row r="137" spans="1:12" s="1" customFormat="1" ht="20.149999999999999" hidden="1" customHeight="1">
      <c r="A137" s="25" t="s">
        <v>387</v>
      </c>
      <c r="B137" s="70" t="s">
        <v>484</v>
      </c>
      <c r="C137" s="67" t="s">
        <v>466</v>
      </c>
      <c r="D137" s="68" t="s">
        <v>477</v>
      </c>
      <c r="E137" s="27" t="s">
        <v>572</v>
      </c>
      <c r="F137" s="28" t="s">
        <v>475</v>
      </c>
      <c r="G137" s="33">
        <v>46007</v>
      </c>
      <c r="H137" s="25" t="s">
        <v>669</v>
      </c>
      <c r="I137" s="25" t="s">
        <v>670</v>
      </c>
      <c r="J137" s="28"/>
      <c r="K137" s="25"/>
      <c r="L137" s="28"/>
    </row>
    <row r="138" spans="1:12" s="1" customFormat="1" ht="20.149999999999999" hidden="1" customHeight="1">
      <c r="A138" s="25" t="s">
        <v>387</v>
      </c>
      <c r="B138" s="70" t="s">
        <v>502</v>
      </c>
      <c r="C138" s="67" t="s">
        <v>466</v>
      </c>
      <c r="D138" s="68" t="s">
        <v>492</v>
      </c>
      <c r="E138" s="27" t="s">
        <v>572</v>
      </c>
      <c r="F138" s="28" t="s">
        <v>476</v>
      </c>
      <c r="G138" s="33">
        <v>46007</v>
      </c>
      <c r="H138" s="25" t="s">
        <v>669</v>
      </c>
      <c r="I138" s="25" t="s">
        <v>670</v>
      </c>
      <c r="J138" s="28"/>
      <c r="K138" s="25"/>
      <c r="L138" s="28"/>
    </row>
    <row r="139" spans="1:12" s="1" customFormat="1" ht="20.149999999999999" hidden="1" customHeight="1">
      <c r="A139" s="25" t="s">
        <v>387</v>
      </c>
      <c r="B139" s="70" t="s">
        <v>506</v>
      </c>
      <c r="C139" s="67" t="s">
        <v>466</v>
      </c>
      <c r="D139" s="68" t="s">
        <v>478</v>
      </c>
      <c r="E139" s="27" t="s">
        <v>572</v>
      </c>
      <c r="F139" s="28" t="s">
        <v>482</v>
      </c>
      <c r="G139" s="33">
        <v>46007</v>
      </c>
      <c r="H139" s="25" t="s">
        <v>669</v>
      </c>
      <c r="I139" s="25" t="s">
        <v>670</v>
      </c>
      <c r="J139" s="28"/>
      <c r="K139" s="25"/>
      <c r="L139" s="28"/>
    </row>
    <row r="140" spans="1:12" s="1" customFormat="1" ht="20.149999999999999" hidden="1" customHeight="1">
      <c r="A140" s="25" t="s">
        <v>387</v>
      </c>
      <c r="B140" s="70" t="s">
        <v>507</v>
      </c>
      <c r="C140" s="67" t="s">
        <v>466</v>
      </c>
      <c r="D140" s="68" t="s">
        <v>479</v>
      </c>
      <c r="E140" s="27" t="s">
        <v>572</v>
      </c>
      <c r="F140" s="28" t="s">
        <v>464</v>
      </c>
      <c r="G140" s="33">
        <v>46007</v>
      </c>
      <c r="H140" s="25" t="s">
        <v>669</v>
      </c>
      <c r="I140" s="25" t="s">
        <v>670</v>
      </c>
      <c r="J140" s="28"/>
      <c r="K140" s="25"/>
      <c r="L140" s="28"/>
    </row>
    <row r="141" spans="1:12" s="1" customFormat="1" ht="20.149999999999999" hidden="1" customHeight="1">
      <c r="A141" s="25" t="s">
        <v>387</v>
      </c>
      <c r="B141" s="70" t="s">
        <v>508</v>
      </c>
      <c r="C141" s="67" t="s">
        <v>466</v>
      </c>
      <c r="D141" s="68" t="s">
        <v>501</v>
      </c>
      <c r="E141" s="27" t="s">
        <v>572</v>
      </c>
      <c r="F141" s="28" t="s">
        <v>503</v>
      </c>
      <c r="G141" s="33">
        <v>46008</v>
      </c>
      <c r="H141" s="25" t="s">
        <v>669</v>
      </c>
      <c r="I141" s="25" t="s">
        <v>670</v>
      </c>
      <c r="J141" s="35"/>
      <c r="K141" s="25"/>
      <c r="L141" s="35"/>
    </row>
    <row r="142" spans="1:12" s="1" customFormat="1" ht="20.149999999999999" hidden="1" customHeight="1">
      <c r="A142" s="25" t="s">
        <v>387</v>
      </c>
      <c r="B142" s="70" t="s">
        <v>496</v>
      </c>
      <c r="C142" s="67" t="s">
        <v>466</v>
      </c>
      <c r="D142" s="68" t="s">
        <v>481</v>
      </c>
      <c r="E142" s="27" t="s">
        <v>572</v>
      </c>
      <c r="F142" s="28" t="s">
        <v>465</v>
      </c>
      <c r="G142" s="33">
        <v>46007</v>
      </c>
      <c r="H142" s="25" t="s">
        <v>669</v>
      </c>
      <c r="I142" s="25" t="s">
        <v>670</v>
      </c>
      <c r="J142" s="35"/>
      <c r="K142" s="25"/>
      <c r="L142" s="35"/>
    </row>
    <row r="143" spans="1:12" s="1" customFormat="1" ht="20.149999999999999" hidden="1" customHeight="1">
      <c r="A143" s="25" t="s">
        <v>387</v>
      </c>
      <c r="B143" s="70" t="s">
        <v>509</v>
      </c>
      <c r="C143" s="67" t="s">
        <v>483</v>
      </c>
      <c r="D143" s="73" t="s">
        <v>504</v>
      </c>
      <c r="E143" s="34" t="s">
        <v>141</v>
      </c>
      <c r="F143" s="28" t="s">
        <v>505</v>
      </c>
      <c r="G143" s="33">
        <v>46008</v>
      </c>
      <c r="H143" s="25" t="s">
        <v>669</v>
      </c>
      <c r="I143" s="25" t="s">
        <v>670</v>
      </c>
      <c r="J143" s="35"/>
      <c r="K143" s="25"/>
      <c r="L143" s="35"/>
    </row>
    <row r="144" spans="1:12" s="1" customFormat="1" ht="20.149999999999999" hidden="1" customHeight="1">
      <c r="A144" s="25" t="s">
        <v>387</v>
      </c>
      <c r="B144" s="70" t="s">
        <v>510</v>
      </c>
      <c r="C144" s="67" t="s">
        <v>485</v>
      </c>
      <c r="D144" s="68" t="s">
        <v>493</v>
      </c>
      <c r="E144" s="27" t="s">
        <v>572</v>
      </c>
      <c r="F144" s="28" t="s">
        <v>463</v>
      </c>
      <c r="G144" s="33">
        <v>46008</v>
      </c>
      <c r="H144" s="25" t="s">
        <v>669</v>
      </c>
      <c r="I144" s="25" t="s">
        <v>670</v>
      </c>
      <c r="J144" s="35"/>
      <c r="K144" s="25"/>
      <c r="L144" s="35"/>
    </row>
    <row r="145" spans="1:12" s="1" customFormat="1" ht="20.149999999999999" hidden="1" customHeight="1">
      <c r="A145" s="25" t="s">
        <v>387</v>
      </c>
      <c r="B145" s="70" t="s">
        <v>497</v>
      </c>
      <c r="C145" s="67" t="s">
        <v>485</v>
      </c>
      <c r="D145" s="68" t="s">
        <v>494</v>
      </c>
      <c r="E145" s="27" t="s">
        <v>572</v>
      </c>
      <c r="F145" s="28" t="s">
        <v>486</v>
      </c>
      <c r="G145" s="33">
        <v>46008</v>
      </c>
      <c r="H145" s="25" t="s">
        <v>669</v>
      </c>
      <c r="I145" s="25" t="s">
        <v>670</v>
      </c>
      <c r="J145" s="35"/>
      <c r="K145" s="25"/>
      <c r="L145" s="35"/>
    </row>
    <row r="146" spans="1:12" s="1" customFormat="1" ht="20.149999999999999" hidden="1" customHeight="1">
      <c r="A146" s="25" t="s">
        <v>387</v>
      </c>
      <c r="B146" s="70" t="s">
        <v>511</v>
      </c>
      <c r="C146" s="67" t="s">
        <v>487</v>
      </c>
      <c r="D146" s="68" t="s">
        <v>495</v>
      </c>
      <c r="E146" s="27" t="s">
        <v>572</v>
      </c>
      <c r="F146" s="28" t="s">
        <v>463</v>
      </c>
      <c r="G146" s="33">
        <v>46007</v>
      </c>
      <c r="H146" s="25" t="s">
        <v>669</v>
      </c>
      <c r="I146" s="25" t="s">
        <v>670</v>
      </c>
      <c r="J146" s="35"/>
      <c r="K146" s="25"/>
      <c r="L146" s="35"/>
    </row>
    <row r="147" spans="1:12" s="1" customFormat="1" ht="20.149999999999999" hidden="1" customHeight="1">
      <c r="A147" s="25" t="s">
        <v>387</v>
      </c>
      <c r="B147" s="25" t="s">
        <v>512</v>
      </c>
      <c r="C147" s="64" t="s">
        <v>524</v>
      </c>
      <c r="D147" s="26" t="s">
        <v>515</v>
      </c>
      <c r="E147" s="61" t="s">
        <v>263</v>
      </c>
      <c r="F147" s="28" t="s">
        <v>514</v>
      </c>
      <c r="G147" s="33">
        <v>46007</v>
      </c>
      <c r="H147" s="25" t="s">
        <v>671</v>
      </c>
      <c r="I147" s="25" t="s">
        <v>599</v>
      </c>
      <c r="J147" s="35"/>
      <c r="K147" s="25"/>
      <c r="L147" s="35"/>
    </row>
    <row r="148" spans="1:12" s="1" customFormat="1" ht="20.149999999999999" hidden="1" customHeight="1">
      <c r="A148" s="25" t="s">
        <v>387</v>
      </c>
      <c r="B148" s="25" t="s">
        <v>513</v>
      </c>
      <c r="C148" s="64" t="s">
        <v>131</v>
      </c>
      <c r="D148" s="26" t="s">
        <v>395</v>
      </c>
      <c r="E148" s="27" t="s">
        <v>572</v>
      </c>
      <c r="F148" s="28" t="s">
        <v>516</v>
      </c>
      <c r="G148" s="33">
        <v>46007</v>
      </c>
      <c r="H148" s="25" t="s">
        <v>671</v>
      </c>
      <c r="I148" s="25" t="s">
        <v>599</v>
      </c>
      <c r="J148" s="35"/>
      <c r="K148" s="25"/>
      <c r="L148" s="35"/>
    </row>
    <row r="149" spans="1:12" s="1" customFormat="1" ht="20.149999999999999" hidden="1" customHeight="1">
      <c r="A149" s="25" t="s">
        <v>387</v>
      </c>
      <c r="B149" s="25" t="s">
        <v>519</v>
      </c>
      <c r="C149" s="64" t="s">
        <v>131</v>
      </c>
      <c r="D149" s="26" t="s">
        <v>517</v>
      </c>
      <c r="E149" s="27" t="s">
        <v>572</v>
      </c>
      <c r="F149" s="28" t="s">
        <v>518</v>
      </c>
      <c r="G149" s="33">
        <v>46007</v>
      </c>
      <c r="H149" s="25" t="s">
        <v>671</v>
      </c>
      <c r="I149" s="25" t="s">
        <v>599</v>
      </c>
      <c r="J149" s="28"/>
      <c r="K149" s="25"/>
      <c r="L149" s="28"/>
    </row>
    <row r="150" spans="1:12" s="1" customFormat="1" ht="20.149999999999999" hidden="1" customHeight="1">
      <c r="A150" s="25" t="s">
        <v>387</v>
      </c>
      <c r="B150" s="25" t="s">
        <v>535</v>
      </c>
      <c r="C150" s="64" t="s">
        <v>131</v>
      </c>
      <c r="D150" s="26" t="s">
        <v>132</v>
      </c>
      <c r="E150" s="27" t="s">
        <v>572</v>
      </c>
      <c r="F150" s="28" t="s">
        <v>133</v>
      </c>
      <c r="G150" s="33">
        <v>46007</v>
      </c>
      <c r="H150" s="25" t="s">
        <v>671</v>
      </c>
      <c r="I150" s="25" t="s">
        <v>599</v>
      </c>
      <c r="J150" s="35"/>
      <c r="K150" s="25"/>
      <c r="L150" s="35"/>
    </row>
    <row r="151" spans="1:12" s="1" customFormat="1" ht="20.149999999999999" hidden="1" customHeight="1">
      <c r="A151" s="25" t="s">
        <v>387</v>
      </c>
      <c r="B151" s="25" t="s">
        <v>520</v>
      </c>
      <c r="C151" s="64" t="s">
        <v>131</v>
      </c>
      <c r="D151" s="26" t="s">
        <v>415</v>
      </c>
      <c r="E151" s="27" t="s">
        <v>572</v>
      </c>
      <c r="F151" s="28" t="s">
        <v>416</v>
      </c>
      <c r="G151" s="33">
        <v>46007</v>
      </c>
      <c r="H151" s="25" t="s">
        <v>671</v>
      </c>
      <c r="I151" s="25" t="s">
        <v>599</v>
      </c>
      <c r="J151" s="28"/>
      <c r="K151" s="25"/>
      <c r="L151" s="28"/>
    </row>
    <row r="152" spans="1:12" s="1" customFormat="1" ht="20.149999999999999" hidden="1" customHeight="1">
      <c r="A152" s="25" t="s">
        <v>387</v>
      </c>
      <c r="B152" s="25" t="s">
        <v>536</v>
      </c>
      <c r="C152" s="64" t="s">
        <v>391</v>
      </c>
      <c r="D152" s="26" t="s">
        <v>408</v>
      </c>
      <c r="E152" s="61" t="s">
        <v>263</v>
      </c>
      <c r="F152" s="28" t="s">
        <v>417</v>
      </c>
      <c r="G152" s="33">
        <v>46007</v>
      </c>
      <c r="H152" s="25" t="s">
        <v>671</v>
      </c>
      <c r="I152" s="25" t="s">
        <v>599</v>
      </c>
      <c r="J152" s="28"/>
      <c r="K152" s="25"/>
      <c r="L152" s="28"/>
    </row>
    <row r="153" spans="1:12" s="1" customFormat="1" ht="20.149999999999999" customHeight="1">
      <c r="A153" s="25" t="s">
        <v>387</v>
      </c>
      <c r="B153" s="25" t="s">
        <v>537</v>
      </c>
      <c r="C153" s="64" t="s">
        <v>525</v>
      </c>
      <c r="D153" s="65" t="s">
        <v>532</v>
      </c>
      <c r="E153" s="27" t="s">
        <v>572</v>
      </c>
      <c r="F153" s="28" t="s">
        <v>526</v>
      </c>
      <c r="G153" s="29">
        <v>46017</v>
      </c>
      <c r="H153" s="30" t="s">
        <v>968</v>
      </c>
      <c r="I153" s="30" t="s">
        <v>13</v>
      </c>
      <c r="J153" s="28" t="s">
        <v>673</v>
      </c>
      <c r="K153" s="25"/>
      <c r="L153" s="28"/>
    </row>
    <row r="154" spans="1:12" s="1" customFormat="1" ht="20.149999999999999" hidden="1" customHeight="1">
      <c r="A154" s="25" t="s">
        <v>387</v>
      </c>
      <c r="B154" s="25" t="s">
        <v>538</v>
      </c>
      <c r="C154" s="64" t="s">
        <v>525</v>
      </c>
      <c r="D154" s="65" t="s">
        <v>530</v>
      </c>
      <c r="E154" s="27" t="s">
        <v>572</v>
      </c>
      <c r="F154" s="28" t="s">
        <v>527</v>
      </c>
      <c r="G154" s="33">
        <v>46007</v>
      </c>
      <c r="H154" s="25" t="s">
        <v>671</v>
      </c>
      <c r="I154" s="25" t="s">
        <v>599</v>
      </c>
      <c r="J154" s="28"/>
      <c r="K154" s="25"/>
      <c r="L154" s="28"/>
    </row>
    <row r="155" spans="1:12" s="1" customFormat="1" ht="20.149999999999999" hidden="1" customHeight="1">
      <c r="A155" s="25" t="s">
        <v>387</v>
      </c>
      <c r="B155" s="25" t="s">
        <v>521</v>
      </c>
      <c r="C155" s="64" t="s">
        <v>525</v>
      </c>
      <c r="D155" s="65" t="s">
        <v>529</v>
      </c>
      <c r="E155" s="27" t="s">
        <v>572</v>
      </c>
      <c r="F155" s="28" t="s">
        <v>528</v>
      </c>
      <c r="G155" s="33">
        <v>46007</v>
      </c>
      <c r="H155" s="25" t="s">
        <v>671</v>
      </c>
      <c r="I155" s="25" t="s">
        <v>599</v>
      </c>
      <c r="J155" s="28"/>
      <c r="K155" s="25"/>
      <c r="L155" s="28"/>
    </row>
    <row r="156" spans="1:12" s="1" customFormat="1" ht="20.149999999999999" hidden="1" customHeight="1">
      <c r="A156" s="25" t="s">
        <v>387</v>
      </c>
      <c r="B156" s="25" t="s">
        <v>539</v>
      </c>
      <c r="C156" s="64" t="s">
        <v>525</v>
      </c>
      <c r="D156" s="65" t="s">
        <v>531</v>
      </c>
      <c r="E156" s="27" t="s">
        <v>572</v>
      </c>
      <c r="F156" s="28" t="s">
        <v>533</v>
      </c>
      <c r="G156" s="33">
        <v>46007</v>
      </c>
      <c r="H156" s="25" t="s">
        <v>671</v>
      </c>
      <c r="I156" s="25" t="s">
        <v>599</v>
      </c>
      <c r="J156" s="35"/>
      <c r="K156" s="25"/>
      <c r="L156" s="35"/>
    </row>
    <row r="157" spans="1:12" s="1" customFormat="1" ht="20.149999999999999" hidden="1" customHeight="1">
      <c r="A157" s="25" t="s">
        <v>387</v>
      </c>
      <c r="B157" s="25" t="s">
        <v>522</v>
      </c>
      <c r="C157" s="64" t="s">
        <v>525</v>
      </c>
      <c r="D157" s="65" t="s">
        <v>534</v>
      </c>
      <c r="E157" s="27" t="s">
        <v>572</v>
      </c>
      <c r="F157" s="28" t="s">
        <v>465</v>
      </c>
      <c r="G157" s="33">
        <v>46007</v>
      </c>
      <c r="H157" s="25" t="s">
        <v>671</v>
      </c>
      <c r="I157" s="25" t="s">
        <v>599</v>
      </c>
      <c r="J157" s="35"/>
      <c r="K157" s="25"/>
      <c r="L157" s="35"/>
    </row>
    <row r="158" spans="1:12" s="1" customFormat="1" ht="20.149999999999999" hidden="1" customHeight="1">
      <c r="A158" s="25" t="s">
        <v>387</v>
      </c>
      <c r="B158" s="30" t="s">
        <v>523</v>
      </c>
      <c r="C158" s="64" t="s">
        <v>483</v>
      </c>
      <c r="D158" s="62" t="s">
        <v>504</v>
      </c>
      <c r="E158" s="34" t="s">
        <v>141</v>
      </c>
      <c r="F158" s="28" t="s">
        <v>505</v>
      </c>
      <c r="G158" s="33">
        <v>46008</v>
      </c>
      <c r="H158" s="25" t="s">
        <v>669</v>
      </c>
      <c r="I158" s="25" t="s">
        <v>670</v>
      </c>
      <c r="J158" s="35"/>
      <c r="K158" s="25"/>
      <c r="L158" s="35"/>
    </row>
    <row r="159" spans="1:12" s="1" customFormat="1" ht="20.149999999999999" hidden="1" customHeight="1">
      <c r="A159" s="25" t="s">
        <v>387</v>
      </c>
      <c r="B159" s="25" t="s">
        <v>540</v>
      </c>
      <c r="C159" s="64" t="s">
        <v>485</v>
      </c>
      <c r="D159" s="65" t="s">
        <v>494</v>
      </c>
      <c r="E159" s="27" t="s">
        <v>572</v>
      </c>
      <c r="F159" s="28" t="s">
        <v>486</v>
      </c>
      <c r="G159" s="33">
        <v>46008</v>
      </c>
      <c r="H159" s="25" t="s">
        <v>669</v>
      </c>
      <c r="I159" s="25" t="s">
        <v>670</v>
      </c>
      <c r="J159" s="35"/>
      <c r="K159" s="25"/>
      <c r="L159" s="35"/>
    </row>
    <row r="160" spans="1:12" s="1" customFormat="1" ht="20.149999999999999" hidden="1" customHeight="1">
      <c r="A160" s="25" t="s">
        <v>387</v>
      </c>
      <c r="B160" s="30" t="s">
        <v>541</v>
      </c>
      <c r="C160" s="64" t="s">
        <v>487</v>
      </c>
      <c r="D160" s="65" t="s">
        <v>495</v>
      </c>
      <c r="E160" s="27" t="s">
        <v>572</v>
      </c>
      <c r="F160" s="28" t="s">
        <v>463</v>
      </c>
      <c r="G160" s="33">
        <v>46007</v>
      </c>
      <c r="H160" s="25" t="s">
        <v>671</v>
      </c>
      <c r="I160" s="25" t="s">
        <v>599</v>
      </c>
      <c r="J160" s="35"/>
      <c r="K160" s="25"/>
      <c r="L160" s="35"/>
    </row>
    <row r="161" spans="1:12" s="1" customFormat="1" ht="18.75" hidden="1" customHeight="1">
      <c r="A161" s="25" t="s">
        <v>387</v>
      </c>
      <c r="B161" s="66" t="s">
        <v>543</v>
      </c>
      <c r="C161" s="67" t="s">
        <v>131</v>
      </c>
      <c r="D161" s="71" t="s">
        <v>544</v>
      </c>
      <c r="E161" s="27" t="s">
        <v>572</v>
      </c>
      <c r="F161" s="28" t="s">
        <v>545</v>
      </c>
      <c r="G161" s="29">
        <v>46008</v>
      </c>
      <c r="H161" s="30" t="s">
        <v>666</v>
      </c>
      <c r="I161" s="30" t="s">
        <v>11</v>
      </c>
      <c r="J161" s="28"/>
      <c r="K161" s="25"/>
      <c r="L161" s="28"/>
    </row>
    <row r="162" spans="1:12" s="1" customFormat="1" ht="20.149999999999999" hidden="1" customHeight="1">
      <c r="A162" s="25" t="s">
        <v>387</v>
      </c>
      <c r="B162" s="66" t="s">
        <v>546</v>
      </c>
      <c r="C162" s="67" t="s">
        <v>542</v>
      </c>
      <c r="D162" s="71" t="s">
        <v>132</v>
      </c>
      <c r="E162" s="27" t="s">
        <v>572</v>
      </c>
      <c r="F162" s="28" t="s">
        <v>133</v>
      </c>
      <c r="G162" s="29">
        <v>46008</v>
      </c>
      <c r="H162" s="30" t="s">
        <v>666</v>
      </c>
      <c r="I162" s="30" t="s">
        <v>11</v>
      </c>
      <c r="J162" s="35"/>
      <c r="K162" s="25"/>
      <c r="L162" s="35"/>
    </row>
    <row r="163" spans="1:12" s="1" customFormat="1" ht="20.149999999999999" hidden="1" customHeight="1">
      <c r="A163" s="25" t="s">
        <v>387</v>
      </c>
      <c r="B163" s="66" t="s">
        <v>547</v>
      </c>
      <c r="C163" s="67" t="s">
        <v>131</v>
      </c>
      <c r="D163" s="71" t="s">
        <v>415</v>
      </c>
      <c r="E163" s="27" t="s">
        <v>572</v>
      </c>
      <c r="F163" s="28" t="s">
        <v>416</v>
      </c>
      <c r="G163" s="29">
        <v>46008</v>
      </c>
      <c r="H163" s="30" t="s">
        <v>666</v>
      </c>
      <c r="I163" s="30" t="s">
        <v>11</v>
      </c>
      <c r="J163" s="28"/>
      <c r="K163" s="25"/>
      <c r="L163" s="28"/>
    </row>
    <row r="164" spans="1:12" s="1" customFormat="1" ht="20.149999999999999" hidden="1" customHeight="1">
      <c r="A164" s="25" t="s">
        <v>387</v>
      </c>
      <c r="B164" s="66" t="s">
        <v>548</v>
      </c>
      <c r="C164" s="67" t="s">
        <v>391</v>
      </c>
      <c r="D164" s="71" t="s">
        <v>408</v>
      </c>
      <c r="E164" s="61" t="s">
        <v>263</v>
      </c>
      <c r="F164" s="28" t="s">
        <v>417</v>
      </c>
      <c r="G164" s="29">
        <v>46008</v>
      </c>
      <c r="H164" s="30" t="s">
        <v>666</v>
      </c>
      <c r="I164" s="30" t="s">
        <v>11</v>
      </c>
      <c r="J164" s="28"/>
      <c r="K164" s="25"/>
      <c r="L164" s="28"/>
    </row>
    <row r="165" spans="1:12" s="1" customFormat="1" ht="20.149999999999999" hidden="1" customHeight="1">
      <c r="A165" s="25" t="s">
        <v>387</v>
      </c>
      <c r="B165" s="66" t="s">
        <v>549</v>
      </c>
      <c r="C165" s="67" t="s">
        <v>134</v>
      </c>
      <c r="D165" s="74" t="s">
        <v>419</v>
      </c>
      <c r="E165" s="27" t="s">
        <v>572</v>
      </c>
      <c r="F165" s="28" t="s">
        <v>420</v>
      </c>
      <c r="G165" s="29">
        <v>46008</v>
      </c>
      <c r="H165" s="30" t="s">
        <v>666</v>
      </c>
      <c r="I165" s="30" t="s">
        <v>11</v>
      </c>
      <c r="J165" s="28"/>
      <c r="K165" s="25"/>
      <c r="L165" s="28"/>
    </row>
    <row r="166" spans="1:12" s="1" customFormat="1" ht="20.149999999999999" hidden="1" customHeight="1">
      <c r="A166" s="25" t="s">
        <v>387</v>
      </c>
      <c r="B166" s="66" t="s">
        <v>550</v>
      </c>
      <c r="C166" s="67" t="s">
        <v>421</v>
      </c>
      <c r="D166" s="74" t="s">
        <v>422</v>
      </c>
      <c r="E166" s="60" t="s">
        <v>423</v>
      </c>
      <c r="F166" s="28" t="s">
        <v>451</v>
      </c>
      <c r="G166" s="29">
        <v>46008</v>
      </c>
      <c r="H166" s="30" t="s">
        <v>666</v>
      </c>
      <c r="I166" s="30" t="s">
        <v>11</v>
      </c>
      <c r="J166" s="28"/>
      <c r="K166" s="25"/>
      <c r="L166" s="28"/>
    </row>
    <row r="167" spans="1:12" s="1" customFormat="1" ht="20.149999999999999" hidden="1" customHeight="1">
      <c r="A167" s="25" t="s">
        <v>387</v>
      </c>
      <c r="B167" s="66" t="s">
        <v>551</v>
      </c>
      <c r="C167" s="67" t="s">
        <v>421</v>
      </c>
      <c r="D167" s="74" t="s">
        <v>424</v>
      </c>
      <c r="E167" s="60" t="s">
        <v>425</v>
      </c>
      <c r="F167" s="28" t="s">
        <v>426</v>
      </c>
      <c r="G167" s="29">
        <v>46008</v>
      </c>
      <c r="H167" s="30" t="s">
        <v>666</v>
      </c>
      <c r="I167" s="30" t="s">
        <v>11</v>
      </c>
      <c r="J167" s="28"/>
      <c r="K167" s="25"/>
      <c r="L167" s="28"/>
    </row>
    <row r="168" spans="1:12" s="1" customFormat="1" ht="20.149999999999999" hidden="1" customHeight="1">
      <c r="A168" s="25" t="s">
        <v>387</v>
      </c>
      <c r="B168" s="66" t="s">
        <v>552</v>
      </c>
      <c r="C168" s="67" t="s">
        <v>427</v>
      </c>
      <c r="D168" s="74" t="s">
        <v>428</v>
      </c>
      <c r="E168" s="27" t="s">
        <v>572</v>
      </c>
      <c r="F168" s="28" t="s">
        <v>420</v>
      </c>
      <c r="G168" s="29">
        <v>46008</v>
      </c>
      <c r="H168" s="30" t="s">
        <v>666</v>
      </c>
      <c r="I168" s="30" t="s">
        <v>11</v>
      </c>
      <c r="J168" s="28"/>
      <c r="K168" s="25"/>
      <c r="L168" s="28"/>
    </row>
    <row r="169" spans="1:12" s="1" customFormat="1" ht="20.149999999999999" hidden="1" customHeight="1">
      <c r="A169" s="25" t="s">
        <v>387</v>
      </c>
      <c r="B169" s="66" t="s">
        <v>553</v>
      </c>
      <c r="C169" s="67" t="s">
        <v>134</v>
      </c>
      <c r="D169" s="74" t="s">
        <v>436</v>
      </c>
      <c r="E169" s="27" t="s">
        <v>572</v>
      </c>
      <c r="F169" s="28" t="s">
        <v>433</v>
      </c>
      <c r="G169" s="29">
        <v>46008</v>
      </c>
      <c r="H169" s="30" t="s">
        <v>666</v>
      </c>
      <c r="I169" s="30" t="s">
        <v>11</v>
      </c>
      <c r="J169" s="28"/>
      <c r="K169" s="25"/>
      <c r="L169" s="28"/>
    </row>
    <row r="170" spans="1:12" s="1" customFormat="1" ht="20.149999999999999" hidden="1" customHeight="1">
      <c r="A170" s="25" t="s">
        <v>387</v>
      </c>
      <c r="B170" s="66" t="s">
        <v>554</v>
      </c>
      <c r="C170" s="67" t="s">
        <v>134</v>
      </c>
      <c r="D170" s="74" t="s">
        <v>436</v>
      </c>
      <c r="E170" s="27" t="s">
        <v>572</v>
      </c>
      <c r="F170" s="28" t="s">
        <v>434</v>
      </c>
      <c r="G170" s="29">
        <v>46008</v>
      </c>
      <c r="H170" s="30" t="s">
        <v>666</v>
      </c>
      <c r="I170" s="30" t="s">
        <v>11</v>
      </c>
      <c r="J170" s="35"/>
      <c r="K170" s="25"/>
      <c r="L170" s="35"/>
    </row>
    <row r="171" spans="1:12" s="1" customFormat="1" ht="20.149999999999999" hidden="1" customHeight="1">
      <c r="A171" s="25" t="s">
        <v>387</v>
      </c>
      <c r="B171" s="66" t="s">
        <v>555</v>
      </c>
      <c r="C171" s="67" t="s">
        <v>134</v>
      </c>
      <c r="D171" s="74" t="s">
        <v>437</v>
      </c>
      <c r="E171" s="27" t="s">
        <v>572</v>
      </c>
      <c r="F171" s="28" t="s">
        <v>438</v>
      </c>
      <c r="G171" s="29">
        <v>46008</v>
      </c>
      <c r="H171" s="30" t="s">
        <v>666</v>
      </c>
      <c r="I171" s="30" t="s">
        <v>11</v>
      </c>
      <c r="J171" s="28"/>
      <c r="K171" s="25"/>
      <c r="L171" s="28"/>
    </row>
    <row r="172" spans="1:12" s="1" customFormat="1" ht="20.149999999999999" hidden="1" customHeight="1">
      <c r="A172" s="25" t="s">
        <v>387</v>
      </c>
      <c r="B172" s="66" t="s">
        <v>556</v>
      </c>
      <c r="C172" s="67" t="s">
        <v>134</v>
      </c>
      <c r="D172" s="74" t="s">
        <v>439</v>
      </c>
      <c r="E172" s="27" t="s">
        <v>572</v>
      </c>
      <c r="F172" s="28" t="s">
        <v>435</v>
      </c>
      <c r="G172" s="29">
        <v>46008</v>
      </c>
      <c r="H172" s="30" t="s">
        <v>666</v>
      </c>
      <c r="I172" s="30" t="s">
        <v>11</v>
      </c>
      <c r="J172" s="28"/>
      <c r="K172" s="25"/>
      <c r="L172" s="28"/>
    </row>
    <row r="173" spans="1:12" s="1" customFormat="1" ht="20.149999999999999" hidden="1" customHeight="1">
      <c r="A173" s="25" t="s">
        <v>387</v>
      </c>
      <c r="B173" s="66" t="s">
        <v>557</v>
      </c>
      <c r="C173" s="67" t="s">
        <v>42</v>
      </c>
      <c r="D173" s="74" t="s">
        <v>442</v>
      </c>
      <c r="E173" s="27" t="s">
        <v>572</v>
      </c>
      <c r="F173" s="28" t="s">
        <v>440</v>
      </c>
      <c r="G173" s="29">
        <v>46008</v>
      </c>
      <c r="H173" s="30" t="s">
        <v>666</v>
      </c>
      <c r="I173" s="30" t="s">
        <v>11</v>
      </c>
      <c r="J173" s="35"/>
      <c r="K173" s="25"/>
      <c r="L173" s="35"/>
    </row>
    <row r="174" spans="1:12" s="1" customFormat="1" ht="20.149999999999999" hidden="1" customHeight="1">
      <c r="A174" s="25" t="s">
        <v>387</v>
      </c>
      <c r="B174" s="66" t="s">
        <v>558</v>
      </c>
      <c r="C174" s="67" t="s">
        <v>134</v>
      </c>
      <c r="D174" s="74" t="s">
        <v>443</v>
      </c>
      <c r="E174" s="27" t="s">
        <v>572</v>
      </c>
      <c r="F174" s="28" t="s">
        <v>441</v>
      </c>
      <c r="G174" s="29">
        <v>46008</v>
      </c>
      <c r="H174" s="30" t="s">
        <v>666</v>
      </c>
      <c r="I174" s="30" t="s">
        <v>11</v>
      </c>
      <c r="J174" s="28"/>
      <c r="K174" s="25"/>
      <c r="L174" s="28"/>
    </row>
    <row r="175" spans="1:12" s="1" customFormat="1" ht="20.149999999999999" hidden="1" customHeight="1">
      <c r="A175" s="25" t="s">
        <v>387</v>
      </c>
      <c r="B175" s="66" t="s">
        <v>559</v>
      </c>
      <c r="C175" s="67" t="s">
        <v>135</v>
      </c>
      <c r="D175" s="74" t="s">
        <v>136</v>
      </c>
      <c r="E175" s="27" t="s">
        <v>572</v>
      </c>
      <c r="F175" s="28" t="s">
        <v>129</v>
      </c>
      <c r="G175" s="29">
        <v>46008</v>
      </c>
      <c r="H175" s="30" t="s">
        <v>666</v>
      </c>
      <c r="I175" s="30" t="s">
        <v>11</v>
      </c>
      <c r="J175" s="28"/>
      <c r="K175" s="25"/>
      <c r="L175" s="28"/>
    </row>
    <row r="176" spans="1:12" s="1" customFormat="1" ht="20.149999999999999" hidden="1" customHeight="1">
      <c r="A176" s="25" t="s">
        <v>387</v>
      </c>
      <c r="B176" s="66" t="s">
        <v>560</v>
      </c>
      <c r="C176" s="67" t="s">
        <v>135</v>
      </c>
      <c r="D176" s="74" t="s">
        <v>454</v>
      </c>
      <c r="E176" s="27" t="s">
        <v>572</v>
      </c>
      <c r="F176" s="28" t="s">
        <v>457</v>
      </c>
      <c r="G176" s="29">
        <v>46008</v>
      </c>
      <c r="H176" s="30" t="s">
        <v>666</v>
      </c>
      <c r="I176" s="30" t="s">
        <v>11</v>
      </c>
      <c r="J176" s="35"/>
      <c r="K176" s="25"/>
      <c r="L176" s="35"/>
    </row>
    <row r="177" spans="1:12" s="1" customFormat="1" ht="20.149999999999999" hidden="1" customHeight="1">
      <c r="A177" s="25" t="s">
        <v>387</v>
      </c>
      <c r="B177" s="66" t="s">
        <v>561</v>
      </c>
      <c r="C177" s="67" t="s">
        <v>135</v>
      </c>
      <c r="D177" s="74" t="s">
        <v>455</v>
      </c>
      <c r="E177" s="27" t="s">
        <v>572</v>
      </c>
      <c r="F177" s="28" t="s">
        <v>456</v>
      </c>
      <c r="G177" s="29">
        <v>46008</v>
      </c>
      <c r="H177" s="30" t="s">
        <v>666</v>
      </c>
      <c r="I177" s="30" t="s">
        <v>11</v>
      </c>
      <c r="J177" s="28"/>
      <c r="K177" s="25"/>
      <c r="L177" s="28"/>
    </row>
    <row r="178" spans="1:12" s="1" customFormat="1" ht="20.149999999999999" hidden="1" customHeight="1">
      <c r="A178" s="25" t="s">
        <v>387</v>
      </c>
      <c r="B178" s="66" t="s">
        <v>562</v>
      </c>
      <c r="C178" s="67" t="s">
        <v>452</v>
      </c>
      <c r="D178" s="74" t="s">
        <v>453</v>
      </c>
      <c r="E178" s="63" t="s">
        <v>573</v>
      </c>
      <c r="F178" s="28" t="s">
        <v>462</v>
      </c>
      <c r="G178" s="29">
        <v>46008</v>
      </c>
      <c r="H178" s="30" t="s">
        <v>666</v>
      </c>
      <c r="I178" s="30" t="s">
        <v>11</v>
      </c>
      <c r="J178" s="28"/>
      <c r="K178" s="25"/>
      <c r="L178" s="28"/>
    </row>
    <row r="179" spans="1:12" s="1" customFormat="1" ht="20.149999999999999" hidden="1" customHeight="1">
      <c r="A179" s="25" t="s">
        <v>387</v>
      </c>
      <c r="B179" s="66" t="s">
        <v>563</v>
      </c>
      <c r="C179" s="67" t="s">
        <v>473</v>
      </c>
      <c r="D179" s="74" t="s">
        <v>474</v>
      </c>
      <c r="E179" s="60" t="s">
        <v>425</v>
      </c>
      <c r="F179" s="28" t="s">
        <v>472</v>
      </c>
      <c r="G179" s="29">
        <v>46008</v>
      </c>
      <c r="H179" s="30" t="s">
        <v>666</v>
      </c>
      <c r="I179" s="30" t="s">
        <v>11</v>
      </c>
      <c r="J179" s="28"/>
      <c r="K179" s="25"/>
      <c r="L179" s="28"/>
    </row>
    <row r="180" spans="1:12" s="1" customFormat="1" ht="20.149999999999999" hidden="1" customHeight="1">
      <c r="A180" s="25" t="s">
        <v>387</v>
      </c>
      <c r="B180" s="66" t="s">
        <v>564</v>
      </c>
      <c r="C180" s="67" t="s">
        <v>466</v>
      </c>
      <c r="D180" s="68" t="s">
        <v>477</v>
      </c>
      <c r="E180" s="27" t="s">
        <v>572</v>
      </c>
      <c r="F180" s="28" t="s">
        <v>475</v>
      </c>
      <c r="G180" s="29">
        <v>46008</v>
      </c>
      <c r="H180" s="30" t="s">
        <v>666</v>
      </c>
      <c r="I180" s="30" t="s">
        <v>11</v>
      </c>
      <c r="J180" s="28"/>
      <c r="K180" s="25"/>
      <c r="L180" s="28"/>
    </row>
    <row r="181" spans="1:12" s="1" customFormat="1" ht="20.149999999999999" hidden="1" customHeight="1">
      <c r="A181" s="25" t="s">
        <v>387</v>
      </c>
      <c r="B181" s="66" t="s">
        <v>565</v>
      </c>
      <c r="C181" s="67" t="s">
        <v>466</v>
      </c>
      <c r="D181" s="68" t="s">
        <v>492</v>
      </c>
      <c r="E181" s="27" t="s">
        <v>572</v>
      </c>
      <c r="F181" s="28" t="s">
        <v>476</v>
      </c>
      <c r="G181" s="29">
        <v>46008</v>
      </c>
      <c r="H181" s="30" t="s">
        <v>666</v>
      </c>
      <c r="I181" s="30" t="s">
        <v>11</v>
      </c>
      <c r="J181" s="28"/>
      <c r="K181" s="25"/>
      <c r="L181" s="28"/>
    </row>
    <row r="182" spans="1:12" s="1" customFormat="1" ht="20.149999999999999" hidden="1" customHeight="1">
      <c r="A182" s="25" t="s">
        <v>387</v>
      </c>
      <c r="B182" s="66" t="s">
        <v>566</v>
      </c>
      <c r="C182" s="67" t="s">
        <v>466</v>
      </c>
      <c r="D182" s="68" t="s">
        <v>478</v>
      </c>
      <c r="E182" s="27" t="s">
        <v>572</v>
      </c>
      <c r="F182" s="28" t="s">
        <v>574</v>
      </c>
      <c r="G182" s="29">
        <v>46008</v>
      </c>
      <c r="H182" s="30" t="s">
        <v>666</v>
      </c>
      <c r="I182" s="30" t="s">
        <v>11</v>
      </c>
      <c r="J182" s="28"/>
      <c r="K182" s="25"/>
      <c r="L182" s="28"/>
    </row>
    <row r="183" spans="1:12" s="1" customFormat="1" ht="20.149999999999999" hidden="1" customHeight="1">
      <c r="A183" s="25" t="s">
        <v>387</v>
      </c>
      <c r="B183" s="66" t="s">
        <v>567</v>
      </c>
      <c r="C183" s="67" t="s">
        <v>466</v>
      </c>
      <c r="D183" s="68" t="s">
        <v>479</v>
      </c>
      <c r="E183" s="27" t="s">
        <v>572</v>
      </c>
      <c r="F183" s="28" t="s">
        <v>464</v>
      </c>
      <c r="G183" s="29">
        <v>46008</v>
      </c>
      <c r="H183" s="30" t="s">
        <v>666</v>
      </c>
      <c r="I183" s="30" t="s">
        <v>11</v>
      </c>
      <c r="J183" s="28"/>
      <c r="K183" s="25"/>
      <c r="L183" s="28"/>
    </row>
    <row r="184" spans="1:12" s="1" customFormat="1" ht="20.149999999999999" hidden="1" customHeight="1">
      <c r="A184" s="25" t="s">
        <v>387</v>
      </c>
      <c r="B184" s="66" t="s">
        <v>569</v>
      </c>
      <c r="C184" s="67" t="s">
        <v>485</v>
      </c>
      <c r="D184" s="68" t="s">
        <v>494</v>
      </c>
      <c r="E184" s="27" t="s">
        <v>572</v>
      </c>
      <c r="F184" s="28" t="s">
        <v>486</v>
      </c>
      <c r="G184" s="29">
        <v>46008</v>
      </c>
      <c r="H184" s="30" t="s">
        <v>666</v>
      </c>
      <c r="I184" s="30" t="s">
        <v>11</v>
      </c>
      <c r="J184" s="35"/>
      <c r="K184" s="25"/>
      <c r="L184" s="35"/>
    </row>
    <row r="185" spans="1:12" s="1" customFormat="1" ht="20.149999999999999" hidden="1" customHeight="1">
      <c r="A185" s="25" t="s">
        <v>387</v>
      </c>
      <c r="B185" s="66" t="s">
        <v>568</v>
      </c>
      <c r="C185" s="67" t="s">
        <v>487</v>
      </c>
      <c r="D185" s="68" t="s">
        <v>495</v>
      </c>
      <c r="E185" s="27" t="s">
        <v>572</v>
      </c>
      <c r="F185" s="28" t="s">
        <v>463</v>
      </c>
      <c r="G185" s="29">
        <v>46008</v>
      </c>
      <c r="H185" s="30" t="s">
        <v>666</v>
      </c>
      <c r="I185" s="30" t="s">
        <v>735</v>
      </c>
      <c r="J185" s="35"/>
      <c r="K185" s="25"/>
      <c r="L185" s="35"/>
    </row>
    <row r="186" spans="1:12" s="1" customFormat="1" ht="64">
      <c r="A186" s="82" t="s">
        <v>862</v>
      </c>
      <c r="B186" s="82" t="s">
        <v>863</v>
      </c>
      <c r="C186" s="82" t="s">
        <v>690</v>
      </c>
      <c r="D186" s="83" t="s">
        <v>864</v>
      </c>
      <c r="E186" s="85" t="s">
        <v>865</v>
      </c>
      <c r="F186" s="84" t="s">
        <v>866</v>
      </c>
      <c r="G186" s="33">
        <v>46014</v>
      </c>
      <c r="H186" s="25" t="s">
        <v>867</v>
      </c>
      <c r="I186" s="25" t="s">
        <v>868</v>
      </c>
      <c r="J186" s="35" t="s">
        <v>869</v>
      </c>
      <c r="K186" s="25"/>
      <c r="L186" s="28"/>
    </row>
    <row r="187" spans="1:12" s="1" customFormat="1" ht="21.75" customHeight="1">
      <c r="A187" s="82" t="s">
        <v>689</v>
      </c>
      <c r="B187" s="82" t="s">
        <v>796</v>
      </c>
      <c r="C187" s="82" t="s">
        <v>870</v>
      </c>
      <c r="D187" s="83" t="s">
        <v>871</v>
      </c>
      <c r="E187" s="85" t="s">
        <v>865</v>
      </c>
      <c r="F187" s="84" t="s">
        <v>872</v>
      </c>
      <c r="G187" s="33">
        <v>46014</v>
      </c>
      <c r="H187" s="25" t="s">
        <v>867</v>
      </c>
      <c r="I187" s="25" t="s">
        <v>873</v>
      </c>
      <c r="J187" s="28" t="s">
        <v>874</v>
      </c>
      <c r="K187" s="25"/>
      <c r="L187" s="28"/>
    </row>
    <row r="188" spans="1:12" s="1" customFormat="1" ht="32" hidden="1">
      <c r="A188" s="82" t="s">
        <v>862</v>
      </c>
      <c r="B188" s="82" t="s">
        <v>875</v>
      </c>
      <c r="C188" s="82" t="s">
        <v>876</v>
      </c>
      <c r="D188" s="83" t="s">
        <v>797</v>
      </c>
      <c r="E188" s="85" t="s">
        <v>877</v>
      </c>
      <c r="F188" s="84" t="s">
        <v>878</v>
      </c>
      <c r="G188" s="33">
        <v>46014</v>
      </c>
      <c r="H188" s="25" t="s">
        <v>879</v>
      </c>
      <c r="I188" s="30" t="s">
        <v>880</v>
      </c>
      <c r="J188" s="28" t="s">
        <v>881</v>
      </c>
      <c r="K188" s="25"/>
      <c r="L188" s="28"/>
    </row>
    <row r="189" spans="1:12" s="1" customFormat="1" ht="32" hidden="1">
      <c r="A189" s="82" t="s">
        <v>689</v>
      </c>
      <c r="B189" s="82" t="s">
        <v>798</v>
      </c>
      <c r="C189" s="82" t="s">
        <v>870</v>
      </c>
      <c r="D189" s="83" t="s">
        <v>799</v>
      </c>
      <c r="E189" s="85" t="s">
        <v>572</v>
      </c>
      <c r="F189" s="84" t="s">
        <v>800</v>
      </c>
      <c r="G189" s="33">
        <v>46014</v>
      </c>
      <c r="H189" s="25" t="s">
        <v>867</v>
      </c>
      <c r="I189" s="30" t="s">
        <v>882</v>
      </c>
      <c r="J189" s="35" t="s">
        <v>883</v>
      </c>
      <c r="K189" s="25"/>
      <c r="L189" s="28"/>
    </row>
    <row r="190" spans="1:12" s="1" customFormat="1" ht="32" hidden="1">
      <c r="A190" s="82" t="s">
        <v>689</v>
      </c>
      <c r="B190" s="82" t="s">
        <v>801</v>
      </c>
      <c r="C190" s="82" t="s">
        <v>690</v>
      </c>
      <c r="D190" s="83" t="s">
        <v>802</v>
      </c>
      <c r="E190" s="85" t="s">
        <v>572</v>
      </c>
      <c r="F190" s="84" t="s">
        <v>803</v>
      </c>
      <c r="G190" s="33">
        <v>46014</v>
      </c>
      <c r="H190" s="25" t="s">
        <v>867</v>
      </c>
      <c r="I190" s="30" t="s">
        <v>11</v>
      </c>
      <c r="J190" s="112" t="s">
        <v>884</v>
      </c>
      <c r="K190" s="25"/>
      <c r="L190" s="28"/>
    </row>
    <row r="191" spans="1:12" s="1" customFormat="1" ht="48" hidden="1">
      <c r="A191" s="82" t="s">
        <v>885</v>
      </c>
      <c r="B191" s="82" t="s">
        <v>804</v>
      </c>
      <c r="C191" s="82" t="s">
        <v>690</v>
      </c>
      <c r="D191" s="83" t="s">
        <v>805</v>
      </c>
      <c r="E191" s="85" t="s">
        <v>572</v>
      </c>
      <c r="F191" s="84" t="s">
        <v>886</v>
      </c>
      <c r="G191" s="33">
        <v>46014</v>
      </c>
      <c r="H191" s="25" t="s">
        <v>867</v>
      </c>
      <c r="I191" s="25" t="s">
        <v>880</v>
      </c>
      <c r="J191" s="35" t="s">
        <v>887</v>
      </c>
      <c r="K191" s="25"/>
      <c r="L191" s="28"/>
    </row>
    <row r="192" spans="1:12" s="1" customFormat="1" ht="21.75" customHeight="1">
      <c r="A192" s="82" t="s">
        <v>888</v>
      </c>
      <c r="B192" s="82" t="s">
        <v>806</v>
      </c>
      <c r="C192" s="82" t="s">
        <v>889</v>
      </c>
      <c r="D192" s="83" t="s">
        <v>890</v>
      </c>
      <c r="E192" s="85" t="s">
        <v>891</v>
      </c>
      <c r="F192" s="84" t="s">
        <v>892</v>
      </c>
      <c r="G192" s="33">
        <v>46014</v>
      </c>
      <c r="H192" s="25" t="s">
        <v>867</v>
      </c>
      <c r="I192" s="25" t="s">
        <v>873</v>
      </c>
      <c r="J192" s="28" t="s">
        <v>894</v>
      </c>
      <c r="K192" s="25"/>
      <c r="L192" s="28"/>
    </row>
    <row r="193" spans="1:12" s="1" customFormat="1" ht="32" hidden="1">
      <c r="A193" s="82" t="s">
        <v>885</v>
      </c>
      <c r="B193" s="82" t="s">
        <v>895</v>
      </c>
      <c r="C193" s="82" t="s">
        <v>807</v>
      </c>
      <c r="D193" s="83" t="s">
        <v>896</v>
      </c>
      <c r="E193" s="85" t="s">
        <v>572</v>
      </c>
      <c r="F193" s="84" t="s">
        <v>897</v>
      </c>
      <c r="G193" s="33">
        <v>46014</v>
      </c>
      <c r="H193" s="25" t="s">
        <v>867</v>
      </c>
      <c r="I193" s="25" t="s">
        <v>898</v>
      </c>
      <c r="J193" s="35" t="s">
        <v>899</v>
      </c>
      <c r="K193" s="25"/>
      <c r="L193" s="28"/>
    </row>
    <row r="194" spans="1:12" s="1" customFormat="1" ht="32">
      <c r="A194" s="82" t="s">
        <v>885</v>
      </c>
      <c r="B194" s="82" t="s">
        <v>808</v>
      </c>
      <c r="C194" s="82" t="s">
        <v>807</v>
      </c>
      <c r="D194" s="83" t="s">
        <v>809</v>
      </c>
      <c r="E194" s="85" t="s">
        <v>865</v>
      </c>
      <c r="F194" s="84" t="s">
        <v>900</v>
      </c>
      <c r="G194" s="33">
        <v>46014</v>
      </c>
      <c r="H194" s="25" t="s">
        <v>867</v>
      </c>
      <c r="I194" s="25" t="s">
        <v>893</v>
      </c>
      <c r="J194" s="28" t="s">
        <v>901</v>
      </c>
      <c r="K194" s="25"/>
      <c r="L194" s="28"/>
    </row>
    <row r="195" spans="1:12" s="1" customFormat="1" ht="20.149999999999999" hidden="1" customHeight="1">
      <c r="A195" s="82" t="s">
        <v>888</v>
      </c>
      <c r="B195" s="82" t="s">
        <v>902</v>
      </c>
      <c r="C195" s="85" t="s">
        <v>810</v>
      </c>
      <c r="D195" s="86" t="s">
        <v>691</v>
      </c>
      <c r="E195" s="85" t="s">
        <v>891</v>
      </c>
      <c r="F195" s="84" t="s">
        <v>811</v>
      </c>
      <c r="G195" s="33">
        <v>46014</v>
      </c>
      <c r="H195" s="25" t="s">
        <v>867</v>
      </c>
      <c r="I195" s="25" t="s">
        <v>11</v>
      </c>
      <c r="J195" s="35" t="s">
        <v>903</v>
      </c>
      <c r="K195" s="25"/>
      <c r="L195" s="28"/>
    </row>
    <row r="196" spans="1:12" s="1" customFormat="1" ht="41.25" customHeight="1">
      <c r="A196" s="82" t="s">
        <v>904</v>
      </c>
      <c r="B196" s="82" t="s">
        <v>692</v>
      </c>
      <c r="C196" s="85" t="s">
        <v>810</v>
      </c>
      <c r="D196" s="86" t="s">
        <v>693</v>
      </c>
      <c r="E196" s="85" t="s">
        <v>572</v>
      </c>
      <c r="F196" s="84" t="s">
        <v>905</v>
      </c>
      <c r="G196" s="33">
        <v>46014</v>
      </c>
      <c r="H196" s="25" t="s">
        <v>906</v>
      </c>
      <c r="I196" s="25" t="s">
        <v>672</v>
      </c>
      <c r="J196" s="35" t="s">
        <v>907</v>
      </c>
      <c r="K196" s="25"/>
      <c r="L196" s="28"/>
    </row>
    <row r="197" spans="1:12" s="1" customFormat="1" ht="20.149999999999999" hidden="1" customHeight="1">
      <c r="A197" s="82" t="s">
        <v>908</v>
      </c>
      <c r="B197" s="82" t="s">
        <v>694</v>
      </c>
      <c r="C197" s="85" t="s">
        <v>909</v>
      </c>
      <c r="D197" s="86" t="s">
        <v>910</v>
      </c>
      <c r="E197" s="85" t="s">
        <v>891</v>
      </c>
      <c r="F197" s="84" t="s">
        <v>695</v>
      </c>
      <c r="G197" s="33">
        <v>46014</v>
      </c>
      <c r="H197" s="25" t="s">
        <v>867</v>
      </c>
      <c r="I197" s="25" t="s">
        <v>11</v>
      </c>
      <c r="J197" s="28" t="s">
        <v>911</v>
      </c>
      <c r="K197" s="25"/>
      <c r="L197" s="28"/>
    </row>
    <row r="198" spans="1:12" s="1" customFormat="1" ht="20.149999999999999" hidden="1" customHeight="1">
      <c r="A198" s="82" t="s">
        <v>904</v>
      </c>
      <c r="B198" s="82" t="s">
        <v>696</v>
      </c>
      <c r="C198" s="85" t="s">
        <v>912</v>
      </c>
      <c r="D198" s="86" t="s">
        <v>813</v>
      </c>
      <c r="E198" s="85" t="s">
        <v>877</v>
      </c>
      <c r="F198" s="84" t="s">
        <v>814</v>
      </c>
      <c r="G198" s="33">
        <v>46014</v>
      </c>
      <c r="H198" s="25" t="s">
        <v>879</v>
      </c>
      <c r="I198" s="25" t="s">
        <v>11</v>
      </c>
      <c r="J198" s="28" t="s">
        <v>913</v>
      </c>
      <c r="K198" s="25"/>
      <c r="L198" s="28"/>
    </row>
    <row r="199" spans="1:12" s="1" customFormat="1" ht="20.149999999999999" customHeight="1">
      <c r="A199" s="82" t="s">
        <v>689</v>
      </c>
      <c r="B199" s="82" t="s">
        <v>697</v>
      </c>
      <c r="C199" s="85" t="s">
        <v>812</v>
      </c>
      <c r="D199" s="86" t="s">
        <v>914</v>
      </c>
      <c r="E199" s="85" t="s">
        <v>915</v>
      </c>
      <c r="F199" s="84" t="s">
        <v>815</v>
      </c>
      <c r="G199" s="33">
        <v>46014</v>
      </c>
      <c r="H199" s="25" t="s">
        <v>867</v>
      </c>
      <c r="I199" s="25" t="s">
        <v>893</v>
      </c>
      <c r="J199" s="28" t="s">
        <v>916</v>
      </c>
      <c r="K199" s="25"/>
      <c r="L199" s="28"/>
    </row>
    <row r="200" spans="1:12" s="1" customFormat="1" ht="20.149999999999999" hidden="1" customHeight="1">
      <c r="A200" s="82" t="s">
        <v>862</v>
      </c>
      <c r="B200" s="82" t="s">
        <v>816</v>
      </c>
      <c r="C200" s="82" t="s">
        <v>917</v>
      </c>
      <c r="D200" s="86" t="s">
        <v>918</v>
      </c>
      <c r="E200" s="85" t="s">
        <v>877</v>
      </c>
      <c r="F200" s="87" t="s">
        <v>919</v>
      </c>
      <c r="G200" s="33">
        <v>46014</v>
      </c>
      <c r="H200" s="25" t="s">
        <v>867</v>
      </c>
      <c r="I200" s="25" t="s">
        <v>11</v>
      </c>
      <c r="J200" s="35" t="s">
        <v>920</v>
      </c>
      <c r="K200" s="25"/>
      <c r="L200" s="28"/>
    </row>
    <row r="201" spans="1:12" s="1" customFormat="1" ht="20.149999999999999" customHeight="1">
      <c r="A201" s="82" t="s">
        <v>689</v>
      </c>
      <c r="B201" s="82" t="s">
        <v>818</v>
      </c>
      <c r="C201" s="82" t="s">
        <v>817</v>
      </c>
      <c r="D201" s="86" t="s">
        <v>921</v>
      </c>
      <c r="E201" s="85" t="s">
        <v>572</v>
      </c>
      <c r="F201" s="87" t="s">
        <v>819</v>
      </c>
      <c r="G201" s="33">
        <v>46014</v>
      </c>
      <c r="H201" s="25" t="s">
        <v>867</v>
      </c>
      <c r="I201" s="25" t="s">
        <v>893</v>
      </c>
      <c r="J201" s="28" t="s">
        <v>922</v>
      </c>
      <c r="K201" s="25"/>
      <c r="L201" s="28"/>
    </row>
    <row r="202" spans="1:12" s="1" customFormat="1" ht="20.149999999999999" hidden="1" customHeight="1">
      <c r="A202" s="82" t="s">
        <v>689</v>
      </c>
      <c r="B202" s="82" t="s">
        <v>820</v>
      </c>
      <c r="C202" s="82" t="s">
        <v>698</v>
      </c>
      <c r="D202" s="84" t="s">
        <v>923</v>
      </c>
      <c r="E202" s="85" t="s">
        <v>572</v>
      </c>
      <c r="F202" s="86" t="s">
        <v>821</v>
      </c>
      <c r="G202" s="33">
        <v>46014</v>
      </c>
      <c r="H202" s="25" t="s">
        <v>924</v>
      </c>
      <c r="I202" s="25" t="s">
        <v>898</v>
      </c>
      <c r="J202" s="28" t="s">
        <v>925</v>
      </c>
      <c r="K202" s="25"/>
      <c r="L202" s="28"/>
    </row>
    <row r="203" spans="1:12" s="1" customFormat="1" ht="20.149999999999999" hidden="1" customHeight="1">
      <c r="A203" s="82" t="s">
        <v>689</v>
      </c>
      <c r="B203" s="82" t="s">
        <v>822</v>
      </c>
      <c r="C203" s="82" t="s">
        <v>926</v>
      </c>
      <c r="D203" s="84" t="s">
        <v>823</v>
      </c>
      <c r="E203" s="85" t="s">
        <v>572</v>
      </c>
      <c r="F203" s="86" t="s">
        <v>927</v>
      </c>
      <c r="G203" s="33">
        <v>46014</v>
      </c>
      <c r="H203" s="25" t="s">
        <v>928</v>
      </c>
      <c r="I203" s="25" t="s">
        <v>929</v>
      </c>
      <c r="J203" s="28" t="s">
        <v>930</v>
      </c>
      <c r="K203" s="25"/>
      <c r="L203" s="28"/>
    </row>
    <row r="204" spans="1:12" s="1" customFormat="1" ht="43.5" hidden="1" customHeight="1">
      <c r="A204" s="82" t="s">
        <v>888</v>
      </c>
      <c r="B204" s="82" t="s">
        <v>931</v>
      </c>
      <c r="C204" s="82" t="s">
        <v>932</v>
      </c>
      <c r="D204" s="84" t="s">
        <v>933</v>
      </c>
      <c r="E204" s="85" t="s">
        <v>572</v>
      </c>
      <c r="F204" s="86" t="s">
        <v>934</v>
      </c>
      <c r="G204" s="33">
        <v>46014</v>
      </c>
      <c r="H204" s="25" t="s">
        <v>928</v>
      </c>
      <c r="I204" s="25" t="s">
        <v>11</v>
      </c>
      <c r="J204" s="35" t="s">
        <v>952</v>
      </c>
      <c r="K204" s="25"/>
      <c r="L204" s="28"/>
    </row>
    <row r="205" spans="1:12" s="1" customFormat="1" ht="48">
      <c r="A205" s="82" t="s">
        <v>888</v>
      </c>
      <c r="B205" s="82" t="s">
        <v>824</v>
      </c>
      <c r="C205" s="82" t="s">
        <v>935</v>
      </c>
      <c r="D205" s="84" t="s">
        <v>825</v>
      </c>
      <c r="E205" s="85" t="s">
        <v>891</v>
      </c>
      <c r="F205" s="86" t="s">
        <v>936</v>
      </c>
      <c r="G205" s="33">
        <v>46014</v>
      </c>
      <c r="H205" s="25" t="s">
        <v>906</v>
      </c>
      <c r="I205" s="25" t="s">
        <v>937</v>
      </c>
      <c r="J205" s="35" t="s">
        <v>938</v>
      </c>
      <c r="K205" s="25"/>
      <c r="L205" s="28"/>
    </row>
    <row r="206" spans="1:12" s="1" customFormat="1" ht="176" hidden="1">
      <c r="A206" s="82" t="s">
        <v>904</v>
      </c>
      <c r="B206" s="82" t="s">
        <v>939</v>
      </c>
      <c r="C206" s="82" t="s">
        <v>826</v>
      </c>
      <c r="D206" s="83" t="s">
        <v>940</v>
      </c>
      <c r="E206" s="85" t="s">
        <v>572</v>
      </c>
      <c r="F206" s="104" t="s">
        <v>941</v>
      </c>
      <c r="G206" s="33">
        <v>46014</v>
      </c>
      <c r="H206" s="25" t="s">
        <v>924</v>
      </c>
      <c r="I206" s="25" t="s">
        <v>898</v>
      </c>
      <c r="J206" s="113" t="s">
        <v>942</v>
      </c>
      <c r="K206" s="25"/>
      <c r="L206" s="28"/>
    </row>
    <row r="207" spans="1:12" s="1" customFormat="1" ht="32" hidden="1">
      <c r="A207" s="82" t="s">
        <v>689</v>
      </c>
      <c r="B207" s="82" t="s">
        <v>700</v>
      </c>
      <c r="C207" s="82" t="s">
        <v>943</v>
      </c>
      <c r="D207" s="83" t="s">
        <v>699</v>
      </c>
      <c r="E207" s="85" t="s">
        <v>572</v>
      </c>
      <c r="F207" s="84" t="s">
        <v>827</v>
      </c>
      <c r="G207" s="33">
        <v>46014</v>
      </c>
      <c r="H207" s="25" t="s">
        <v>924</v>
      </c>
      <c r="I207" s="25" t="s">
        <v>11</v>
      </c>
      <c r="J207" s="113" t="s">
        <v>944</v>
      </c>
      <c r="K207" s="25"/>
      <c r="L207" s="25"/>
    </row>
    <row r="208" spans="1:12" s="1" customFormat="1" ht="64">
      <c r="A208" s="82" t="s">
        <v>904</v>
      </c>
      <c r="B208" s="82" t="s">
        <v>701</v>
      </c>
      <c r="C208" s="82" t="s">
        <v>945</v>
      </c>
      <c r="D208" s="86" t="s">
        <v>828</v>
      </c>
      <c r="E208" s="85" t="s">
        <v>891</v>
      </c>
      <c r="F208" s="84" t="s">
        <v>946</v>
      </c>
      <c r="G208" s="33">
        <v>46014</v>
      </c>
      <c r="H208" s="25" t="s">
        <v>867</v>
      </c>
      <c r="I208" s="25" t="s">
        <v>672</v>
      </c>
      <c r="J208" s="113" t="s">
        <v>947</v>
      </c>
      <c r="K208" s="25"/>
      <c r="L208" s="25"/>
    </row>
    <row r="209" spans="1:12" s="1" customFormat="1" ht="24.75" customHeight="1">
      <c r="A209" s="82" t="s">
        <v>904</v>
      </c>
      <c r="B209" s="82" t="s">
        <v>829</v>
      </c>
      <c r="C209" s="82" t="s">
        <v>945</v>
      </c>
      <c r="D209" s="86" t="s">
        <v>948</v>
      </c>
      <c r="E209" s="85" t="s">
        <v>891</v>
      </c>
      <c r="F209" s="84" t="s">
        <v>949</v>
      </c>
      <c r="G209" s="33">
        <v>46014</v>
      </c>
      <c r="H209" s="25" t="s">
        <v>867</v>
      </c>
      <c r="I209" s="25" t="s">
        <v>950</v>
      </c>
      <c r="J209" s="26" t="s">
        <v>951</v>
      </c>
      <c r="K209" s="25"/>
      <c r="L209" s="25"/>
    </row>
    <row r="210" spans="1:12" s="1" customFormat="1" ht="20.149999999999999" hidden="1" customHeight="1">
      <c r="A210" s="144" t="s">
        <v>571</v>
      </c>
      <c r="B210" s="144"/>
      <c r="C210" s="144"/>
      <c r="D210" s="144"/>
      <c r="E210" s="144"/>
      <c r="F210" s="36">
        <f>COUNTA(F3:F209)</f>
        <v>207</v>
      </c>
      <c r="G210" s="36">
        <f>COUNTA(G3:G209)</f>
        <v>207</v>
      </c>
      <c r="H210" s="36">
        <f>COUNTA(H3:H209)</f>
        <v>207</v>
      </c>
      <c r="I210" s="36">
        <f>COUNTA(I3:I209)</f>
        <v>207</v>
      </c>
      <c r="J210" s="36">
        <f>COUNTA(J3:J209)</f>
        <v>34</v>
      </c>
      <c r="K210" s="36">
        <f>COUNTA(K3:K185)</f>
        <v>2</v>
      </c>
      <c r="L210" s="36">
        <f>COUNTA(L3:L185)</f>
        <v>1</v>
      </c>
    </row>
    <row r="214" spans="1:12">
      <c r="H214" s="53" t="s">
        <v>52</v>
      </c>
      <c r="I214" s="53" t="s">
        <v>53</v>
      </c>
    </row>
    <row r="215" spans="1:12">
      <c r="H215" s="55" t="s">
        <v>736</v>
      </c>
      <c r="I215" s="55">
        <f>COUNTIF(I3:I209, H215)</f>
        <v>197</v>
      </c>
    </row>
    <row r="216" spans="1:12">
      <c r="H216" s="95" t="s">
        <v>140</v>
      </c>
      <c r="I216" s="55">
        <f>COUNTIF( I3:I209, H216)</f>
        <v>4</v>
      </c>
    </row>
    <row r="217" spans="1:12">
      <c r="H217" s="95" t="s">
        <v>732</v>
      </c>
      <c r="I217" s="55">
        <f>COUNTIF( I3:I209, H217)</f>
        <v>0</v>
      </c>
    </row>
    <row r="218" spans="1:12">
      <c r="H218" s="57" t="s">
        <v>55</v>
      </c>
      <c r="I218" s="53">
        <f>SUM(I215:I217)</f>
        <v>201</v>
      </c>
    </row>
  </sheetData>
  <autoFilter ref="A2:L210" xr:uid="{00000000-0009-0000-0000-000003000000}">
    <filterColumn colId="8">
      <filters>
        <filter val="△"/>
        <filter val="N/A"/>
        <filter val="X"/>
      </filters>
    </filterColumn>
  </autoFilter>
  <mergeCells count="2">
    <mergeCell ref="A1:D1"/>
    <mergeCell ref="A210:E210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87"/>
  <sheetViews>
    <sheetView tabSelected="1" zoomScale="85" zoomScaleNormal="85" workbookViewId="0">
      <selection activeCell="J13" sqref="J13"/>
    </sheetView>
  </sheetViews>
  <sheetFormatPr defaultColWidth="12.58203125" defaultRowHeight="15" customHeight="1"/>
  <cols>
    <col min="1" max="1" width="7.5" style="39" customWidth="1"/>
    <col min="2" max="2" width="12" style="39" customWidth="1"/>
    <col min="3" max="3" width="12.58203125" style="39" customWidth="1"/>
    <col min="4" max="4" width="15" style="39" customWidth="1"/>
    <col min="5" max="5" width="19.58203125" style="39" bestFit="1" customWidth="1"/>
    <col min="6" max="6" width="86.83203125" style="39" bestFit="1" customWidth="1"/>
    <col min="7" max="7" width="12.5" style="119" customWidth="1"/>
    <col min="8" max="9" width="10.33203125" style="119" customWidth="1"/>
    <col min="10" max="10" width="40" style="39" bestFit="1" customWidth="1"/>
    <col min="11" max="11" width="32.58203125" style="39" bestFit="1" customWidth="1"/>
    <col min="12" max="16384" width="12.58203125" style="39"/>
  </cols>
  <sheetData>
    <row r="1" spans="1:11" ht="51" customHeight="1">
      <c r="A1" s="136" t="s">
        <v>745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</row>
    <row r="2" spans="1:11" ht="48.75" customHeight="1">
      <c r="A2" s="37" t="s">
        <v>746</v>
      </c>
      <c r="B2" s="37" t="s">
        <v>747</v>
      </c>
      <c r="C2" s="38" t="s">
        <v>748</v>
      </c>
      <c r="D2" s="37" t="s">
        <v>43</v>
      </c>
      <c r="E2" s="37" t="s">
        <v>749</v>
      </c>
      <c r="F2" s="37" t="s">
        <v>750</v>
      </c>
      <c r="G2" s="37" t="s">
        <v>44</v>
      </c>
      <c r="H2" s="37" t="s">
        <v>45</v>
      </c>
      <c r="I2" s="37" t="s">
        <v>751</v>
      </c>
      <c r="J2" s="37" t="s">
        <v>46</v>
      </c>
      <c r="K2" s="37" t="s">
        <v>47</v>
      </c>
    </row>
    <row r="3" spans="1:11" s="79" customFormat="1" ht="39" customHeight="1">
      <c r="A3" s="40">
        <f>ROW()-ROW($A$2)</f>
        <v>1</v>
      </c>
      <c r="B3" s="78">
        <v>46007</v>
      </c>
      <c r="C3" s="42" t="s">
        <v>752</v>
      </c>
      <c r="D3" s="44" t="s">
        <v>677</v>
      </c>
      <c r="E3" s="43" t="s">
        <v>753</v>
      </c>
      <c r="F3" s="78" t="s">
        <v>830</v>
      </c>
      <c r="G3" s="43">
        <v>46013</v>
      </c>
      <c r="H3" s="40" t="s">
        <v>762</v>
      </c>
      <c r="I3" s="40">
        <v>0</v>
      </c>
      <c r="J3" s="42"/>
      <c r="K3" s="44"/>
    </row>
    <row r="4" spans="1:11" s="79" customFormat="1" ht="40.5" customHeight="1">
      <c r="A4" s="40">
        <f t="shared" ref="A4:A34" si="0">ROW()-ROW($A$2)</f>
        <v>2</v>
      </c>
      <c r="B4" s="78">
        <v>46007</v>
      </c>
      <c r="C4" s="42" t="s">
        <v>752</v>
      </c>
      <c r="D4" s="44" t="s">
        <v>679</v>
      </c>
      <c r="E4" s="43" t="s">
        <v>834</v>
      </c>
      <c r="F4" s="78" t="s">
        <v>755</v>
      </c>
      <c r="G4" s="43">
        <v>46008</v>
      </c>
      <c r="H4" s="40" t="s">
        <v>756</v>
      </c>
      <c r="I4" s="40">
        <v>0</v>
      </c>
      <c r="J4" s="42"/>
      <c r="K4" s="44"/>
    </row>
    <row r="5" spans="1:11" s="79" customFormat="1" ht="64">
      <c r="A5" s="40">
        <f t="shared" si="0"/>
        <v>3</v>
      </c>
      <c r="B5" s="78">
        <v>46007</v>
      </c>
      <c r="C5" s="42" t="s">
        <v>757</v>
      </c>
      <c r="D5" s="44" t="s">
        <v>680</v>
      </c>
      <c r="E5" s="43" t="s">
        <v>758</v>
      </c>
      <c r="F5" s="78" t="s">
        <v>759</v>
      </c>
      <c r="G5" s="43">
        <v>46010</v>
      </c>
      <c r="H5" s="40" t="s">
        <v>761</v>
      </c>
      <c r="I5" s="40">
        <v>2</v>
      </c>
      <c r="J5" s="42"/>
      <c r="K5" s="44"/>
    </row>
    <row r="6" spans="1:11" s="79" customFormat="1" ht="47.25" customHeight="1">
      <c r="A6" s="40">
        <f t="shared" si="0"/>
        <v>4</v>
      </c>
      <c r="B6" s="78">
        <v>46007</v>
      </c>
      <c r="C6" s="42" t="s">
        <v>760</v>
      </c>
      <c r="D6" s="44" t="s">
        <v>680</v>
      </c>
      <c r="E6" s="43" t="s">
        <v>753</v>
      </c>
      <c r="F6" s="78" t="s">
        <v>681</v>
      </c>
      <c r="G6" s="43">
        <v>46008</v>
      </c>
      <c r="H6" s="40" t="s">
        <v>839</v>
      </c>
      <c r="I6" s="40">
        <v>0</v>
      </c>
      <c r="J6" s="42"/>
      <c r="K6" s="44"/>
    </row>
    <row r="7" spans="1:11" s="79" customFormat="1" ht="32.25" customHeight="1">
      <c r="A7" s="40">
        <f t="shared" si="0"/>
        <v>5</v>
      </c>
      <c r="B7" s="78">
        <v>46007</v>
      </c>
      <c r="C7" s="42" t="s">
        <v>757</v>
      </c>
      <c r="D7" s="44" t="s">
        <v>682</v>
      </c>
      <c r="E7" s="43" t="s">
        <v>753</v>
      </c>
      <c r="F7" s="78" t="s">
        <v>683</v>
      </c>
      <c r="G7" s="43">
        <v>46008</v>
      </c>
      <c r="H7" s="40" t="s">
        <v>762</v>
      </c>
      <c r="I7" s="40">
        <v>0</v>
      </c>
      <c r="J7" s="42"/>
      <c r="K7" s="44"/>
    </row>
    <row r="8" spans="1:11" s="79" customFormat="1" ht="32.25" customHeight="1">
      <c r="A8" s="40">
        <f t="shared" si="0"/>
        <v>6</v>
      </c>
      <c r="B8" s="78">
        <v>46007</v>
      </c>
      <c r="C8" s="42" t="s">
        <v>760</v>
      </c>
      <c r="D8" s="44" t="s">
        <v>680</v>
      </c>
      <c r="E8" s="55" t="s">
        <v>49</v>
      </c>
      <c r="F8" s="78" t="s">
        <v>763</v>
      </c>
      <c r="G8" s="43">
        <v>46008</v>
      </c>
      <c r="H8" s="40" t="s">
        <v>840</v>
      </c>
      <c r="I8" s="40">
        <v>0</v>
      </c>
      <c r="J8" s="42"/>
      <c r="K8" s="44"/>
    </row>
    <row r="9" spans="1:11" s="79" customFormat="1" ht="96">
      <c r="A9" s="40">
        <f t="shared" si="0"/>
        <v>7</v>
      </c>
      <c r="B9" s="78">
        <v>46007</v>
      </c>
      <c r="C9" s="42" t="s">
        <v>760</v>
      </c>
      <c r="D9" s="80" t="s">
        <v>764</v>
      </c>
      <c r="E9" s="114" t="s">
        <v>765</v>
      </c>
      <c r="F9" s="78" t="s">
        <v>766</v>
      </c>
      <c r="G9" s="43">
        <v>46009</v>
      </c>
      <c r="H9" s="40" t="s">
        <v>762</v>
      </c>
      <c r="I9" s="40">
        <v>0</v>
      </c>
      <c r="J9" s="43" t="s">
        <v>767</v>
      </c>
      <c r="K9" s="43"/>
    </row>
    <row r="10" spans="1:11" s="79" customFormat="1" ht="27" customHeight="1">
      <c r="A10" s="40">
        <f t="shared" si="0"/>
        <v>8</v>
      </c>
      <c r="B10" s="78">
        <v>46007</v>
      </c>
      <c r="C10" s="42" t="s">
        <v>752</v>
      </c>
      <c r="D10" s="80" t="s">
        <v>48</v>
      </c>
      <c r="E10" s="43" t="s">
        <v>753</v>
      </c>
      <c r="F10" s="78" t="s">
        <v>684</v>
      </c>
      <c r="G10" s="43">
        <v>46008</v>
      </c>
      <c r="H10" s="40" t="s">
        <v>841</v>
      </c>
      <c r="I10" s="40">
        <v>0</v>
      </c>
      <c r="J10" s="43"/>
      <c r="K10" s="43"/>
    </row>
    <row r="11" spans="1:11" s="79" customFormat="1" ht="27" customHeight="1">
      <c r="A11" s="40">
        <f t="shared" si="0"/>
        <v>9</v>
      </c>
      <c r="B11" s="78">
        <v>46007</v>
      </c>
      <c r="C11" s="42" t="s">
        <v>757</v>
      </c>
      <c r="D11" s="80" t="s">
        <v>685</v>
      </c>
      <c r="E11" s="43" t="s">
        <v>758</v>
      </c>
      <c r="F11" s="78" t="s">
        <v>768</v>
      </c>
      <c r="G11" s="43">
        <v>46009</v>
      </c>
      <c r="H11" s="40" t="s">
        <v>772</v>
      </c>
      <c r="I11" s="40">
        <v>0</v>
      </c>
      <c r="J11" s="43"/>
      <c r="K11" s="43"/>
    </row>
    <row r="12" spans="1:11" s="79" customFormat="1" ht="36.75" customHeight="1">
      <c r="A12" s="40">
        <f t="shared" si="0"/>
        <v>10</v>
      </c>
      <c r="B12" s="78">
        <v>46007</v>
      </c>
      <c r="C12" s="42" t="s">
        <v>769</v>
      </c>
      <c r="D12" s="81" t="s">
        <v>686</v>
      </c>
      <c r="E12" s="43" t="s">
        <v>754</v>
      </c>
      <c r="F12" s="78" t="s">
        <v>835</v>
      </c>
      <c r="G12" s="43">
        <v>46007</v>
      </c>
      <c r="H12" s="40" t="s">
        <v>743</v>
      </c>
      <c r="I12" s="40">
        <v>0</v>
      </c>
      <c r="J12" s="42" t="s">
        <v>770</v>
      </c>
      <c r="K12" s="44"/>
    </row>
    <row r="13" spans="1:11" s="79" customFormat="1" ht="48">
      <c r="A13" s="40">
        <f t="shared" si="0"/>
        <v>11</v>
      </c>
      <c r="B13" s="78">
        <v>46007</v>
      </c>
      <c r="C13" s="42" t="s">
        <v>760</v>
      </c>
      <c r="D13" s="81" t="s">
        <v>682</v>
      </c>
      <c r="E13" s="43" t="s">
        <v>753</v>
      </c>
      <c r="F13" s="78" t="s">
        <v>771</v>
      </c>
      <c r="G13" s="43">
        <v>46008</v>
      </c>
      <c r="H13" s="40" t="s">
        <v>842</v>
      </c>
      <c r="I13" s="40">
        <v>0</v>
      </c>
      <c r="J13" s="42"/>
      <c r="K13" s="44"/>
    </row>
    <row r="14" spans="1:11" s="79" customFormat="1" ht="30" customHeight="1">
      <c r="A14" s="40">
        <f t="shared" si="0"/>
        <v>12</v>
      </c>
      <c r="B14" s="78">
        <v>46007</v>
      </c>
      <c r="C14" s="42" t="s">
        <v>772</v>
      </c>
      <c r="D14" s="81" t="s">
        <v>687</v>
      </c>
      <c r="E14" s="43" t="s">
        <v>754</v>
      </c>
      <c r="F14" s="78" t="s">
        <v>773</v>
      </c>
      <c r="G14" s="43">
        <v>46008</v>
      </c>
      <c r="H14" s="40" t="s">
        <v>743</v>
      </c>
      <c r="I14" s="40">
        <v>0</v>
      </c>
      <c r="J14" s="42" t="s">
        <v>774</v>
      </c>
      <c r="K14" s="44"/>
    </row>
    <row r="15" spans="1:11" s="79" customFormat="1" ht="33" customHeight="1">
      <c r="A15" s="40">
        <f t="shared" si="0"/>
        <v>13</v>
      </c>
      <c r="B15" s="78">
        <v>46007</v>
      </c>
      <c r="C15" s="42" t="s">
        <v>769</v>
      </c>
      <c r="D15" s="81" t="s">
        <v>686</v>
      </c>
      <c r="E15" s="43" t="s">
        <v>754</v>
      </c>
      <c r="F15" s="78" t="s">
        <v>775</v>
      </c>
      <c r="G15" s="43">
        <v>46009</v>
      </c>
      <c r="H15" s="40" t="s">
        <v>844</v>
      </c>
      <c r="I15" s="40">
        <v>0</v>
      </c>
      <c r="J15" s="42"/>
      <c r="K15" s="44"/>
    </row>
    <row r="16" spans="1:11" s="79" customFormat="1" ht="54.75" customHeight="1">
      <c r="A16" s="40">
        <f t="shared" si="0"/>
        <v>14</v>
      </c>
      <c r="B16" s="78">
        <v>46007</v>
      </c>
      <c r="C16" s="42" t="s">
        <v>752</v>
      </c>
      <c r="D16" s="81" t="s">
        <v>688</v>
      </c>
      <c r="E16" s="101" t="s">
        <v>758</v>
      </c>
      <c r="F16" s="115" t="s">
        <v>776</v>
      </c>
      <c r="G16" s="40"/>
      <c r="H16" s="40"/>
      <c r="I16" s="40">
        <v>2</v>
      </c>
      <c r="J16" s="42"/>
      <c r="K16" s="116" t="s">
        <v>845</v>
      </c>
    </row>
    <row r="17" spans="1:11" s="79" customFormat="1" ht="32.25" customHeight="1">
      <c r="A17" s="40">
        <f t="shared" si="0"/>
        <v>15</v>
      </c>
      <c r="B17" s="78">
        <v>46007</v>
      </c>
      <c r="C17" s="42" t="s">
        <v>772</v>
      </c>
      <c r="D17" s="81" t="s">
        <v>777</v>
      </c>
      <c r="E17" s="43" t="s">
        <v>754</v>
      </c>
      <c r="F17" s="78" t="s">
        <v>778</v>
      </c>
      <c r="G17" s="41">
        <v>46007</v>
      </c>
      <c r="H17" s="40" t="s">
        <v>756</v>
      </c>
      <c r="I17" s="40">
        <v>0</v>
      </c>
      <c r="J17" s="42"/>
      <c r="K17" s="44"/>
    </row>
    <row r="18" spans="1:11" s="79" customFormat="1" ht="48">
      <c r="A18" s="40">
        <f t="shared" si="0"/>
        <v>16</v>
      </c>
      <c r="B18" s="78">
        <v>46007</v>
      </c>
      <c r="C18" s="42" t="s">
        <v>769</v>
      </c>
      <c r="D18" s="81" t="s">
        <v>779</v>
      </c>
      <c r="E18" s="43" t="s">
        <v>754</v>
      </c>
      <c r="F18" s="78" t="s">
        <v>780</v>
      </c>
      <c r="G18" s="43">
        <v>46008</v>
      </c>
      <c r="H18" s="40" t="s">
        <v>839</v>
      </c>
      <c r="I18" s="40">
        <v>0</v>
      </c>
      <c r="J18" s="42"/>
      <c r="K18" s="44"/>
    </row>
    <row r="19" spans="1:11" s="79" customFormat="1" ht="33.75" customHeight="1">
      <c r="A19" s="40">
        <f t="shared" si="0"/>
        <v>17</v>
      </c>
      <c r="B19" s="78">
        <v>46008</v>
      </c>
      <c r="C19" s="42" t="s">
        <v>752</v>
      </c>
      <c r="D19" s="81" t="s">
        <v>781</v>
      </c>
      <c r="E19" s="43" t="s">
        <v>753</v>
      </c>
      <c r="F19" s="78" t="s">
        <v>782</v>
      </c>
      <c r="G19" s="43">
        <v>46008</v>
      </c>
      <c r="H19" s="40" t="s">
        <v>839</v>
      </c>
      <c r="I19" s="40">
        <v>2</v>
      </c>
      <c r="J19" s="42"/>
      <c r="K19" s="44"/>
    </row>
    <row r="20" spans="1:11" s="79" customFormat="1" ht="32.25" customHeight="1">
      <c r="A20" s="40">
        <f t="shared" si="0"/>
        <v>18</v>
      </c>
      <c r="B20" s="78">
        <v>46008</v>
      </c>
      <c r="C20" s="42" t="s">
        <v>769</v>
      </c>
      <c r="D20" s="81" t="s">
        <v>783</v>
      </c>
      <c r="E20" s="43" t="s">
        <v>754</v>
      </c>
      <c r="F20" s="78" t="s">
        <v>784</v>
      </c>
      <c r="G20" s="43">
        <v>46008</v>
      </c>
      <c r="H20" s="40" t="s">
        <v>841</v>
      </c>
      <c r="I20" s="40"/>
      <c r="J20" s="42"/>
      <c r="K20" s="44"/>
    </row>
    <row r="21" spans="1:11" s="79" customFormat="1" ht="48.75" customHeight="1">
      <c r="A21" s="40">
        <f t="shared" si="0"/>
        <v>19</v>
      </c>
      <c r="B21" s="78">
        <v>46008</v>
      </c>
      <c r="C21" s="42" t="s">
        <v>760</v>
      </c>
      <c r="D21" s="81" t="s">
        <v>785</v>
      </c>
      <c r="E21" s="101" t="s">
        <v>765</v>
      </c>
      <c r="F21" s="117" t="s">
        <v>786</v>
      </c>
      <c r="G21" s="40"/>
      <c r="H21" s="40"/>
      <c r="I21" s="40"/>
      <c r="J21" s="42"/>
      <c r="K21" s="116" t="s">
        <v>957</v>
      </c>
    </row>
    <row r="22" spans="1:11" s="79" customFormat="1" ht="48.75" customHeight="1">
      <c r="A22" s="40">
        <f t="shared" si="0"/>
        <v>20</v>
      </c>
      <c r="B22" s="78">
        <v>46008</v>
      </c>
      <c r="C22" s="42" t="s">
        <v>787</v>
      </c>
      <c r="D22" s="81" t="s">
        <v>783</v>
      </c>
      <c r="E22" s="43" t="s">
        <v>753</v>
      </c>
      <c r="F22" s="107" t="s">
        <v>788</v>
      </c>
      <c r="G22" s="43">
        <v>46013</v>
      </c>
      <c r="H22" s="40" t="s">
        <v>841</v>
      </c>
      <c r="I22" s="40"/>
      <c r="J22" s="42"/>
      <c r="K22" s="44"/>
    </row>
    <row r="23" spans="1:11" s="79" customFormat="1" ht="48.75" customHeight="1">
      <c r="A23" s="40">
        <f t="shared" si="0"/>
        <v>21</v>
      </c>
      <c r="B23" s="78">
        <v>46008</v>
      </c>
      <c r="C23" s="42" t="s">
        <v>787</v>
      </c>
      <c r="D23" s="81" t="s">
        <v>789</v>
      </c>
      <c r="E23" s="105" t="s">
        <v>754</v>
      </c>
      <c r="F23" s="108" t="s">
        <v>744</v>
      </c>
      <c r="G23" s="106">
        <v>46009</v>
      </c>
      <c r="H23" s="40" t="s">
        <v>843</v>
      </c>
      <c r="I23" s="40"/>
      <c r="J23" s="42"/>
      <c r="K23" s="44"/>
    </row>
    <row r="24" spans="1:11" s="79" customFormat="1" ht="48.75" customHeight="1">
      <c r="A24" s="40">
        <f t="shared" si="0"/>
        <v>22</v>
      </c>
      <c r="B24" s="78">
        <v>46014</v>
      </c>
      <c r="C24" s="42" t="s">
        <v>846</v>
      </c>
      <c r="D24" s="109" t="s">
        <v>847</v>
      </c>
      <c r="E24" s="105" t="s">
        <v>753</v>
      </c>
      <c r="F24" s="110" t="s">
        <v>967</v>
      </c>
      <c r="G24" s="106"/>
      <c r="H24" s="40"/>
      <c r="I24" s="40">
        <v>3</v>
      </c>
      <c r="J24" s="42"/>
      <c r="K24" s="42" t="s">
        <v>958</v>
      </c>
    </row>
    <row r="25" spans="1:11" s="79" customFormat="1" ht="48.75" customHeight="1">
      <c r="A25" s="40">
        <f t="shared" si="0"/>
        <v>23</v>
      </c>
      <c r="B25" s="78">
        <v>46014</v>
      </c>
      <c r="C25" s="42" t="s">
        <v>848</v>
      </c>
      <c r="D25" s="109" t="s">
        <v>849</v>
      </c>
      <c r="E25" s="105" t="s">
        <v>754</v>
      </c>
      <c r="F25" s="111" t="s">
        <v>850</v>
      </c>
      <c r="G25" s="106">
        <v>46015</v>
      </c>
      <c r="H25" s="40" t="s">
        <v>966</v>
      </c>
      <c r="I25" s="40">
        <v>0</v>
      </c>
      <c r="J25" s="42"/>
      <c r="K25" s="44"/>
    </row>
    <row r="26" spans="1:11" s="79" customFormat="1" ht="48.75" customHeight="1">
      <c r="A26" s="40">
        <f t="shared" si="0"/>
        <v>24</v>
      </c>
      <c r="B26" s="78">
        <v>46014</v>
      </c>
      <c r="C26" s="42" t="s">
        <v>760</v>
      </c>
      <c r="D26" s="109" t="s">
        <v>636</v>
      </c>
      <c r="E26" s="105" t="s">
        <v>753</v>
      </c>
      <c r="F26" s="110" t="s">
        <v>851</v>
      </c>
      <c r="G26" s="106">
        <v>46014</v>
      </c>
      <c r="H26" s="40" t="s">
        <v>852</v>
      </c>
      <c r="I26" s="40">
        <v>0</v>
      </c>
      <c r="J26" s="42"/>
      <c r="K26" s="44"/>
    </row>
    <row r="27" spans="1:11" s="79" customFormat="1" ht="48.75" customHeight="1">
      <c r="A27" s="40">
        <f t="shared" si="0"/>
        <v>25</v>
      </c>
      <c r="B27" s="78">
        <v>46014</v>
      </c>
      <c r="C27" s="42" t="s">
        <v>853</v>
      </c>
      <c r="D27" s="109" t="s">
        <v>854</v>
      </c>
      <c r="E27" s="105" t="s">
        <v>753</v>
      </c>
      <c r="F27" s="111" t="s">
        <v>855</v>
      </c>
      <c r="G27" s="106"/>
      <c r="H27" s="40"/>
      <c r="I27" s="40">
        <v>3</v>
      </c>
      <c r="J27" s="42"/>
      <c r="K27" s="44"/>
    </row>
    <row r="28" spans="1:11" s="79" customFormat="1" ht="48.75" customHeight="1">
      <c r="A28" s="40">
        <f t="shared" si="0"/>
        <v>26</v>
      </c>
      <c r="B28" s="78">
        <v>46014</v>
      </c>
      <c r="C28" s="42" t="s">
        <v>689</v>
      </c>
      <c r="D28" s="109" t="s">
        <v>856</v>
      </c>
      <c r="E28" s="105" t="s">
        <v>49</v>
      </c>
      <c r="F28" s="111" t="s">
        <v>857</v>
      </c>
      <c r="G28" s="106"/>
      <c r="H28" s="40"/>
      <c r="I28" s="40">
        <v>3</v>
      </c>
      <c r="J28" s="42"/>
      <c r="K28" s="44"/>
    </row>
    <row r="29" spans="1:11" s="79" customFormat="1" ht="48.75" customHeight="1">
      <c r="A29" s="40">
        <f t="shared" si="0"/>
        <v>27</v>
      </c>
      <c r="B29" s="78">
        <v>46014</v>
      </c>
      <c r="C29" s="42" t="s">
        <v>689</v>
      </c>
      <c r="D29" s="109" t="s">
        <v>586</v>
      </c>
      <c r="E29" s="105" t="s">
        <v>753</v>
      </c>
      <c r="F29" s="111" t="s">
        <v>858</v>
      </c>
      <c r="G29" s="106"/>
      <c r="H29" s="40"/>
      <c r="I29" s="40">
        <v>3</v>
      </c>
      <c r="J29" s="42"/>
      <c r="K29" s="42" t="s">
        <v>960</v>
      </c>
    </row>
    <row r="30" spans="1:11" s="79" customFormat="1" ht="48.75" customHeight="1">
      <c r="A30" s="40">
        <f t="shared" si="0"/>
        <v>28</v>
      </c>
      <c r="B30" s="78">
        <v>46014</v>
      </c>
      <c r="C30" s="42" t="s">
        <v>689</v>
      </c>
      <c r="D30" s="109" t="s">
        <v>646</v>
      </c>
      <c r="E30" s="105" t="s">
        <v>49</v>
      </c>
      <c r="F30" s="110" t="s">
        <v>859</v>
      </c>
      <c r="G30" s="106"/>
      <c r="H30" s="40"/>
      <c r="I30" s="40"/>
      <c r="J30" s="42"/>
      <c r="K30" s="42" t="s">
        <v>960</v>
      </c>
    </row>
    <row r="31" spans="1:11" s="79" customFormat="1" ht="66" customHeight="1">
      <c r="A31" s="40">
        <f t="shared" si="0"/>
        <v>29</v>
      </c>
      <c r="B31" s="78">
        <v>46014</v>
      </c>
      <c r="C31" s="42" t="s">
        <v>860</v>
      </c>
      <c r="D31" s="109" t="s">
        <v>9</v>
      </c>
      <c r="E31" s="105" t="s">
        <v>861</v>
      </c>
      <c r="F31" s="110" t="s">
        <v>959</v>
      </c>
      <c r="G31" s="106"/>
      <c r="H31" s="40"/>
      <c r="I31" s="40"/>
      <c r="J31" s="42"/>
      <c r="K31" s="42" t="s">
        <v>960</v>
      </c>
    </row>
    <row r="32" spans="1:11" s="79" customFormat="1" ht="48.75" customHeight="1">
      <c r="A32" s="40">
        <f t="shared" si="0"/>
        <v>30</v>
      </c>
      <c r="B32" s="78">
        <v>46015</v>
      </c>
      <c r="C32" s="42" t="s">
        <v>964</v>
      </c>
      <c r="D32" s="81" t="s">
        <v>77</v>
      </c>
      <c r="E32" s="105" t="s">
        <v>963</v>
      </c>
      <c r="F32" s="118" t="s">
        <v>965</v>
      </c>
      <c r="G32" s="106">
        <v>46015</v>
      </c>
      <c r="H32" s="40" t="s">
        <v>974</v>
      </c>
      <c r="I32" s="40">
        <v>0</v>
      </c>
      <c r="J32" s="42"/>
      <c r="K32" s="44"/>
    </row>
    <row r="33" spans="1:11" s="79" customFormat="1" ht="48.75" customHeight="1">
      <c r="A33" s="40">
        <f t="shared" si="0"/>
        <v>31</v>
      </c>
      <c r="B33" s="78">
        <v>46017</v>
      </c>
      <c r="C33" s="42" t="s">
        <v>970</v>
      </c>
      <c r="D33" s="81" t="s">
        <v>971</v>
      </c>
      <c r="E33" s="105" t="s">
        <v>972</v>
      </c>
      <c r="F33" s="118" t="s">
        <v>973</v>
      </c>
      <c r="G33" s="106"/>
      <c r="H33" s="40"/>
      <c r="I33" s="40"/>
      <c r="J33" s="42"/>
      <c r="K33" s="44"/>
    </row>
    <row r="34" spans="1:11" s="79" customFormat="1" ht="48.75" customHeight="1">
      <c r="A34" s="40">
        <f t="shared" si="0"/>
        <v>32</v>
      </c>
      <c r="B34" s="78">
        <v>46017</v>
      </c>
      <c r="C34" s="42" t="s">
        <v>975</v>
      </c>
      <c r="D34" s="81" t="s">
        <v>12</v>
      </c>
      <c r="E34" s="105" t="s">
        <v>758</v>
      </c>
      <c r="F34" s="118" t="s">
        <v>976</v>
      </c>
      <c r="G34" s="106">
        <v>46017</v>
      </c>
      <c r="H34" s="40" t="s">
        <v>977</v>
      </c>
      <c r="I34" s="40"/>
      <c r="J34" s="42"/>
      <c r="K34" s="44"/>
    </row>
    <row r="35" spans="1:11" ht="20.149999999999999" customHeight="1">
      <c r="A35" s="129" t="s">
        <v>790</v>
      </c>
      <c r="B35" s="130"/>
      <c r="C35" s="130"/>
      <c r="D35" s="145"/>
      <c r="E35" s="45">
        <f>COUNTA(E3:E32)</f>
        <v>30</v>
      </c>
      <c r="F35" s="45">
        <f>COUNTA(F3:F32)</f>
        <v>30</v>
      </c>
      <c r="G35" s="45">
        <f>COUNTA(G3:G32)</f>
        <v>22</v>
      </c>
      <c r="H35" s="45">
        <f>COUNTA(H3:H32)</f>
        <v>22</v>
      </c>
      <c r="I35" s="45">
        <f>COUNTA(I3:I32)</f>
        <v>24</v>
      </c>
      <c r="J35" s="46">
        <f>G35/F35</f>
        <v>0.73333333333333328</v>
      </c>
      <c r="K35" s="47"/>
    </row>
    <row r="36" spans="1:11" ht="20.149999999999999" customHeight="1">
      <c r="A36" s="48"/>
      <c r="B36" s="49"/>
      <c r="C36" s="48"/>
      <c r="D36" s="50"/>
      <c r="E36" s="51"/>
      <c r="F36" s="50"/>
      <c r="G36" s="51"/>
      <c r="H36" s="49"/>
      <c r="I36" s="49"/>
      <c r="J36" s="50"/>
      <c r="K36" s="48"/>
    </row>
    <row r="37" spans="1:11" ht="20.149999999999999" customHeight="1">
      <c r="A37" s="48"/>
      <c r="B37" s="49"/>
      <c r="C37" s="48"/>
      <c r="D37" s="50"/>
      <c r="E37" s="51"/>
      <c r="F37" s="50"/>
      <c r="G37" s="51"/>
      <c r="H37" s="49"/>
      <c r="I37" s="49"/>
      <c r="J37" s="50"/>
      <c r="K37" s="48"/>
    </row>
    <row r="38" spans="1:11" ht="20.149999999999999" customHeight="1">
      <c r="A38" s="48"/>
      <c r="B38" s="49"/>
      <c r="C38" s="48"/>
      <c r="D38" s="50"/>
      <c r="F38" s="50"/>
      <c r="G38" s="53" t="s">
        <v>52</v>
      </c>
      <c r="H38" s="53" t="s">
        <v>53</v>
      </c>
      <c r="I38" s="53" t="s">
        <v>54</v>
      </c>
      <c r="J38" s="54" t="s">
        <v>791</v>
      </c>
      <c r="K38" s="48"/>
    </row>
    <row r="39" spans="1:11" ht="20.149999999999999" customHeight="1">
      <c r="A39" s="48"/>
      <c r="B39" s="49"/>
      <c r="C39" s="48"/>
      <c r="D39" s="50"/>
      <c r="F39" s="50"/>
      <c r="G39" s="55" t="s">
        <v>50</v>
      </c>
      <c r="H39" s="55">
        <f>COUNTIF(E$3:E$35, G39)</f>
        <v>8</v>
      </c>
      <c r="I39" s="55">
        <f>COUNTIFS(E$3:E$115, G39, G$3:G$115, "&lt;&gt;")</f>
        <v>8</v>
      </c>
      <c r="J39" s="56">
        <f>IFERROR(I39/H39, 0)</f>
        <v>1</v>
      </c>
      <c r="K39" s="48"/>
    </row>
    <row r="40" spans="1:11" ht="20.149999999999999" customHeight="1">
      <c r="A40" s="48"/>
      <c r="B40" s="49"/>
      <c r="C40" s="48"/>
      <c r="D40" s="50"/>
      <c r="F40" s="50"/>
      <c r="G40" s="95" t="s">
        <v>961</v>
      </c>
      <c r="H40" s="55">
        <f>COUNTIF(E$3:E$35, G40)</f>
        <v>9</v>
      </c>
      <c r="I40" s="55">
        <f>COUNTIFS(E$3:E$115, G40, G$3:G$115, "&lt;&gt;")</f>
        <v>5</v>
      </c>
      <c r="J40" s="56">
        <f t="shared" ref="J40:J42" si="1">IFERROR(I40/H40, 0)</f>
        <v>0.55555555555555558</v>
      </c>
      <c r="K40" s="48"/>
    </row>
    <row r="41" spans="1:11" ht="20.149999999999999" customHeight="1">
      <c r="A41" s="48"/>
      <c r="B41" s="49"/>
      <c r="C41" s="48"/>
      <c r="D41" s="50"/>
      <c r="F41" s="50"/>
      <c r="G41" s="55" t="s">
        <v>51</v>
      </c>
      <c r="H41" s="55">
        <f>COUNTIF(E$3:E$35, G41)</f>
        <v>13</v>
      </c>
      <c r="I41" s="55">
        <f>COUNTIFS(E$3:E$115, G41, G$3:G$115, "&lt;&gt;")</f>
        <v>9</v>
      </c>
      <c r="J41" s="56">
        <f t="shared" si="1"/>
        <v>0.69230769230769229</v>
      </c>
      <c r="K41" s="48"/>
    </row>
    <row r="42" spans="1:11" ht="20.149999999999999" customHeight="1">
      <c r="A42" s="48"/>
      <c r="B42" s="49"/>
      <c r="C42" s="48"/>
      <c r="D42" s="50"/>
      <c r="F42" s="50"/>
      <c r="G42" s="95" t="s">
        <v>765</v>
      </c>
      <c r="H42" s="55">
        <f>COUNTIF(E$3:E$35, G42)</f>
        <v>2</v>
      </c>
      <c r="I42" s="55">
        <f>COUNTIFS(E$3:E$115, G42, G$3:G$115, "&lt;&gt;")</f>
        <v>1</v>
      </c>
      <c r="J42" s="56">
        <f t="shared" si="1"/>
        <v>0.5</v>
      </c>
      <c r="K42" s="48"/>
    </row>
    <row r="43" spans="1:11" ht="20.149999999999999" customHeight="1">
      <c r="A43" s="48"/>
      <c r="B43" s="49"/>
      <c r="C43" s="48"/>
      <c r="D43" s="50"/>
      <c r="E43" s="51"/>
      <c r="F43" s="50"/>
      <c r="G43" s="57" t="s">
        <v>55</v>
      </c>
      <c r="H43" s="53">
        <f>SUM(H39:H42)</f>
        <v>32</v>
      </c>
      <c r="I43" s="57">
        <f>SUM(I39:I42)</f>
        <v>23</v>
      </c>
      <c r="J43" s="58">
        <f>I43/H43</f>
        <v>0.71875</v>
      </c>
      <c r="K43" s="48"/>
    </row>
    <row r="44" spans="1:11" ht="20.149999999999999" customHeight="1">
      <c r="B44" s="52"/>
    </row>
    <row r="45" spans="1:11" ht="20.149999999999999" customHeight="1">
      <c r="B45" s="52"/>
    </row>
    <row r="46" spans="1:11" ht="16">
      <c r="B46" s="52"/>
    </row>
    <row r="47" spans="1:11" ht="16">
      <c r="B47" s="52"/>
    </row>
    <row r="48" spans="1:11" ht="16">
      <c r="B48" s="52"/>
    </row>
    <row r="49" spans="2:2" ht="16">
      <c r="B49" s="52"/>
    </row>
    <row r="50" spans="2:2" ht="16">
      <c r="B50" s="52"/>
    </row>
    <row r="51" spans="2:2" ht="16">
      <c r="B51" s="52"/>
    </row>
    <row r="52" spans="2:2" ht="16">
      <c r="B52" s="52"/>
    </row>
    <row r="53" spans="2:2" ht="16">
      <c r="B53" s="52"/>
    </row>
    <row r="54" spans="2:2" ht="16">
      <c r="B54" s="52"/>
    </row>
    <row r="55" spans="2:2" ht="16">
      <c r="B55" s="52"/>
    </row>
    <row r="56" spans="2:2" ht="16">
      <c r="B56" s="52"/>
    </row>
    <row r="57" spans="2:2" ht="16">
      <c r="B57" s="52"/>
    </row>
    <row r="58" spans="2:2" ht="16">
      <c r="B58" s="52"/>
    </row>
    <row r="59" spans="2:2" ht="16">
      <c r="B59" s="52"/>
    </row>
    <row r="60" spans="2:2" ht="16">
      <c r="B60" s="52"/>
    </row>
    <row r="61" spans="2:2" ht="16">
      <c r="B61" s="52"/>
    </row>
    <row r="62" spans="2:2" ht="16">
      <c r="B62" s="52"/>
    </row>
    <row r="63" spans="2:2" ht="16">
      <c r="B63" s="52"/>
    </row>
    <row r="64" spans="2:2" ht="16">
      <c r="B64" s="52"/>
    </row>
    <row r="65" spans="2:2" ht="16">
      <c r="B65" s="52"/>
    </row>
    <row r="66" spans="2:2" ht="16">
      <c r="B66" s="52"/>
    </row>
    <row r="67" spans="2:2" ht="16">
      <c r="B67" s="52"/>
    </row>
    <row r="68" spans="2:2" ht="16">
      <c r="B68" s="52"/>
    </row>
    <row r="69" spans="2:2" ht="16">
      <c r="B69" s="52"/>
    </row>
    <row r="70" spans="2:2" ht="16">
      <c r="B70" s="52"/>
    </row>
    <row r="71" spans="2:2" ht="16">
      <c r="B71" s="52"/>
    </row>
    <row r="72" spans="2:2" ht="16">
      <c r="B72" s="52"/>
    </row>
    <row r="73" spans="2:2" ht="16">
      <c r="B73" s="52"/>
    </row>
    <row r="74" spans="2:2" ht="16">
      <c r="B74" s="52"/>
    </row>
    <row r="75" spans="2:2" ht="16">
      <c r="B75" s="52"/>
    </row>
    <row r="76" spans="2:2" ht="16">
      <c r="B76" s="52"/>
    </row>
    <row r="77" spans="2:2" ht="16">
      <c r="B77" s="52"/>
    </row>
    <row r="78" spans="2:2" ht="16">
      <c r="B78" s="52"/>
    </row>
    <row r="79" spans="2:2" ht="16">
      <c r="B79" s="52"/>
    </row>
    <row r="80" spans="2:2" ht="16">
      <c r="B80" s="52"/>
    </row>
    <row r="81" spans="2:2" ht="16">
      <c r="B81" s="52"/>
    </row>
    <row r="82" spans="2:2" ht="16">
      <c r="B82" s="52"/>
    </row>
    <row r="83" spans="2:2" ht="16">
      <c r="B83" s="52"/>
    </row>
    <row r="84" spans="2:2" ht="16">
      <c r="B84" s="52"/>
    </row>
    <row r="85" spans="2:2" ht="16">
      <c r="B85" s="52"/>
    </row>
    <row r="86" spans="2:2" ht="16">
      <c r="B86" s="52"/>
    </row>
    <row r="87" spans="2:2" ht="16">
      <c r="B87" s="52"/>
    </row>
  </sheetData>
  <autoFilter ref="A2:K35" xr:uid="{00000000-0009-0000-0000-000004000000}">
    <sortState xmlns:xlrd2="http://schemas.microsoft.com/office/spreadsheetml/2017/richdata2" ref="A3:K24">
      <sortCondition ref="A2:A202"/>
    </sortState>
  </autoFilter>
  <mergeCells count="2">
    <mergeCell ref="A1:K1"/>
    <mergeCell ref="A35:D35"/>
  </mergeCells>
  <phoneticPr fontId="1" type="noConversion"/>
  <conditionalFormatting sqref="C36:C87">
    <cfRule type="notContainsBlanks" dxfId="0" priority="1">
      <formula>LEN(TRIM(C36))&gt;0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57"/>
  <sheetViews>
    <sheetView topLeftCell="A44" zoomScaleNormal="100" workbookViewId="0">
      <selection activeCell="D3" sqref="D3"/>
    </sheetView>
  </sheetViews>
  <sheetFormatPr defaultColWidth="8.75" defaultRowHeight="17"/>
  <cols>
    <col min="1" max="1" width="9.83203125" style="19" customWidth="1"/>
    <col min="2" max="2" width="19.5" style="19" customWidth="1"/>
    <col min="3" max="3" width="19.5" style="17" customWidth="1"/>
    <col min="4" max="4" width="19.5" style="19" customWidth="1"/>
    <col min="5" max="5" width="13" style="19" customWidth="1"/>
    <col min="6" max="9" width="13" style="17" customWidth="1"/>
    <col min="10" max="16384" width="8.75" style="19"/>
  </cols>
  <sheetData>
    <row r="1" spans="1:9" ht="27" customHeight="1">
      <c r="A1" s="150" t="s">
        <v>585</v>
      </c>
      <c r="B1" s="150"/>
      <c r="C1" s="150"/>
      <c r="D1" s="150"/>
      <c r="E1" s="75"/>
      <c r="H1" s="18"/>
      <c r="I1" s="18"/>
    </row>
    <row r="2" spans="1:9" s="1" customFormat="1" ht="20.149999999999999" customHeight="1">
      <c r="A2" s="69" t="s">
        <v>586</v>
      </c>
      <c r="B2" s="69" t="s">
        <v>587</v>
      </c>
      <c r="C2" s="69" t="s">
        <v>588</v>
      </c>
      <c r="D2" s="69" t="s">
        <v>589</v>
      </c>
      <c r="E2" s="69" t="s">
        <v>590</v>
      </c>
      <c r="F2" s="76" t="s">
        <v>591</v>
      </c>
      <c r="G2" s="76" t="s">
        <v>592</v>
      </c>
      <c r="H2" s="69" t="s">
        <v>593</v>
      </c>
      <c r="I2" s="69" t="s">
        <v>594</v>
      </c>
    </row>
    <row r="3" spans="1:9" s="1" customFormat="1" ht="20.149999999999999" customHeight="1">
      <c r="A3" s="146" t="s">
        <v>595</v>
      </c>
      <c r="B3" s="151" t="s">
        <v>596</v>
      </c>
      <c r="C3" s="149" t="s">
        <v>597</v>
      </c>
      <c r="D3" s="20" t="s">
        <v>598</v>
      </c>
      <c r="E3" s="25" t="s">
        <v>599</v>
      </c>
      <c r="F3" s="25" t="s">
        <v>599</v>
      </c>
      <c r="G3" s="25" t="s">
        <v>600</v>
      </c>
      <c r="H3" s="25" t="s">
        <v>600</v>
      </c>
      <c r="I3" s="25"/>
    </row>
    <row r="4" spans="1:9" s="1" customFormat="1" ht="20.149999999999999" customHeight="1">
      <c r="A4" s="147"/>
      <c r="B4" s="152"/>
      <c r="C4" s="149"/>
      <c r="D4" s="20" t="s">
        <v>601</v>
      </c>
      <c r="E4" s="25" t="s">
        <v>599</v>
      </c>
      <c r="F4" s="25" t="s">
        <v>600</v>
      </c>
      <c r="G4" s="25" t="s">
        <v>600</v>
      </c>
      <c r="H4" s="25" t="s">
        <v>600</v>
      </c>
      <c r="I4" s="25"/>
    </row>
    <row r="5" spans="1:9" s="1" customFormat="1" ht="20.149999999999999" customHeight="1">
      <c r="A5" s="147"/>
      <c r="B5" s="152"/>
      <c r="C5" s="149"/>
      <c r="D5" s="20" t="s">
        <v>602</v>
      </c>
      <c r="E5" s="25" t="s">
        <v>599</v>
      </c>
      <c r="F5" s="25" t="s">
        <v>600</v>
      </c>
      <c r="G5" s="25"/>
      <c r="H5" s="25" t="s">
        <v>600</v>
      </c>
      <c r="I5" s="25"/>
    </row>
    <row r="6" spans="1:9" s="1" customFormat="1" ht="20.149999999999999" customHeight="1">
      <c r="A6" s="147"/>
      <c r="B6" s="152"/>
      <c r="C6" s="149"/>
      <c r="D6" s="20" t="s">
        <v>603</v>
      </c>
      <c r="E6" s="25" t="s">
        <v>604</v>
      </c>
      <c r="F6" s="25" t="s">
        <v>600</v>
      </c>
      <c r="G6" s="25" t="s">
        <v>600</v>
      </c>
      <c r="H6" s="25" t="s">
        <v>600</v>
      </c>
      <c r="I6" s="25"/>
    </row>
    <row r="7" spans="1:9" s="1" customFormat="1" ht="20.149999999999999" customHeight="1">
      <c r="A7" s="147"/>
      <c r="B7" s="152"/>
      <c r="C7" s="146" t="s">
        <v>605</v>
      </c>
      <c r="D7" s="20" t="s">
        <v>606</v>
      </c>
      <c r="E7" s="25" t="s">
        <v>599</v>
      </c>
      <c r="F7" s="25" t="s">
        <v>600</v>
      </c>
      <c r="G7" s="25" t="s">
        <v>600</v>
      </c>
      <c r="H7" s="25" t="s">
        <v>600</v>
      </c>
      <c r="I7" s="25"/>
    </row>
    <row r="8" spans="1:9" s="1" customFormat="1" ht="20.149999999999999" customHeight="1">
      <c r="A8" s="147"/>
      <c r="B8" s="152"/>
      <c r="C8" s="148"/>
      <c r="D8" s="20" t="s">
        <v>607</v>
      </c>
      <c r="E8" s="25" t="s">
        <v>11</v>
      </c>
      <c r="F8" s="25" t="s">
        <v>600</v>
      </c>
      <c r="G8" s="25" t="s">
        <v>600</v>
      </c>
      <c r="H8" s="25" t="s">
        <v>600</v>
      </c>
      <c r="I8" s="25"/>
    </row>
    <row r="9" spans="1:9" s="1" customFormat="1" ht="20.149999999999999" customHeight="1">
      <c r="A9" s="147"/>
      <c r="B9" s="152"/>
      <c r="C9" s="149" t="s">
        <v>608</v>
      </c>
      <c r="D9" s="20" t="s">
        <v>609</v>
      </c>
      <c r="E9" s="25" t="s">
        <v>599</v>
      </c>
      <c r="F9" s="25" t="s">
        <v>600</v>
      </c>
      <c r="G9" s="25" t="s">
        <v>600</v>
      </c>
      <c r="H9" s="25" t="s">
        <v>600</v>
      </c>
      <c r="I9" s="25"/>
    </row>
    <row r="10" spans="1:9" s="1" customFormat="1" ht="20.149999999999999" customHeight="1">
      <c r="A10" s="147"/>
      <c r="B10" s="152"/>
      <c r="C10" s="149"/>
      <c r="D10" s="20" t="s">
        <v>610</v>
      </c>
      <c r="E10" s="25" t="s">
        <v>599</v>
      </c>
      <c r="F10" s="25" t="s">
        <v>600</v>
      </c>
      <c r="G10" s="25" t="s">
        <v>600</v>
      </c>
      <c r="H10" s="25" t="s">
        <v>600</v>
      </c>
      <c r="I10" s="25"/>
    </row>
    <row r="11" spans="1:9" s="1" customFormat="1" ht="20.149999999999999" customHeight="1">
      <c r="A11" s="147"/>
      <c r="B11" s="152"/>
      <c r="C11" s="149"/>
      <c r="D11" s="20" t="s">
        <v>611</v>
      </c>
      <c r="E11" s="25" t="s">
        <v>599</v>
      </c>
      <c r="F11" s="25" t="s">
        <v>600</v>
      </c>
      <c r="G11" s="25" t="s">
        <v>600</v>
      </c>
      <c r="H11" s="25"/>
      <c r="I11" s="25"/>
    </row>
    <row r="12" spans="1:9" s="1" customFormat="1" ht="20.149999999999999" customHeight="1">
      <c r="A12" s="147"/>
      <c r="B12" s="152"/>
      <c r="C12" s="149"/>
      <c r="D12" s="20" t="s">
        <v>612</v>
      </c>
      <c r="E12" s="25" t="s">
        <v>604</v>
      </c>
      <c r="F12" s="25" t="s">
        <v>600</v>
      </c>
      <c r="G12" s="25" t="s">
        <v>600</v>
      </c>
      <c r="H12" s="25"/>
      <c r="I12" s="25"/>
    </row>
    <row r="13" spans="1:9" s="1" customFormat="1" ht="20.149999999999999" customHeight="1">
      <c r="A13" s="147"/>
      <c r="B13" s="152"/>
      <c r="C13" s="149"/>
      <c r="D13" s="20" t="s">
        <v>613</v>
      </c>
      <c r="E13" s="25" t="s">
        <v>604</v>
      </c>
      <c r="F13" s="25" t="s">
        <v>600</v>
      </c>
      <c r="G13" s="25"/>
      <c r="H13" s="25"/>
      <c r="I13" s="25"/>
    </row>
    <row r="14" spans="1:9" s="1" customFormat="1" ht="20.149999999999999" customHeight="1">
      <c r="A14" s="147"/>
      <c r="B14" s="152"/>
      <c r="C14" s="149"/>
      <c r="D14" s="20" t="s">
        <v>614</v>
      </c>
      <c r="E14" s="25" t="s">
        <v>599</v>
      </c>
      <c r="F14" s="25" t="s">
        <v>600</v>
      </c>
      <c r="G14" s="25" t="s">
        <v>600</v>
      </c>
      <c r="H14" s="25"/>
      <c r="I14" s="25"/>
    </row>
    <row r="15" spans="1:9" s="1" customFormat="1" ht="20.149999999999999" customHeight="1">
      <c r="A15" s="147"/>
      <c r="B15" s="152"/>
      <c r="C15" s="149"/>
      <c r="D15" s="20" t="s">
        <v>615</v>
      </c>
      <c r="E15" s="25" t="s">
        <v>604</v>
      </c>
      <c r="F15" s="25" t="s">
        <v>600</v>
      </c>
      <c r="G15" s="25"/>
      <c r="H15" s="25"/>
      <c r="I15" s="25"/>
    </row>
    <row r="16" spans="1:9" s="1" customFormat="1" ht="20.149999999999999" customHeight="1">
      <c r="A16" s="147"/>
      <c r="B16" s="152"/>
      <c r="C16" s="149"/>
      <c r="D16" s="20" t="s">
        <v>616</v>
      </c>
      <c r="E16" s="25" t="s">
        <v>599</v>
      </c>
      <c r="F16" s="77" t="s">
        <v>600</v>
      </c>
      <c r="G16" s="77"/>
      <c r="H16" s="25"/>
      <c r="I16" s="25"/>
    </row>
    <row r="17" spans="1:9" s="1" customFormat="1" ht="20.149999999999999" customHeight="1">
      <c r="A17" s="147"/>
      <c r="B17" s="152"/>
      <c r="C17" s="149" t="s">
        <v>617</v>
      </c>
      <c r="D17" s="20" t="s">
        <v>618</v>
      </c>
      <c r="E17" s="25" t="s">
        <v>604</v>
      </c>
      <c r="F17" s="77" t="s">
        <v>600</v>
      </c>
      <c r="G17" s="25"/>
      <c r="H17" s="25" t="s">
        <v>600</v>
      </c>
      <c r="I17" s="25" t="s">
        <v>600</v>
      </c>
    </row>
    <row r="18" spans="1:9" s="1" customFormat="1" ht="20.149999999999999" customHeight="1">
      <c r="A18" s="147"/>
      <c r="B18" s="152"/>
      <c r="C18" s="149"/>
      <c r="D18" s="20" t="s">
        <v>619</v>
      </c>
      <c r="E18" s="25" t="s">
        <v>599</v>
      </c>
      <c r="F18" s="25" t="s">
        <v>600</v>
      </c>
      <c r="G18" s="25"/>
      <c r="H18" s="25" t="s">
        <v>600</v>
      </c>
      <c r="I18" s="25" t="s">
        <v>600</v>
      </c>
    </row>
    <row r="19" spans="1:9" s="1" customFormat="1" ht="20.149999999999999" customHeight="1">
      <c r="A19" s="147"/>
      <c r="B19" s="152"/>
      <c r="C19" s="149"/>
      <c r="D19" s="20" t="s">
        <v>620</v>
      </c>
      <c r="E19" s="25" t="s">
        <v>604</v>
      </c>
      <c r="F19" s="25" t="s">
        <v>600</v>
      </c>
      <c r="G19" s="25"/>
      <c r="H19" s="25" t="s">
        <v>600</v>
      </c>
      <c r="I19" s="25" t="s">
        <v>600</v>
      </c>
    </row>
    <row r="20" spans="1:9" s="1" customFormat="1" ht="20.149999999999999" customHeight="1">
      <c r="A20" s="147"/>
      <c r="B20" s="152"/>
      <c r="C20" s="149"/>
      <c r="D20" s="20" t="s">
        <v>621</v>
      </c>
      <c r="E20" s="25" t="s">
        <v>604</v>
      </c>
      <c r="F20" s="25" t="s">
        <v>600</v>
      </c>
      <c r="G20" s="25"/>
      <c r="H20" s="25" t="s">
        <v>600</v>
      </c>
      <c r="I20" s="25" t="s">
        <v>600</v>
      </c>
    </row>
    <row r="21" spans="1:9" s="1" customFormat="1" ht="20.149999999999999" customHeight="1">
      <c r="A21" s="147"/>
      <c r="B21" s="152"/>
      <c r="C21" s="149"/>
      <c r="D21" s="20" t="s">
        <v>622</v>
      </c>
      <c r="E21" s="25" t="s">
        <v>599</v>
      </c>
      <c r="F21" s="25" t="s">
        <v>600</v>
      </c>
      <c r="G21" s="25"/>
      <c r="H21" s="25"/>
      <c r="I21" s="25"/>
    </row>
    <row r="22" spans="1:9" s="1" customFormat="1" ht="20.149999999999999" customHeight="1">
      <c r="A22" s="147"/>
      <c r="B22" s="152"/>
      <c r="C22" s="149"/>
      <c r="D22" s="20" t="s">
        <v>623</v>
      </c>
      <c r="E22" s="25" t="s">
        <v>604</v>
      </c>
      <c r="F22" s="25" t="s">
        <v>600</v>
      </c>
      <c r="G22" s="25"/>
      <c r="H22" s="25"/>
      <c r="I22" s="25"/>
    </row>
    <row r="23" spans="1:9" s="1" customFormat="1" ht="20.149999999999999" customHeight="1">
      <c r="A23" s="147"/>
      <c r="B23" s="152"/>
      <c r="C23" s="149"/>
      <c r="D23" s="20" t="s">
        <v>624</v>
      </c>
      <c r="E23" s="25" t="s">
        <v>604</v>
      </c>
      <c r="F23" s="25" t="s">
        <v>600</v>
      </c>
      <c r="G23" s="25"/>
      <c r="H23" s="25"/>
      <c r="I23" s="25"/>
    </row>
    <row r="24" spans="1:9" s="1" customFormat="1" ht="20.149999999999999" customHeight="1">
      <c r="A24" s="147"/>
      <c r="B24" s="152"/>
      <c r="C24" s="149" t="s">
        <v>625</v>
      </c>
      <c r="D24" s="20" t="s">
        <v>626</v>
      </c>
      <c r="E24" s="25" t="s">
        <v>604</v>
      </c>
      <c r="F24" s="25" t="s">
        <v>600</v>
      </c>
      <c r="G24" s="25"/>
      <c r="H24" s="25"/>
      <c r="I24" s="25"/>
    </row>
    <row r="25" spans="1:9" s="1" customFormat="1" ht="20.149999999999999" customHeight="1">
      <c r="A25" s="147"/>
      <c r="B25" s="152"/>
      <c r="C25" s="149"/>
      <c r="D25" s="20" t="s">
        <v>627</v>
      </c>
      <c r="E25" s="25" t="s">
        <v>604</v>
      </c>
      <c r="F25" s="25" t="s">
        <v>600</v>
      </c>
      <c r="G25" s="25"/>
      <c r="H25" s="25"/>
      <c r="I25" s="25"/>
    </row>
    <row r="26" spans="1:9" s="1" customFormat="1" ht="20.149999999999999" customHeight="1">
      <c r="A26" s="147"/>
      <c r="B26" s="152"/>
      <c r="C26" s="149"/>
      <c r="D26" s="20" t="s">
        <v>628</v>
      </c>
      <c r="E26" s="25" t="s">
        <v>599</v>
      </c>
      <c r="F26" s="25" t="s">
        <v>600</v>
      </c>
      <c r="G26" s="25"/>
      <c r="H26" s="25"/>
      <c r="I26" s="25"/>
    </row>
    <row r="27" spans="1:9" s="1" customFormat="1" ht="20.149999999999999" customHeight="1">
      <c r="A27" s="147"/>
      <c r="B27" s="152"/>
      <c r="C27" s="149" t="s">
        <v>629</v>
      </c>
      <c r="D27" s="20" t="s">
        <v>630</v>
      </c>
      <c r="E27" s="25" t="s">
        <v>604</v>
      </c>
      <c r="F27" s="25" t="s">
        <v>600</v>
      </c>
      <c r="G27" s="25" t="s">
        <v>600</v>
      </c>
      <c r="H27" s="25" t="s">
        <v>600</v>
      </c>
      <c r="I27" s="25"/>
    </row>
    <row r="28" spans="1:9" s="1" customFormat="1" ht="20.149999999999999" customHeight="1">
      <c r="A28" s="147"/>
      <c r="B28" s="152"/>
      <c r="C28" s="149"/>
      <c r="D28" s="20" t="s">
        <v>631</v>
      </c>
      <c r="E28" s="25" t="s">
        <v>599</v>
      </c>
      <c r="F28" s="25" t="s">
        <v>600</v>
      </c>
      <c r="G28" s="25" t="s">
        <v>600</v>
      </c>
      <c r="H28" s="25" t="s">
        <v>600</v>
      </c>
      <c r="I28" s="25"/>
    </row>
    <row r="29" spans="1:9" s="1" customFormat="1" ht="20.149999999999999" customHeight="1">
      <c r="A29" s="147"/>
      <c r="B29" s="152"/>
      <c r="C29" s="149"/>
      <c r="D29" s="20" t="s">
        <v>632</v>
      </c>
      <c r="E29" s="25" t="s">
        <v>599</v>
      </c>
      <c r="F29" s="25" t="s">
        <v>600</v>
      </c>
      <c r="G29" s="25" t="s">
        <v>600</v>
      </c>
      <c r="H29" s="25"/>
      <c r="I29" s="25"/>
    </row>
    <row r="30" spans="1:9" s="1" customFormat="1" ht="20.149999999999999" customHeight="1">
      <c r="A30" s="147"/>
      <c r="B30" s="152"/>
      <c r="C30" s="149"/>
      <c r="D30" s="20" t="s">
        <v>633</v>
      </c>
      <c r="E30" s="25" t="s">
        <v>604</v>
      </c>
      <c r="F30" s="25" t="s">
        <v>600</v>
      </c>
      <c r="G30" s="25" t="s">
        <v>600</v>
      </c>
      <c r="H30" s="25"/>
      <c r="I30" s="25"/>
    </row>
    <row r="31" spans="1:9" s="1" customFormat="1" ht="20.149999999999999" customHeight="1">
      <c r="A31" s="147"/>
      <c r="B31" s="152"/>
      <c r="C31" s="149"/>
      <c r="D31" s="20" t="s">
        <v>634</v>
      </c>
      <c r="E31" s="25" t="s">
        <v>604</v>
      </c>
      <c r="F31" s="25" t="s">
        <v>600</v>
      </c>
      <c r="G31" s="25" t="s">
        <v>600</v>
      </c>
      <c r="H31" s="25"/>
      <c r="I31" s="25"/>
    </row>
    <row r="32" spans="1:9" s="1" customFormat="1" ht="20.149999999999999" customHeight="1">
      <c r="A32" s="147"/>
      <c r="B32" s="152"/>
      <c r="C32" s="149"/>
      <c r="D32" s="20" t="s">
        <v>635</v>
      </c>
      <c r="E32" s="25" t="s">
        <v>599</v>
      </c>
      <c r="F32" s="25" t="s">
        <v>600</v>
      </c>
      <c r="G32" s="25" t="s">
        <v>600</v>
      </c>
      <c r="H32" s="25" t="s">
        <v>600</v>
      </c>
      <c r="I32" s="25"/>
    </row>
    <row r="33" spans="1:9" s="1" customFormat="1" ht="20.149999999999999" customHeight="1">
      <c r="A33" s="147"/>
      <c r="B33" s="152"/>
      <c r="C33" s="149"/>
      <c r="D33" s="20" t="s">
        <v>636</v>
      </c>
      <c r="E33" s="25" t="s">
        <v>599</v>
      </c>
      <c r="F33" s="25" t="s">
        <v>600</v>
      </c>
      <c r="G33" s="25" t="s">
        <v>600</v>
      </c>
      <c r="H33" s="25"/>
      <c r="I33" s="25"/>
    </row>
    <row r="34" spans="1:9" s="1" customFormat="1" ht="20.149999999999999" customHeight="1">
      <c r="A34" s="147"/>
      <c r="B34" s="152"/>
      <c r="C34" s="149"/>
      <c r="D34" s="20" t="s">
        <v>637</v>
      </c>
      <c r="E34" s="25" t="s">
        <v>599</v>
      </c>
      <c r="F34" s="25" t="s">
        <v>600</v>
      </c>
      <c r="G34" s="25" t="s">
        <v>600</v>
      </c>
      <c r="H34" s="25" t="s">
        <v>600</v>
      </c>
      <c r="I34" s="25"/>
    </row>
    <row r="35" spans="1:9" s="1" customFormat="1" ht="20.149999999999999" customHeight="1">
      <c r="A35" s="147"/>
      <c r="B35" s="152"/>
      <c r="C35" s="149"/>
      <c r="D35" s="20" t="s">
        <v>638</v>
      </c>
      <c r="E35" s="25" t="s">
        <v>604</v>
      </c>
      <c r="F35" s="25" t="s">
        <v>600</v>
      </c>
      <c r="G35" s="25" t="s">
        <v>600</v>
      </c>
      <c r="H35" s="25" t="s">
        <v>600</v>
      </c>
      <c r="I35" s="25" t="s">
        <v>600</v>
      </c>
    </row>
    <row r="36" spans="1:9" s="1" customFormat="1" ht="20.149999999999999" customHeight="1">
      <c r="A36" s="147"/>
      <c r="B36" s="152"/>
      <c r="C36" s="149" t="s">
        <v>639</v>
      </c>
      <c r="D36" s="20" t="s">
        <v>640</v>
      </c>
      <c r="E36" s="25" t="s">
        <v>604</v>
      </c>
      <c r="F36" s="25" t="s">
        <v>600</v>
      </c>
      <c r="G36" s="25"/>
      <c r="H36" s="25" t="s">
        <v>600</v>
      </c>
      <c r="I36" s="25"/>
    </row>
    <row r="37" spans="1:9" s="1" customFormat="1" ht="20.149999999999999" customHeight="1">
      <c r="A37" s="147"/>
      <c r="B37" s="152"/>
      <c r="C37" s="149"/>
      <c r="D37" s="20" t="s">
        <v>641</v>
      </c>
      <c r="E37" s="25" t="s">
        <v>604</v>
      </c>
      <c r="F37" s="25" t="s">
        <v>600</v>
      </c>
      <c r="G37" s="25"/>
      <c r="H37" s="25" t="s">
        <v>600</v>
      </c>
      <c r="I37" s="25"/>
    </row>
    <row r="38" spans="1:9" s="1" customFormat="1" ht="20.149999999999999" customHeight="1">
      <c r="A38" s="147"/>
      <c r="B38" s="152"/>
      <c r="C38" s="149"/>
      <c r="D38" s="20" t="s">
        <v>642</v>
      </c>
      <c r="E38" s="25" t="s">
        <v>604</v>
      </c>
      <c r="F38" s="25" t="s">
        <v>600</v>
      </c>
      <c r="G38" s="25"/>
      <c r="H38" s="25"/>
      <c r="I38" s="25"/>
    </row>
    <row r="39" spans="1:9" s="1" customFormat="1" ht="20.149999999999999" customHeight="1">
      <c r="A39" s="147"/>
      <c r="B39" s="152"/>
      <c r="C39" s="149"/>
      <c r="D39" s="20" t="s">
        <v>643</v>
      </c>
      <c r="E39" s="25" t="s">
        <v>604</v>
      </c>
      <c r="F39" s="25" t="s">
        <v>600</v>
      </c>
      <c r="G39" s="25"/>
      <c r="H39" s="25" t="s">
        <v>600</v>
      </c>
      <c r="I39" s="25"/>
    </row>
    <row r="40" spans="1:9" s="1" customFormat="1" ht="20.149999999999999" customHeight="1">
      <c r="A40" s="147"/>
      <c r="B40" s="152"/>
      <c r="C40" s="149"/>
      <c r="D40" s="20" t="s">
        <v>644</v>
      </c>
      <c r="E40" s="25" t="s">
        <v>599</v>
      </c>
      <c r="F40" s="25" t="s">
        <v>600</v>
      </c>
      <c r="G40" s="25"/>
      <c r="H40" s="25" t="s">
        <v>600</v>
      </c>
      <c r="I40" s="25"/>
    </row>
    <row r="41" spans="1:9" s="1" customFormat="1" ht="20.149999999999999" customHeight="1">
      <c r="A41" s="147"/>
      <c r="B41" s="152"/>
      <c r="C41" s="149"/>
      <c r="D41" s="20" t="s">
        <v>645</v>
      </c>
      <c r="E41" s="25" t="s">
        <v>604</v>
      </c>
      <c r="F41" s="25" t="s">
        <v>600</v>
      </c>
      <c r="G41" s="25"/>
      <c r="H41" s="25"/>
      <c r="I41" s="25"/>
    </row>
    <row r="42" spans="1:9" s="1" customFormat="1" ht="20.149999999999999" customHeight="1">
      <c r="A42" s="147"/>
      <c r="B42" s="152"/>
      <c r="C42" s="149"/>
      <c r="D42" s="20" t="s">
        <v>646</v>
      </c>
      <c r="E42" s="25" t="s">
        <v>604</v>
      </c>
      <c r="F42" s="25" t="s">
        <v>600</v>
      </c>
      <c r="G42" s="25"/>
      <c r="H42" s="25"/>
      <c r="I42" s="25"/>
    </row>
    <row r="43" spans="1:9" s="1" customFormat="1" ht="20.149999999999999" customHeight="1">
      <c r="A43" s="147"/>
      <c r="B43" s="152"/>
      <c r="C43" s="146" t="s">
        <v>647</v>
      </c>
      <c r="D43" s="20" t="s">
        <v>648</v>
      </c>
      <c r="E43" s="25" t="s">
        <v>604</v>
      </c>
      <c r="F43" s="25" t="s">
        <v>600</v>
      </c>
      <c r="G43" s="25"/>
      <c r="H43" s="25" t="s">
        <v>600</v>
      </c>
      <c r="I43" s="25"/>
    </row>
    <row r="44" spans="1:9" s="1" customFormat="1" ht="20.149999999999999" customHeight="1">
      <c r="A44" s="147"/>
      <c r="B44" s="152"/>
      <c r="C44" s="147"/>
      <c r="D44" s="20" t="s">
        <v>649</v>
      </c>
      <c r="E44" s="25" t="s">
        <v>604</v>
      </c>
      <c r="F44" s="25"/>
      <c r="G44" s="25"/>
      <c r="H44" s="25"/>
      <c r="I44" s="25"/>
    </row>
    <row r="45" spans="1:9" s="1" customFormat="1" ht="20.149999999999999" customHeight="1">
      <c r="A45" s="147"/>
      <c r="B45" s="152"/>
      <c r="C45" s="147"/>
      <c r="D45" s="20" t="s">
        <v>650</v>
      </c>
      <c r="E45" s="25" t="s">
        <v>604</v>
      </c>
      <c r="F45" s="25"/>
      <c r="G45" s="25"/>
      <c r="H45" s="25"/>
      <c r="I45" s="25"/>
    </row>
    <row r="46" spans="1:9" s="1" customFormat="1" ht="20.149999999999999" customHeight="1">
      <c r="A46" s="147"/>
      <c r="B46" s="152"/>
      <c r="C46" s="147"/>
      <c r="D46" s="20" t="s">
        <v>651</v>
      </c>
      <c r="E46" s="25" t="s">
        <v>604</v>
      </c>
      <c r="F46" s="25"/>
      <c r="G46" s="25"/>
      <c r="H46" s="25"/>
      <c r="I46" s="25"/>
    </row>
    <row r="47" spans="1:9" s="1" customFormat="1" ht="20.149999999999999" customHeight="1">
      <c r="A47" s="147"/>
      <c r="B47" s="152"/>
      <c r="C47" s="147"/>
      <c r="D47" s="20" t="s">
        <v>652</v>
      </c>
      <c r="E47" s="25" t="s">
        <v>599</v>
      </c>
      <c r="F47" s="25"/>
      <c r="G47" s="25"/>
      <c r="H47" s="25"/>
      <c r="I47" s="25"/>
    </row>
    <row r="48" spans="1:9" s="1" customFormat="1" ht="20.149999999999999" customHeight="1">
      <c r="A48" s="147"/>
      <c r="B48" s="152"/>
      <c r="C48" s="148"/>
      <c r="D48" s="20" t="s">
        <v>653</v>
      </c>
      <c r="E48" s="25" t="s">
        <v>604</v>
      </c>
      <c r="F48" s="25" t="s">
        <v>600</v>
      </c>
      <c r="G48" s="25"/>
      <c r="H48" s="25"/>
      <c r="I48" s="25"/>
    </row>
    <row r="49" spans="1:9" s="1" customFormat="1" ht="20.149999999999999" customHeight="1">
      <c r="A49" s="147"/>
      <c r="B49" s="152"/>
      <c r="C49" s="146" t="s">
        <v>654</v>
      </c>
      <c r="D49" s="20" t="s">
        <v>655</v>
      </c>
      <c r="E49" s="25" t="s">
        <v>599</v>
      </c>
      <c r="F49" s="25"/>
      <c r="G49" s="25"/>
      <c r="H49" s="25"/>
      <c r="I49" s="25"/>
    </row>
    <row r="50" spans="1:9" s="1" customFormat="1" ht="20.149999999999999" customHeight="1">
      <c r="A50" s="147"/>
      <c r="B50" s="153"/>
      <c r="C50" s="148"/>
      <c r="D50" s="20" t="s">
        <v>656</v>
      </c>
      <c r="E50" s="25" t="s">
        <v>599</v>
      </c>
      <c r="F50" s="25" t="s">
        <v>600</v>
      </c>
      <c r="G50" s="25"/>
      <c r="H50" s="25" t="s">
        <v>600</v>
      </c>
      <c r="I50" s="25"/>
    </row>
    <row r="51" spans="1:9" s="1" customFormat="1" ht="20.149999999999999" customHeight="1">
      <c r="A51" s="147"/>
      <c r="B51" s="146" t="s">
        <v>657</v>
      </c>
      <c r="C51" s="59" t="s">
        <v>658</v>
      </c>
      <c r="D51" s="20" t="s">
        <v>658</v>
      </c>
      <c r="E51" s="25" t="s">
        <v>604</v>
      </c>
      <c r="F51" s="25" t="s">
        <v>600</v>
      </c>
      <c r="G51" s="25" t="s">
        <v>600</v>
      </c>
      <c r="H51" s="25"/>
      <c r="I51" s="25"/>
    </row>
    <row r="52" spans="1:9" s="1" customFormat="1" ht="20.149999999999999" customHeight="1">
      <c r="A52" s="147"/>
      <c r="B52" s="147"/>
      <c r="C52" s="59" t="s">
        <v>659</v>
      </c>
      <c r="D52" s="20" t="s">
        <v>659</v>
      </c>
      <c r="E52" s="25" t="s">
        <v>604</v>
      </c>
      <c r="F52" s="25" t="s">
        <v>600</v>
      </c>
      <c r="G52" s="25" t="s">
        <v>600</v>
      </c>
      <c r="H52" s="25"/>
      <c r="I52" s="25"/>
    </row>
    <row r="53" spans="1:9" s="1" customFormat="1" ht="20.149999999999999" customHeight="1">
      <c r="A53" s="147"/>
      <c r="B53" s="147"/>
      <c r="C53" s="149" t="s">
        <v>660</v>
      </c>
      <c r="D53" s="20" t="s">
        <v>661</v>
      </c>
      <c r="E53" s="25" t="s">
        <v>599</v>
      </c>
      <c r="F53" s="25" t="s">
        <v>600</v>
      </c>
      <c r="G53" s="25" t="s">
        <v>600</v>
      </c>
      <c r="H53" s="25"/>
      <c r="I53" s="25"/>
    </row>
    <row r="54" spans="1:9" s="1" customFormat="1" ht="20.149999999999999" customHeight="1">
      <c r="A54" s="147"/>
      <c r="B54" s="147"/>
      <c r="C54" s="149"/>
      <c r="D54" s="20" t="s">
        <v>662</v>
      </c>
      <c r="E54" s="25" t="s">
        <v>604</v>
      </c>
      <c r="F54" s="25" t="s">
        <v>600</v>
      </c>
      <c r="G54" s="25" t="s">
        <v>600</v>
      </c>
      <c r="H54" s="25"/>
      <c r="I54" s="25"/>
    </row>
    <row r="55" spans="1:9" ht="20.149999999999999" customHeight="1">
      <c r="A55" s="147"/>
      <c r="B55" s="147"/>
      <c r="C55" s="149"/>
      <c r="D55" s="20" t="s">
        <v>663</v>
      </c>
      <c r="E55" s="25" t="s">
        <v>604</v>
      </c>
      <c r="F55" s="25" t="s">
        <v>600</v>
      </c>
      <c r="G55" s="25" t="s">
        <v>600</v>
      </c>
      <c r="H55" s="25"/>
      <c r="I55" s="25"/>
    </row>
    <row r="56" spans="1:9" ht="20.149999999999999" customHeight="1">
      <c r="A56" s="148"/>
      <c r="B56" s="148"/>
      <c r="C56" s="59" t="s">
        <v>664</v>
      </c>
      <c r="D56" s="20" t="s">
        <v>625</v>
      </c>
      <c r="E56" s="25" t="s">
        <v>604</v>
      </c>
      <c r="F56" s="25" t="s">
        <v>600</v>
      </c>
      <c r="G56" s="25" t="s">
        <v>600</v>
      </c>
      <c r="H56" s="25"/>
      <c r="I56" s="25"/>
    </row>
    <row r="57" spans="1:9" ht="20.149999999999999" customHeight="1">
      <c r="A57" s="16">
        <f>COUNTA(A3)</f>
        <v>1</v>
      </c>
      <c r="B57" s="16">
        <f t="shared" ref="B57:I57" si="0">COUNTA(B3:B56)</f>
        <v>2</v>
      </c>
      <c r="C57" s="16">
        <f t="shared" si="0"/>
        <v>13</v>
      </c>
      <c r="D57" s="16">
        <f t="shared" si="0"/>
        <v>54</v>
      </c>
      <c r="E57" s="16">
        <f t="shared" si="0"/>
        <v>54</v>
      </c>
      <c r="F57" s="16">
        <f t="shared" si="0"/>
        <v>49</v>
      </c>
      <c r="G57" s="16">
        <f t="shared" si="0"/>
        <v>25</v>
      </c>
      <c r="H57" s="16">
        <f t="shared" si="0"/>
        <v>23</v>
      </c>
      <c r="I57" s="16">
        <f t="shared" si="0"/>
        <v>5</v>
      </c>
    </row>
  </sheetData>
  <autoFilter ref="A2:I54" xr:uid="{00000000-0009-0000-0000-000005000000}"/>
  <mergeCells count="14">
    <mergeCell ref="C43:C48"/>
    <mergeCell ref="C49:C50"/>
    <mergeCell ref="B51:B56"/>
    <mergeCell ref="C53:C55"/>
    <mergeCell ref="A1:D1"/>
    <mergeCell ref="A3:A56"/>
    <mergeCell ref="B3:B50"/>
    <mergeCell ref="C3:C6"/>
    <mergeCell ref="C7:C8"/>
    <mergeCell ref="C9:C16"/>
    <mergeCell ref="C17:C23"/>
    <mergeCell ref="C24:C26"/>
    <mergeCell ref="C27:C35"/>
    <mergeCell ref="C36:C42"/>
  </mergeCells>
  <phoneticPr fontId="1" type="noConversion"/>
  <pageMargins left="0.7" right="0.7" top="0.75" bottom="0.75" header="0.3" footer="0.3"/>
  <pageSetup paperSize="9" scale="5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Q12"/>
  <sheetViews>
    <sheetView workbookViewId="0">
      <selection activeCell="E29" sqref="E29"/>
    </sheetView>
  </sheetViews>
  <sheetFormatPr defaultRowHeight="17"/>
  <cols>
    <col min="2" max="6" width="13.25" customWidth="1"/>
    <col min="8" max="11" width="12.75" customWidth="1"/>
  </cols>
  <sheetData>
    <row r="2" spans="2:17" ht="26.25" customHeight="1">
      <c r="B2" s="123" t="s">
        <v>962</v>
      </c>
      <c r="C2" s="123"/>
      <c r="D2" s="123"/>
      <c r="E2" s="123"/>
      <c r="F2" s="123"/>
      <c r="H2" s="123" t="s">
        <v>794</v>
      </c>
      <c r="I2" s="123"/>
      <c r="J2" s="123"/>
      <c r="K2" s="123"/>
    </row>
    <row r="3" spans="2:17" ht="21.75" customHeight="1">
      <c r="B3" s="96" t="s">
        <v>739</v>
      </c>
      <c r="C3" s="96" t="s">
        <v>954</v>
      </c>
      <c r="D3" s="96" t="s">
        <v>737</v>
      </c>
      <c r="E3" s="96" t="s">
        <v>738</v>
      </c>
      <c r="F3" s="96" t="s">
        <v>742</v>
      </c>
      <c r="H3" s="96" t="s">
        <v>792</v>
      </c>
      <c r="I3" s="96" t="s">
        <v>738</v>
      </c>
      <c r="J3" s="96" t="s">
        <v>793</v>
      </c>
      <c r="K3" s="96" t="s">
        <v>742</v>
      </c>
    </row>
    <row r="4" spans="2:17" ht="21.75" customHeight="1">
      <c r="B4" s="120" t="s">
        <v>595</v>
      </c>
      <c r="C4" s="120">
        <v>183</v>
      </c>
      <c r="D4" s="97" t="s">
        <v>740</v>
      </c>
      <c r="E4" s="98">
        <v>180</v>
      </c>
      <c r="F4" s="97">
        <f>E4/C4</f>
        <v>0.98360655737704916</v>
      </c>
      <c r="H4" s="102" t="s">
        <v>50</v>
      </c>
      <c r="I4" s="102">
        <v>8</v>
      </c>
      <c r="J4" s="102">
        <v>7</v>
      </c>
      <c r="K4" s="103">
        <v>0.875</v>
      </c>
    </row>
    <row r="5" spans="2:17" ht="21.75" customHeight="1">
      <c r="B5" s="121"/>
      <c r="C5" s="121"/>
      <c r="D5" s="97" t="s">
        <v>955</v>
      </c>
      <c r="E5" s="98">
        <v>2</v>
      </c>
      <c r="F5" s="97">
        <f>E5/C4</f>
        <v>1.092896174863388E-2</v>
      </c>
      <c r="H5" s="102" t="s">
        <v>49</v>
      </c>
      <c r="I5" s="102">
        <v>6</v>
      </c>
      <c r="J5" s="102">
        <v>3</v>
      </c>
      <c r="K5" s="103">
        <v>0.5</v>
      </c>
    </row>
    <row r="6" spans="2:17" ht="21.75" customHeight="1">
      <c r="B6" s="122"/>
      <c r="C6" s="122"/>
      <c r="D6" s="97" t="s">
        <v>741</v>
      </c>
      <c r="E6" s="98">
        <v>1</v>
      </c>
      <c r="F6" s="97">
        <f>E6/C4</f>
        <v>5.4644808743169399E-3</v>
      </c>
      <c r="H6" s="102" t="s">
        <v>51</v>
      </c>
      <c r="I6" s="102">
        <v>15</v>
      </c>
      <c r="J6" s="102">
        <v>9</v>
      </c>
      <c r="K6" s="103">
        <v>0.6</v>
      </c>
    </row>
    <row r="7" spans="2:17" ht="21.75" customHeight="1">
      <c r="B7" s="120" t="s">
        <v>953</v>
      </c>
      <c r="C7" s="120">
        <v>24</v>
      </c>
      <c r="D7" s="97" t="s">
        <v>740</v>
      </c>
      <c r="E7" s="98">
        <v>14</v>
      </c>
      <c r="F7" s="97">
        <f>E7/C7</f>
        <v>0.58333333333333337</v>
      </c>
      <c r="H7" s="102" t="s">
        <v>678</v>
      </c>
      <c r="I7" s="102">
        <v>2</v>
      </c>
      <c r="J7" s="102">
        <v>1</v>
      </c>
      <c r="K7" s="103">
        <v>0.5</v>
      </c>
    </row>
    <row r="8" spans="2:17" ht="21.75" customHeight="1">
      <c r="B8" s="121"/>
      <c r="C8" s="121"/>
      <c r="D8" s="97" t="s">
        <v>956</v>
      </c>
      <c r="E8" s="98">
        <v>4</v>
      </c>
      <c r="F8" s="97">
        <f>E8/C7</f>
        <v>0.16666666666666666</v>
      </c>
      <c r="H8" s="99" t="s">
        <v>55</v>
      </c>
      <c r="I8" s="99">
        <f>SUM(I4:I7)</f>
        <v>31</v>
      </c>
      <c r="J8" s="99">
        <f>SUM(J4:J7)</f>
        <v>20</v>
      </c>
      <c r="K8" s="100">
        <v>0.57142857142857095</v>
      </c>
    </row>
    <row r="9" spans="2:17" ht="21.75" customHeight="1">
      <c r="B9" s="121"/>
      <c r="C9" s="121"/>
      <c r="D9" s="97" t="s">
        <v>741</v>
      </c>
      <c r="E9" s="98">
        <v>0</v>
      </c>
      <c r="F9" s="97">
        <f>E9/C7</f>
        <v>0</v>
      </c>
      <c r="N9" t="s">
        <v>50</v>
      </c>
      <c r="O9">
        <v>8</v>
      </c>
      <c r="P9">
        <v>7</v>
      </c>
      <c r="Q9">
        <v>0.875</v>
      </c>
    </row>
    <row r="10" spans="2:17" ht="21.75" customHeight="1">
      <c r="B10" s="122"/>
      <c r="C10" s="122"/>
      <c r="D10" s="97" t="s">
        <v>893</v>
      </c>
      <c r="E10" s="98">
        <v>6</v>
      </c>
      <c r="F10" s="97">
        <f>E10/C7</f>
        <v>0.25</v>
      </c>
      <c r="N10" t="s">
        <v>49</v>
      </c>
      <c r="O10">
        <v>6</v>
      </c>
      <c r="P10">
        <v>3</v>
      </c>
      <c r="Q10">
        <v>0.5</v>
      </c>
    </row>
    <row r="11" spans="2:17" ht="21.75" customHeight="1">
      <c r="B11" s="99" t="s">
        <v>55</v>
      </c>
      <c r="C11" s="99">
        <f>SUM(C4:C8)</f>
        <v>207</v>
      </c>
      <c r="D11" s="100"/>
      <c r="E11" s="99">
        <f>SUM(E4:E8)</f>
        <v>201</v>
      </c>
      <c r="F11" s="100">
        <f>E11/C11</f>
        <v>0.97101449275362317</v>
      </c>
      <c r="N11" t="s">
        <v>51</v>
      </c>
      <c r="O11">
        <v>15</v>
      </c>
      <c r="P11">
        <v>9</v>
      </c>
      <c r="Q11">
        <v>0.6</v>
      </c>
    </row>
    <row r="12" spans="2:17">
      <c r="N12" t="s">
        <v>678</v>
      </c>
      <c r="O12">
        <v>2</v>
      </c>
      <c r="P12">
        <v>1</v>
      </c>
      <c r="Q12">
        <v>0.5</v>
      </c>
    </row>
  </sheetData>
  <mergeCells count="6">
    <mergeCell ref="C4:C6"/>
    <mergeCell ref="B4:B6"/>
    <mergeCell ref="B2:F2"/>
    <mergeCell ref="H2:K2"/>
    <mergeCell ref="B7:B10"/>
    <mergeCell ref="C7:C10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표지</vt:lpstr>
      <vt:lpstr>개정이력</vt:lpstr>
      <vt:lpstr>통합테스트-업무영역</vt:lpstr>
      <vt:lpstr>통합테스트 수행보고서</vt:lpstr>
      <vt:lpstr>통합테스트 수정 및 요청사항</vt:lpstr>
      <vt:lpstr>권한그룹</vt:lpstr>
      <vt:lpstr>data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이진호</cp:lastModifiedBy>
  <dcterms:created xsi:type="dcterms:W3CDTF">2018-04-12T07:15:19Z</dcterms:created>
  <dcterms:modified xsi:type="dcterms:W3CDTF">2026-05-18T00:34:48Z</dcterms:modified>
</cp:coreProperties>
</file>